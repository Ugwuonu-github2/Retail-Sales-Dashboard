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C:\Users\DELL\Desktop\Madhav\"/>
    </mc:Choice>
  </mc:AlternateContent>
  <xr:revisionPtr revIDLastSave="0" documentId="13_ncr:1_{C566ABCF-E0CF-44B5-9AEA-6234B8AD29E6}" xr6:coauthVersionLast="47" xr6:coauthVersionMax="47" xr10:uidLastSave="{00000000-0000-0000-0000-000000000000}"/>
  <bookViews>
    <workbookView xWindow="0" yWindow="0" windowWidth="19200" windowHeight="11400" activeTab="5" xr2:uid="{CC4E1907-E6B6-487E-BE23-75BD9F8D6163}"/>
  </bookViews>
  <sheets>
    <sheet name="Orders" sheetId="1" r:id="rId1"/>
    <sheet name="Details" sheetId="2" r:id="rId2"/>
    <sheet name="Clean_Data" sheetId="3" r:id="rId3"/>
    <sheet name="KPI_Calculations" sheetId="4" r:id="rId4"/>
    <sheet name="Pivot_Tables" sheetId="5" r:id="rId5"/>
    <sheet name="Dashboard" sheetId="6" r:id="rId6"/>
  </sheets>
  <definedNames>
    <definedName name="Slicer_Category">#N/A</definedName>
    <definedName name="Slicer_State">#N/A</definedName>
    <definedName name="Slicer_Year">#N/A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 i="3" l="1"/>
  <c r="B4" i="4"/>
  <c r="B9" i="4"/>
  <c r="B8" i="4"/>
  <c r="B7" i="4"/>
  <c r="B6" i="4"/>
  <c r="B5" i="4"/>
  <c r="B3" i="4"/>
  <c r="B2" i="4"/>
  <c r="P2" i="3"/>
  <c r="P3" i="3"/>
  <c r="P4" i="3"/>
  <c r="P5" i="3"/>
  <c r="P6" i="3"/>
  <c r="P7" i="3"/>
  <c r="P8" i="3"/>
  <c r="P9" i="3"/>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P102" i="3"/>
  <c r="P103" i="3"/>
  <c r="P104" i="3"/>
  <c r="P105" i="3"/>
  <c r="P106" i="3"/>
  <c r="P107" i="3"/>
  <c r="P108" i="3"/>
  <c r="P109" i="3"/>
  <c r="P110" i="3"/>
  <c r="P111" i="3"/>
  <c r="P112" i="3"/>
  <c r="P113" i="3"/>
  <c r="P114" i="3"/>
  <c r="P115" i="3"/>
  <c r="P116" i="3"/>
  <c r="P117" i="3"/>
  <c r="P118" i="3"/>
  <c r="P119" i="3"/>
  <c r="P120" i="3"/>
  <c r="P121" i="3"/>
  <c r="P122" i="3"/>
  <c r="P123" i="3"/>
  <c r="P124" i="3"/>
  <c r="P125" i="3"/>
  <c r="P126" i="3"/>
  <c r="P127" i="3"/>
  <c r="P128" i="3"/>
  <c r="P129" i="3"/>
  <c r="P130" i="3"/>
  <c r="P131" i="3"/>
  <c r="P132" i="3"/>
  <c r="P133" i="3"/>
  <c r="P134" i="3"/>
  <c r="P135" i="3"/>
  <c r="P136" i="3"/>
  <c r="P137" i="3"/>
  <c r="P138" i="3"/>
  <c r="P139" i="3"/>
  <c r="P140" i="3"/>
  <c r="P141" i="3"/>
  <c r="P142" i="3"/>
  <c r="P143" i="3"/>
  <c r="P144" i="3"/>
  <c r="P145" i="3"/>
  <c r="P146" i="3"/>
  <c r="P147" i="3"/>
  <c r="P148" i="3"/>
  <c r="P149" i="3"/>
  <c r="P150" i="3"/>
  <c r="P151" i="3"/>
  <c r="P152" i="3"/>
  <c r="P153" i="3"/>
  <c r="P154" i="3"/>
  <c r="P155" i="3"/>
  <c r="P156" i="3"/>
  <c r="P157" i="3"/>
  <c r="P158" i="3"/>
  <c r="P159" i="3"/>
  <c r="P160" i="3"/>
  <c r="P161" i="3"/>
  <c r="P162" i="3"/>
  <c r="P163" i="3"/>
  <c r="P164" i="3"/>
  <c r="P165" i="3"/>
  <c r="P166" i="3"/>
  <c r="P167" i="3"/>
  <c r="P168" i="3"/>
  <c r="P169" i="3"/>
  <c r="P170" i="3"/>
  <c r="P171" i="3"/>
  <c r="P172" i="3"/>
  <c r="P173" i="3"/>
  <c r="P174" i="3"/>
  <c r="P175" i="3"/>
  <c r="P176" i="3"/>
  <c r="P177" i="3"/>
  <c r="P178" i="3"/>
  <c r="P179" i="3"/>
  <c r="P180" i="3"/>
  <c r="P181" i="3"/>
  <c r="P182" i="3"/>
  <c r="P183" i="3"/>
  <c r="P184" i="3"/>
  <c r="P185" i="3"/>
  <c r="P186" i="3"/>
  <c r="P187" i="3"/>
  <c r="P188" i="3"/>
  <c r="P189" i="3"/>
  <c r="P190" i="3"/>
  <c r="P191" i="3"/>
  <c r="P192" i="3"/>
  <c r="P193" i="3"/>
  <c r="P194" i="3"/>
  <c r="P195" i="3"/>
  <c r="P196" i="3"/>
  <c r="P197" i="3"/>
  <c r="P198" i="3"/>
  <c r="P199" i="3"/>
  <c r="P200" i="3"/>
  <c r="P201" i="3"/>
  <c r="P202" i="3"/>
  <c r="P203" i="3"/>
  <c r="P204" i="3"/>
  <c r="P205" i="3"/>
  <c r="P206" i="3"/>
  <c r="P207" i="3"/>
  <c r="P208" i="3"/>
  <c r="P209" i="3"/>
  <c r="P210" i="3"/>
  <c r="P211" i="3"/>
  <c r="P212" i="3"/>
  <c r="P213" i="3"/>
  <c r="P214" i="3"/>
  <c r="P215" i="3"/>
  <c r="P216" i="3"/>
  <c r="P217" i="3"/>
  <c r="P218" i="3"/>
  <c r="P219" i="3"/>
  <c r="P220" i="3"/>
  <c r="P221" i="3"/>
  <c r="P222" i="3"/>
  <c r="P223" i="3"/>
  <c r="P224" i="3"/>
  <c r="P225" i="3"/>
  <c r="P226" i="3"/>
  <c r="P227" i="3"/>
  <c r="P228" i="3"/>
  <c r="P229" i="3"/>
  <c r="P230" i="3"/>
  <c r="P231" i="3"/>
  <c r="P232" i="3"/>
  <c r="P233" i="3"/>
  <c r="P234" i="3"/>
  <c r="P235" i="3"/>
  <c r="P236" i="3"/>
  <c r="P237" i="3"/>
  <c r="P238" i="3"/>
  <c r="P239" i="3"/>
  <c r="P240" i="3"/>
  <c r="P241" i="3"/>
  <c r="P242" i="3"/>
  <c r="P243" i="3"/>
  <c r="P244" i="3"/>
  <c r="P245" i="3"/>
  <c r="P246" i="3"/>
  <c r="P247" i="3"/>
  <c r="P248" i="3"/>
  <c r="P249" i="3"/>
  <c r="P250" i="3"/>
  <c r="P251" i="3"/>
  <c r="P252" i="3"/>
  <c r="P253" i="3"/>
  <c r="P254" i="3"/>
  <c r="P255" i="3"/>
  <c r="P256" i="3"/>
  <c r="P257" i="3"/>
  <c r="P258" i="3"/>
  <c r="P259" i="3"/>
  <c r="P260" i="3"/>
  <c r="P261" i="3"/>
  <c r="P262" i="3"/>
  <c r="P263" i="3"/>
  <c r="P264" i="3"/>
  <c r="P265" i="3"/>
  <c r="P266" i="3"/>
  <c r="P267" i="3"/>
  <c r="P268" i="3"/>
  <c r="P269" i="3"/>
  <c r="P270" i="3"/>
  <c r="P271" i="3"/>
  <c r="P272" i="3"/>
  <c r="P273" i="3"/>
  <c r="P274" i="3"/>
  <c r="P275" i="3"/>
  <c r="P276" i="3"/>
  <c r="P277" i="3"/>
  <c r="P278" i="3"/>
  <c r="P279" i="3"/>
  <c r="P280" i="3"/>
  <c r="P281" i="3"/>
  <c r="P282" i="3"/>
  <c r="P283" i="3"/>
  <c r="P284" i="3"/>
  <c r="P285" i="3"/>
  <c r="P286" i="3"/>
  <c r="P287" i="3"/>
  <c r="P288" i="3"/>
  <c r="P289" i="3"/>
  <c r="P290" i="3"/>
  <c r="P291" i="3"/>
  <c r="P292" i="3"/>
  <c r="P293" i="3"/>
  <c r="P294" i="3"/>
  <c r="P295" i="3"/>
  <c r="P296" i="3"/>
  <c r="P297" i="3"/>
  <c r="P298" i="3"/>
  <c r="P299" i="3"/>
  <c r="P300" i="3"/>
  <c r="P301" i="3"/>
  <c r="P302" i="3"/>
  <c r="P303" i="3"/>
  <c r="P304" i="3"/>
  <c r="P305" i="3"/>
  <c r="P306" i="3"/>
  <c r="P307" i="3"/>
  <c r="P308" i="3"/>
  <c r="P309" i="3"/>
  <c r="P310" i="3"/>
  <c r="P311" i="3"/>
  <c r="P312" i="3"/>
  <c r="P313" i="3"/>
  <c r="P314" i="3"/>
  <c r="P315" i="3"/>
  <c r="P316" i="3"/>
  <c r="P317" i="3"/>
  <c r="P318" i="3"/>
  <c r="P319" i="3"/>
  <c r="P320" i="3"/>
  <c r="P321" i="3"/>
  <c r="P322" i="3"/>
  <c r="P323" i="3"/>
  <c r="P324" i="3"/>
  <c r="P325" i="3"/>
  <c r="P326" i="3"/>
  <c r="P327" i="3"/>
  <c r="P328" i="3"/>
  <c r="P329" i="3"/>
  <c r="P330" i="3"/>
  <c r="P331" i="3"/>
  <c r="P332" i="3"/>
  <c r="P333" i="3"/>
  <c r="P334" i="3"/>
  <c r="P335" i="3"/>
  <c r="P336" i="3"/>
  <c r="P337" i="3"/>
  <c r="P338" i="3"/>
  <c r="P339" i="3"/>
  <c r="P340" i="3"/>
  <c r="P341" i="3"/>
  <c r="P342" i="3"/>
  <c r="P343" i="3"/>
  <c r="P344" i="3"/>
  <c r="P345" i="3"/>
  <c r="P346" i="3"/>
  <c r="P347" i="3"/>
  <c r="P348" i="3"/>
  <c r="P349" i="3"/>
  <c r="P350" i="3"/>
  <c r="P351" i="3"/>
  <c r="P352" i="3"/>
  <c r="P353" i="3"/>
  <c r="P354" i="3"/>
  <c r="P355" i="3"/>
  <c r="P356" i="3"/>
  <c r="P357" i="3"/>
  <c r="P358" i="3"/>
  <c r="P359" i="3"/>
  <c r="P360" i="3"/>
  <c r="P361" i="3"/>
  <c r="P362" i="3"/>
  <c r="P363" i="3"/>
  <c r="P364" i="3"/>
  <c r="P365" i="3"/>
  <c r="P366" i="3"/>
  <c r="P367" i="3"/>
  <c r="P368" i="3"/>
  <c r="P369" i="3"/>
  <c r="P370" i="3"/>
  <c r="P371" i="3"/>
  <c r="P372" i="3"/>
  <c r="P373" i="3"/>
  <c r="P374" i="3"/>
  <c r="P375" i="3"/>
  <c r="P376" i="3"/>
  <c r="P377" i="3"/>
  <c r="P378" i="3"/>
  <c r="P379" i="3"/>
  <c r="P380" i="3"/>
  <c r="P381" i="3"/>
  <c r="P382" i="3"/>
  <c r="P383" i="3"/>
  <c r="P384" i="3"/>
  <c r="P385" i="3"/>
  <c r="P386" i="3"/>
  <c r="P387" i="3"/>
  <c r="P388" i="3"/>
  <c r="P389" i="3"/>
  <c r="P390" i="3"/>
  <c r="P391" i="3"/>
  <c r="P392" i="3"/>
  <c r="P393" i="3"/>
  <c r="P394" i="3"/>
  <c r="P395" i="3"/>
  <c r="P396" i="3"/>
  <c r="P397" i="3"/>
  <c r="P398" i="3"/>
  <c r="P399" i="3"/>
  <c r="P400" i="3"/>
  <c r="P401" i="3"/>
  <c r="P402" i="3"/>
  <c r="P403" i="3"/>
  <c r="P404" i="3"/>
  <c r="P405" i="3"/>
  <c r="P406" i="3"/>
  <c r="P407" i="3"/>
  <c r="P408" i="3"/>
  <c r="P409" i="3"/>
  <c r="P410" i="3"/>
  <c r="P411" i="3"/>
  <c r="P412" i="3"/>
  <c r="P413" i="3"/>
  <c r="P414" i="3"/>
  <c r="P415" i="3"/>
  <c r="P416" i="3"/>
  <c r="P417" i="3"/>
  <c r="P418" i="3"/>
  <c r="P419" i="3"/>
  <c r="P420" i="3"/>
  <c r="P421" i="3"/>
  <c r="P422" i="3"/>
  <c r="P423" i="3"/>
  <c r="P424" i="3"/>
  <c r="P425" i="3"/>
  <c r="P426" i="3"/>
  <c r="P427" i="3"/>
  <c r="P428" i="3"/>
  <c r="P429" i="3"/>
  <c r="P430" i="3"/>
  <c r="P431" i="3"/>
  <c r="P432" i="3"/>
  <c r="P433" i="3"/>
  <c r="P434" i="3"/>
  <c r="P435" i="3"/>
  <c r="P436" i="3"/>
  <c r="P437" i="3"/>
  <c r="P438" i="3"/>
  <c r="P439" i="3"/>
  <c r="P440" i="3"/>
  <c r="P441" i="3"/>
  <c r="P442" i="3"/>
  <c r="P443" i="3"/>
  <c r="P444" i="3"/>
  <c r="P445" i="3"/>
  <c r="P446" i="3"/>
  <c r="P447" i="3"/>
  <c r="P448" i="3"/>
  <c r="P449" i="3"/>
  <c r="P450" i="3"/>
  <c r="P451" i="3"/>
  <c r="P452" i="3"/>
  <c r="P453" i="3"/>
  <c r="P454" i="3"/>
  <c r="P455" i="3"/>
  <c r="P456" i="3"/>
  <c r="P457" i="3"/>
  <c r="P458" i="3"/>
  <c r="P459" i="3"/>
  <c r="P460" i="3"/>
  <c r="P461" i="3"/>
  <c r="P462" i="3"/>
  <c r="P463" i="3"/>
  <c r="P464" i="3"/>
  <c r="P465" i="3"/>
  <c r="P466" i="3"/>
  <c r="P467" i="3"/>
  <c r="P468" i="3"/>
  <c r="P469" i="3"/>
  <c r="P470" i="3"/>
  <c r="P471" i="3"/>
  <c r="P472" i="3"/>
  <c r="P473" i="3"/>
  <c r="P474" i="3"/>
  <c r="P475" i="3"/>
  <c r="P476" i="3"/>
  <c r="P477" i="3"/>
  <c r="P478" i="3"/>
  <c r="P479" i="3"/>
  <c r="P480" i="3"/>
  <c r="P481" i="3"/>
  <c r="P482" i="3"/>
  <c r="P483" i="3"/>
  <c r="P484" i="3"/>
  <c r="P485" i="3"/>
  <c r="P486" i="3"/>
  <c r="P487" i="3"/>
  <c r="P488" i="3"/>
  <c r="P489" i="3"/>
  <c r="P490" i="3"/>
  <c r="P491" i="3"/>
  <c r="P492" i="3"/>
  <c r="P493" i="3"/>
  <c r="P494" i="3"/>
  <c r="P495" i="3"/>
  <c r="P496" i="3"/>
  <c r="P497" i="3"/>
  <c r="P498" i="3"/>
  <c r="P499" i="3"/>
  <c r="P500" i="3"/>
  <c r="P501" i="3"/>
  <c r="P502" i="3"/>
  <c r="P503" i="3"/>
  <c r="P504" i="3"/>
  <c r="P505" i="3"/>
  <c r="P506" i="3"/>
  <c r="P507" i="3"/>
  <c r="P508" i="3"/>
  <c r="P509" i="3"/>
  <c r="P510" i="3"/>
  <c r="P511" i="3"/>
  <c r="P512" i="3"/>
  <c r="P513" i="3"/>
  <c r="P514" i="3"/>
  <c r="P515" i="3"/>
  <c r="P516" i="3"/>
  <c r="P517" i="3"/>
  <c r="P518" i="3"/>
  <c r="P519" i="3"/>
  <c r="P520" i="3"/>
  <c r="P521" i="3"/>
  <c r="P522" i="3"/>
  <c r="P523" i="3"/>
  <c r="P524" i="3"/>
  <c r="P525" i="3"/>
  <c r="P526" i="3"/>
  <c r="P527" i="3"/>
  <c r="P528" i="3"/>
  <c r="P529" i="3"/>
  <c r="P530" i="3"/>
  <c r="P531" i="3"/>
  <c r="P532" i="3"/>
  <c r="P533" i="3"/>
  <c r="P534" i="3"/>
  <c r="P535" i="3"/>
  <c r="P536" i="3"/>
  <c r="P537" i="3"/>
  <c r="P538" i="3"/>
  <c r="P539" i="3"/>
  <c r="P540" i="3"/>
  <c r="P541" i="3"/>
  <c r="P542" i="3"/>
  <c r="P543" i="3"/>
  <c r="P544" i="3"/>
  <c r="P545" i="3"/>
  <c r="P546" i="3"/>
  <c r="P547" i="3"/>
  <c r="P548" i="3"/>
  <c r="P549" i="3"/>
  <c r="P550" i="3"/>
  <c r="P551" i="3"/>
  <c r="P552" i="3"/>
  <c r="P553" i="3"/>
  <c r="P554" i="3"/>
  <c r="P555" i="3"/>
  <c r="P556" i="3"/>
  <c r="P557" i="3"/>
  <c r="P558" i="3"/>
  <c r="P559" i="3"/>
  <c r="P560" i="3"/>
  <c r="P561" i="3"/>
  <c r="P562" i="3"/>
  <c r="P563" i="3"/>
  <c r="P564" i="3"/>
  <c r="P565" i="3"/>
  <c r="P566" i="3"/>
  <c r="P567" i="3"/>
  <c r="P568" i="3"/>
  <c r="P569" i="3"/>
  <c r="P570" i="3"/>
  <c r="P571" i="3"/>
  <c r="P572" i="3"/>
  <c r="P573" i="3"/>
  <c r="P574" i="3"/>
  <c r="P575" i="3"/>
  <c r="P576" i="3"/>
  <c r="P577" i="3"/>
  <c r="P578" i="3"/>
  <c r="P579" i="3"/>
  <c r="P580" i="3"/>
  <c r="P581" i="3"/>
  <c r="P582" i="3"/>
  <c r="P583" i="3"/>
  <c r="P584" i="3"/>
  <c r="P585" i="3"/>
  <c r="P586" i="3"/>
  <c r="P587" i="3"/>
  <c r="P588" i="3"/>
  <c r="P589" i="3"/>
  <c r="P590" i="3"/>
  <c r="P591" i="3"/>
  <c r="P592" i="3"/>
  <c r="P593" i="3"/>
  <c r="P594" i="3"/>
  <c r="P595" i="3"/>
  <c r="P596" i="3"/>
  <c r="P597" i="3"/>
  <c r="P598" i="3"/>
  <c r="P599" i="3"/>
  <c r="P600" i="3"/>
  <c r="P601" i="3"/>
  <c r="P602" i="3"/>
  <c r="P603" i="3"/>
  <c r="P604" i="3"/>
  <c r="P605" i="3"/>
  <c r="P606" i="3"/>
  <c r="P607" i="3"/>
  <c r="P608" i="3"/>
  <c r="P609" i="3"/>
  <c r="P610" i="3"/>
  <c r="P611" i="3"/>
  <c r="P612" i="3"/>
  <c r="P613" i="3"/>
  <c r="P614" i="3"/>
  <c r="P615" i="3"/>
  <c r="P616" i="3"/>
  <c r="P617" i="3"/>
  <c r="P618" i="3"/>
  <c r="P619" i="3"/>
  <c r="P620" i="3"/>
  <c r="P621" i="3"/>
  <c r="P622" i="3"/>
  <c r="P623" i="3"/>
  <c r="P624" i="3"/>
  <c r="P625" i="3"/>
  <c r="P626" i="3"/>
  <c r="P627" i="3"/>
  <c r="P628" i="3"/>
  <c r="P629" i="3"/>
  <c r="P630" i="3"/>
  <c r="P631" i="3"/>
  <c r="P632" i="3"/>
  <c r="P633" i="3"/>
  <c r="P634" i="3"/>
  <c r="P635" i="3"/>
  <c r="P636" i="3"/>
  <c r="P637" i="3"/>
  <c r="P638" i="3"/>
  <c r="P639" i="3"/>
  <c r="P640" i="3"/>
  <c r="P641" i="3"/>
  <c r="P642" i="3"/>
  <c r="P643" i="3"/>
  <c r="P644" i="3"/>
  <c r="P645" i="3"/>
  <c r="P646" i="3"/>
  <c r="P647" i="3"/>
  <c r="P648" i="3"/>
  <c r="P649" i="3"/>
  <c r="P650" i="3"/>
  <c r="P651" i="3"/>
  <c r="P652" i="3"/>
  <c r="P653" i="3"/>
  <c r="P654" i="3"/>
  <c r="P655" i="3"/>
  <c r="P656" i="3"/>
  <c r="P657" i="3"/>
  <c r="P658" i="3"/>
  <c r="P659" i="3"/>
  <c r="P660" i="3"/>
  <c r="P661" i="3"/>
  <c r="P662" i="3"/>
  <c r="P663" i="3"/>
  <c r="P664" i="3"/>
  <c r="P665" i="3"/>
  <c r="P666" i="3"/>
  <c r="P667" i="3"/>
  <c r="P668" i="3"/>
  <c r="P669" i="3"/>
  <c r="P670" i="3"/>
  <c r="P671" i="3"/>
  <c r="P672" i="3"/>
  <c r="P673" i="3"/>
  <c r="P674" i="3"/>
  <c r="P675" i="3"/>
  <c r="P676" i="3"/>
  <c r="P677" i="3"/>
  <c r="P678" i="3"/>
  <c r="P679" i="3"/>
  <c r="P680" i="3"/>
  <c r="P681" i="3"/>
  <c r="P682" i="3"/>
  <c r="P683" i="3"/>
  <c r="P684" i="3"/>
  <c r="P685" i="3"/>
  <c r="P686" i="3"/>
  <c r="P687" i="3"/>
  <c r="P688" i="3"/>
  <c r="P689" i="3"/>
  <c r="P690" i="3"/>
  <c r="P691" i="3"/>
  <c r="P692" i="3"/>
  <c r="P693" i="3"/>
  <c r="P694" i="3"/>
  <c r="P695" i="3"/>
  <c r="P696" i="3"/>
  <c r="P697" i="3"/>
  <c r="P698" i="3"/>
  <c r="P699" i="3"/>
  <c r="P700" i="3"/>
  <c r="P701" i="3"/>
  <c r="P702" i="3"/>
  <c r="P703" i="3"/>
  <c r="P704" i="3"/>
  <c r="P705" i="3"/>
  <c r="P706" i="3"/>
  <c r="P707" i="3"/>
  <c r="P708" i="3"/>
  <c r="P709" i="3"/>
  <c r="P710" i="3"/>
  <c r="P711" i="3"/>
  <c r="P712" i="3"/>
  <c r="P713" i="3"/>
  <c r="P714" i="3"/>
  <c r="P715" i="3"/>
  <c r="P716" i="3"/>
  <c r="P717" i="3"/>
  <c r="P718" i="3"/>
  <c r="P719" i="3"/>
  <c r="P720" i="3"/>
  <c r="P721" i="3"/>
  <c r="P722" i="3"/>
  <c r="P723" i="3"/>
  <c r="P724" i="3"/>
  <c r="P725" i="3"/>
  <c r="P726" i="3"/>
  <c r="P727" i="3"/>
  <c r="P728" i="3"/>
  <c r="P729" i="3"/>
  <c r="P730" i="3"/>
  <c r="P731" i="3"/>
  <c r="P732" i="3"/>
  <c r="P733" i="3"/>
  <c r="P734" i="3"/>
  <c r="P735" i="3"/>
  <c r="P736" i="3"/>
  <c r="P737" i="3"/>
  <c r="P738" i="3"/>
  <c r="P739" i="3"/>
  <c r="P740" i="3"/>
  <c r="P741" i="3"/>
  <c r="P742" i="3"/>
  <c r="P743" i="3"/>
  <c r="P744" i="3"/>
  <c r="P745" i="3"/>
  <c r="P746" i="3"/>
  <c r="P747" i="3"/>
  <c r="P748" i="3"/>
  <c r="P749" i="3"/>
  <c r="P750" i="3"/>
  <c r="P751" i="3"/>
  <c r="P752" i="3"/>
  <c r="P753" i="3"/>
  <c r="P754" i="3"/>
  <c r="P755" i="3"/>
  <c r="P756" i="3"/>
  <c r="P757" i="3"/>
  <c r="P758" i="3"/>
  <c r="P759" i="3"/>
  <c r="P760" i="3"/>
  <c r="P761" i="3"/>
  <c r="P762" i="3"/>
  <c r="P763" i="3"/>
  <c r="P764" i="3"/>
  <c r="P765" i="3"/>
  <c r="P766" i="3"/>
  <c r="P767" i="3"/>
  <c r="P768" i="3"/>
  <c r="P769" i="3"/>
  <c r="P770" i="3"/>
  <c r="P771" i="3"/>
  <c r="P772" i="3"/>
  <c r="P773" i="3"/>
  <c r="P774" i="3"/>
  <c r="P775" i="3"/>
  <c r="P776" i="3"/>
  <c r="P777" i="3"/>
  <c r="P778" i="3"/>
  <c r="P779" i="3"/>
  <c r="P780" i="3"/>
  <c r="P781" i="3"/>
  <c r="P782" i="3"/>
  <c r="P783" i="3"/>
  <c r="P784" i="3"/>
  <c r="P785" i="3"/>
  <c r="P786" i="3"/>
  <c r="P787" i="3"/>
  <c r="P788" i="3"/>
  <c r="P789" i="3"/>
  <c r="P790" i="3"/>
  <c r="P791" i="3"/>
  <c r="P792" i="3"/>
  <c r="P793" i="3"/>
  <c r="P794" i="3"/>
  <c r="P795" i="3"/>
  <c r="P796" i="3"/>
  <c r="P797" i="3"/>
  <c r="P798" i="3"/>
  <c r="P799" i="3"/>
  <c r="P800" i="3"/>
  <c r="P801" i="3"/>
  <c r="P802" i="3"/>
  <c r="P803" i="3"/>
  <c r="P804" i="3"/>
  <c r="P805" i="3"/>
  <c r="P806" i="3"/>
  <c r="P807" i="3"/>
  <c r="P808" i="3"/>
  <c r="P809" i="3"/>
  <c r="P810" i="3"/>
  <c r="P811" i="3"/>
  <c r="P812" i="3"/>
  <c r="P813" i="3"/>
  <c r="P814" i="3"/>
  <c r="P815" i="3"/>
  <c r="P816" i="3"/>
  <c r="P817" i="3"/>
  <c r="P818" i="3"/>
  <c r="P819" i="3"/>
  <c r="P820" i="3"/>
  <c r="P821" i="3"/>
  <c r="P822" i="3"/>
  <c r="P823" i="3"/>
  <c r="P824" i="3"/>
  <c r="P825" i="3"/>
  <c r="P826" i="3"/>
  <c r="P827" i="3"/>
  <c r="P828" i="3"/>
  <c r="P829" i="3"/>
  <c r="P830" i="3"/>
  <c r="P831" i="3"/>
  <c r="P832" i="3"/>
  <c r="P833" i="3"/>
  <c r="P834" i="3"/>
  <c r="P835" i="3"/>
  <c r="P836" i="3"/>
  <c r="P837" i="3"/>
  <c r="P838" i="3"/>
  <c r="P839" i="3"/>
  <c r="P840" i="3"/>
  <c r="P841" i="3"/>
  <c r="P842" i="3"/>
  <c r="P843" i="3"/>
  <c r="P844" i="3"/>
  <c r="P845" i="3"/>
  <c r="P846" i="3"/>
  <c r="P847" i="3"/>
  <c r="P848" i="3"/>
  <c r="P849" i="3"/>
  <c r="P850" i="3"/>
  <c r="P851" i="3"/>
  <c r="P852" i="3"/>
  <c r="P853" i="3"/>
  <c r="P854" i="3"/>
  <c r="P855" i="3"/>
  <c r="P856" i="3"/>
  <c r="P857" i="3"/>
  <c r="P858" i="3"/>
  <c r="P859" i="3"/>
  <c r="P860" i="3"/>
  <c r="P861" i="3"/>
  <c r="P862" i="3"/>
  <c r="P863" i="3"/>
  <c r="P864" i="3"/>
  <c r="P865" i="3"/>
  <c r="P866" i="3"/>
  <c r="P867" i="3"/>
  <c r="P868" i="3"/>
  <c r="P869" i="3"/>
  <c r="P870" i="3"/>
  <c r="P871" i="3"/>
  <c r="P872" i="3"/>
  <c r="P873" i="3"/>
  <c r="P874" i="3"/>
  <c r="P875" i="3"/>
  <c r="P876" i="3"/>
  <c r="P877" i="3"/>
  <c r="P878" i="3"/>
  <c r="P879" i="3"/>
  <c r="P880" i="3"/>
  <c r="P881" i="3"/>
  <c r="P882" i="3"/>
  <c r="P883" i="3"/>
  <c r="P884" i="3"/>
  <c r="P885" i="3"/>
  <c r="P886" i="3"/>
  <c r="P887" i="3"/>
  <c r="P888" i="3"/>
  <c r="P889" i="3"/>
  <c r="P890" i="3"/>
  <c r="P891" i="3"/>
  <c r="P892" i="3"/>
  <c r="P893" i="3"/>
  <c r="P894" i="3"/>
  <c r="P895" i="3"/>
  <c r="P896" i="3"/>
  <c r="P897" i="3"/>
  <c r="P898" i="3"/>
  <c r="P899" i="3"/>
  <c r="P900" i="3"/>
  <c r="P901" i="3"/>
  <c r="P902" i="3"/>
  <c r="P903" i="3"/>
  <c r="P904" i="3"/>
  <c r="P905" i="3"/>
  <c r="P906" i="3"/>
  <c r="P907" i="3"/>
  <c r="P908" i="3"/>
  <c r="P909" i="3"/>
  <c r="P910" i="3"/>
  <c r="P911" i="3"/>
  <c r="P912" i="3"/>
  <c r="P913" i="3"/>
  <c r="P914" i="3"/>
  <c r="P915" i="3"/>
  <c r="P916" i="3"/>
  <c r="P917" i="3"/>
  <c r="P918" i="3"/>
  <c r="P919" i="3"/>
  <c r="P920" i="3"/>
  <c r="P921" i="3"/>
  <c r="P922" i="3"/>
  <c r="P923" i="3"/>
  <c r="P924" i="3"/>
  <c r="P925" i="3"/>
  <c r="P926" i="3"/>
  <c r="P927" i="3"/>
  <c r="P928" i="3"/>
  <c r="P929" i="3"/>
  <c r="P930" i="3"/>
  <c r="P931" i="3"/>
  <c r="P932" i="3"/>
  <c r="P933" i="3"/>
  <c r="P934" i="3"/>
  <c r="P935" i="3"/>
  <c r="P936" i="3"/>
  <c r="P937" i="3"/>
  <c r="P938" i="3"/>
  <c r="P939" i="3"/>
  <c r="P940" i="3"/>
  <c r="P941" i="3"/>
  <c r="P942" i="3"/>
  <c r="P943" i="3"/>
  <c r="P944" i="3"/>
  <c r="P945" i="3"/>
  <c r="P946" i="3"/>
  <c r="P947" i="3"/>
  <c r="P948" i="3"/>
  <c r="P949" i="3"/>
  <c r="P950" i="3"/>
  <c r="P951" i="3"/>
  <c r="P952" i="3"/>
  <c r="P953" i="3"/>
  <c r="P954" i="3"/>
  <c r="P955" i="3"/>
  <c r="P956" i="3"/>
  <c r="P957" i="3"/>
  <c r="P958" i="3"/>
  <c r="P959" i="3"/>
  <c r="P960" i="3"/>
  <c r="P961" i="3"/>
  <c r="P962" i="3"/>
  <c r="P963" i="3"/>
  <c r="P964" i="3"/>
  <c r="P965" i="3"/>
  <c r="P966" i="3"/>
  <c r="P967" i="3"/>
  <c r="P968" i="3"/>
  <c r="P969" i="3"/>
  <c r="P970" i="3"/>
  <c r="P971" i="3"/>
  <c r="P972" i="3"/>
  <c r="P973" i="3"/>
  <c r="P974" i="3"/>
  <c r="P975" i="3"/>
  <c r="P976" i="3"/>
  <c r="P977" i="3"/>
  <c r="P978" i="3"/>
  <c r="P979" i="3"/>
  <c r="P980" i="3"/>
  <c r="P981" i="3"/>
  <c r="P982" i="3"/>
  <c r="P983" i="3"/>
  <c r="P984" i="3"/>
  <c r="P985" i="3"/>
  <c r="P986" i="3"/>
  <c r="P987" i="3"/>
  <c r="P988" i="3"/>
  <c r="P989" i="3"/>
  <c r="P990" i="3"/>
  <c r="P991" i="3"/>
  <c r="P992" i="3"/>
  <c r="P993" i="3"/>
  <c r="P994" i="3"/>
  <c r="P995" i="3"/>
  <c r="P996" i="3"/>
  <c r="P997" i="3"/>
  <c r="P998" i="3"/>
  <c r="P999" i="3"/>
  <c r="P1000" i="3"/>
  <c r="P1001" i="3"/>
  <c r="P1002" i="3"/>
  <c r="P1003" i="3"/>
  <c r="P1004" i="3"/>
  <c r="P1005" i="3"/>
  <c r="P1006" i="3"/>
  <c r="P1007" i="3"/>
  <c r="P1008" i="3"/>
  <c r="P1009" i="3"/>
  <c r="P1010" i="3"/>
  <c r="P1011" i="3"/>
  <c r="P1012" i="3"/>
  <c r="P1013" i="3"/>
  <c r="P1014" i="3"/>
  <c r="P1015" i="3"/>
  <c r="P1016" i="3"/>
  <c r="P1017" i="3"/>
  <c r="P1018" i="3"/>
  <c r="P1019" i="3"/>
  <c r="P1020" i="3"/>
  <c r="P1021" i="3"/>
  <c r="P1022" i="3"/>
  <c r="P1023" i="3"/>
  <c r="P1024" i="3"/>
  <c r="P1025" i="3"/>
  <c r="P1026" i="3"/>
  <c r="P1027" i="3"/>
  <c r="P1028" i="3"/>
  <c r="P1029" i="3"/>
  <c r="P1030" i="3"/>
  <c r="P1031" i="3"/>
  <c r="P1032" i="3"/>
  <c r="P1033" i="3"/>
  <c r="P1034" i="3"/>
  <c r="P1035" i="3"/>
  <c r="P1036" i="3"/>
  <c r="P1037" i="3"/>
  <c r="P1038" i="3"/>
  <c r="P1039" i="3"/>
  <c r="P1040" i="3"/>
  <c r="P1041" i="3"/>
  <c r="P1042" i="3"/>
  <c r="P1043" i="3"/>
  <c r="P1044" i="3"/>
  <c r="P1045" i="3"/>
  <c r="P1046" i="3"/>
  <c r="P1047" i="3"/>
  <c r="P1048" i="3"/>
  <c r="P1049" i="3"/>
  <c r="P1050" i="3"/>
  <c r="P1051" i="3"/>
  <c r="P1052" i="3"/>
  <c r="P1053" i="3"/>
  <c r="P1054" i="3"/>
  <c r="P1055" i="3"/>
  <c r="P1056" i="3"/>
  <c r="P1057" i="3"/>
  <c r="P1058" i="3"/>
  <c r="P1059" i="3"/>
  <c r="P1060" i="3"/>
  <c r="P1061" i="3"/>
  <c r="P1062" i="3"/>
  <c r="P1063" i="3"/>
  <c r="P1064" i="3"/>
  <c r="P1065" i="3"/>
  <c r="P1066" i="3"/>
  <c r="P1067" i="3"/>
  <c r="P1068" i="3"/>
  <c r="P1069" i="3"/>
  <c r="P1070" i="3"/>
  <c r="P1071" i="3"/>
  <c r="P1072" i="3"/>
  <c r="P1073" i="3"/>
  <c r="P1074" i="3"/>
  <c r="P1075" i="3"/>
  <c r="P1076" i="3"/>
  <c r="P1077" i="3"/>
  <c r="P1078" i="3"/>
  <c r="P1079" i="3"/>
  <c r="P1080" i="3"/>
  <c r="P1081" i="3"/>
  <c r="P1082" i="3"/>
  <c r="P1083" i="3"/>
  <c r="P1084" i="3"/>
  <c r="P1085" i="3"/>
  <c r="P1086" i="3"/>
  <c r="P1087" i="3"/>
  <c r="P1088" i="3"/>
  <c r="P1089" i="3"/>
  <c r="P1090" i="3"/>
  <c r="P1091" i="3"/>
  <c r="P1092" i="3"/>
  <c r="P1093" i="3"/>
  <c r="P1094" i="3"/>
  <c r="P1095" i="3"/>
  <c r="P1096" i="3"/>
  <c r="P1097" i="3"/>
  <c r="P1098" i="3"/>
  <c r="P1099" i="3"/>
  <c r="P1100" i="3"/>
  <c r="P1101" i="3"/>
  <c r="P1102" i="3"/>
  <c r="P1103" i="3"/>
  <c r="P1104" i="3"/>
  <c r="P1105" i="3"/>
  <c r="P1106" i="3"/>
  <c r="P1107" i="3"/>
  <c r="P1108" i="3"/>
  <c r="P1109" i="3"/>
  <c r="P1110" i="3"/>
  <c r="P1111" i="3"/>
  <c r="P1112" i="3"/>
  <c r="P1113" i="3"/>
  <c r="P1114" i="3"/>
  <c r="P1115" i="3"/>
  <c r="P1116" i="3"/>
  <c r="P1117" i="3"/>
  <c r="P1118" i="3"/>
  <c r="P1119" i="3"/>
  <c r="P1120" i="3"/>
  <c r="P1121" i="3"/>
  <c r="P1122" i="3"/>
  <c r="P1123" i="3"/>
  <c r="P1124" i="3"/>
  <c r="P1125" i="3"/>
  <c r="P1126" i="3"/>
  <c r="P1127" i="3"/>
  <c r="P1128" i="3"/>
  <c r="P1129" i="3"/>
  <c r="P1130" i="3"/>
  <c r="P1131" i="3"/>
  <c r="P1132" i="3"/>
  <c r="P1133" i="3"/>
  <c r="P1134" i="3"/>
  <c r="P1135" i="3"/>
  <c r="P1136" i="3"/>
  <c r="P1137" i="3"/>
  <c r="P1138" i="3"/>
  <c r="P1139" i="3"/>
  <c r="P1140" i="3"/>
  <c r="P1141" i="3"/>
  <c r="P1142" i="3"/>
  <c r="P1143" i="3"/>
  <c r="P1144" i="3"/>
  <c r="P1145" i="3"/>
  <c r="P1146" i="3"/>
  <c r="P1147" i="3"/>
  <c r="P1148" i="3"/>
  <c r="P1149" i="3"/>
  <c r="P1150" i="3"/>
  <c r="P1151" i="3"/>
  <c r="P1152" i="3"/>
  <c r="P1153" i="3"/>
  <c r="P1154" i="3"/>
  <c r="P1155" i="3"/>
  <c r="P1156" i="3"/>
  <c r="P1157" i="3"/>
  <c r="P1158" i="3"/>
  <c r="P1159" i="3"/>
  <c r="P1160" i="3"/>
  <c r="P1161" i="3"/>
  <c r="P1162" i="3"/>
  <c r="P1163" i="3"/>
  <c r="P1164" i="3"/>
  <c r="P1165" i="3"/>
  <c r="P1166" i="3"/>
  <c r="P1167" i="3"/>
  <c r="P1168" i="3"/>
  <c r="P1169" i="3"/>
  <c r="P1170" i="3"/>
  <c r="P1171" i="3"/>
  <c r="P1172" i="3"/>
  <c r="P1173" i="3"/>
  <c r="P1174" i="3"/>
  <c r="P1175" i="3"/>
  <c r="P1176" i="3"/>
  <c r="P1177" i="3"/>
  <c r="P1178" i="3"/>
  <c r="P1179" i="3"/>
  <c r="P1180" i="3"/>
  <c r="P1181" i="3"/>
  <c r="P1182" i="3"/>
  <c r="P1183" i="3"/>
  <c r="P1184" i="3"/>
  <c r="P1185" i="3"/>
  <c r="P1186" i="3"/>
  <c r="P1187" i="3"/>
  <c r="P1188" i="3"/>
  <c r="P1189" i="3"/>
  <c r="P1190" i="3"/>
  <c r="P1191" i="3"/>
  <c r="P1192" i="3"/>
  <c r="P1193" i="3"/>
  <c r="P1194" i="3"/>
  <c r="P1195" i="3"/>
  <c r="P1196" i="3"/>
  <c r="P1197" i="3"/>
  <c r="P1198" i="3"/>
  <c r="P1199" i="3"/>
  <c r="P1200" i="3"/>
  <c r="P1201" i="3"/>
  <c r="P1202" i="3"/>
  <c r="P1203" i="3"/>
  <c r="P1204" i="3"/>
  <c r="P1205" i="3"/>
  <c r="P1206" i="3"/>
  <c r="P1207" i="3"/>
  <c r="P1208" i="3"/>
  <c r="P1209" i="3"/>
  <c r="P1210" i="3"/>
  <c r="P1211" i="3"/>
  <c r="P1212" i="3"/>
  <c r="P1213" i="3"/>
  <c r="P1214" i="3"/>
  <c r="P1215" i="3"/>
  <c r="P1216" i="3"/>
  <c r="P1217" i="3"/>
  <c r="P1218" i="3"/>
  <c r="P1219" i="3"/>
  <c r="P1220" i="3"/>
  <c r="P1221" i="3"/>
  <c r="P1222" i="3"/>
  <c r="P1223" i="3"/>
  <c r="P1224" i="3"/>
  <c r="P1225" i="3"/>
  <c r="P1226" i="3"/>
  <c r="P1227" i="3"/>
  <c r="P1228" i="3"/>
  <c r="P1229" i="3"/>
  <c r="P1230" i="3"/>
  <c r="P1231" i="3"/>
  <c r="P1232" i="3"/>
  <c r="P1233" i="3"/>
  <c r="P1234" i="3"/>
  <c r="P1235" i="3"/>
  <c r="P1236" i="3"/>
  <c r="P1237" i="3"/>
  <c r="P1238" i="3"/>
  <c r="P1239" i="3"/>
  <c r="P1240" i="3"/>
  <c r="P1241" i="3"/>
  <c r="P1242" i="3"/>
  <c r="P1243" i="3"/>
  <c r="P1244" i="3"/>
  <c r="P1245" i="3"/>
  <c r="P1246" i="3"/>
  <c r="P1247" i="3"/>
  <c r="P1248" i="3"/>
  <c r="P1249" i="3"/>
  <c r="P1250" i="3"/>
  <c r="P1251" i="3"/>
  <c r="P1252" i="3"/>
  <c r="P1253" i="3"/>
  <c r="P1254" i="3"/>
  <c r="P1255" i="3"/>
  <c r="P1256" i="3"/>
  <c r="P1257" i="3"/>
  <c r="P1258" i="3"/>
  <c r="P1259" i="3"/>
  <c r="P1260" i="3"/>
  <c r="P1261" i="3"/>
  <c r="P1262" i="3"/>
  <c r="P1263" i="3"/>
  <c r="P1264" i="3"/>
  <c r="P1265" i="3"/>
  <c r="P1266" i="3"/>
  <c r="P1267" i="3"/>
  <c r="P1268" i="3"/>
  <c r="P1269" i="3"/>
  <c r="P1270" i="3"/>
  <c r="P1271" i="3"/>
  <c r="P1272" i="3"/>
  <c r="P1273" i="3"/>
  <c r="P1274" i="3"/>
  <c r="P1275" i="3"/>
  <c r="P1276" i="3"/>
  <c r="P1277" i="3"/>
  <c r="P1278" i="3"/>
  <c r="P1279" i="3"/>
  <c r="P1280" i="3"/>
  <c r="P1281" i="3"/>
  <c r="P1282" i="3"/>
  <c r="P1283" i="3"/>
  <c r="P1284" i="3"/>
  <c r="P1285" i="3"/>
  <c r="P1286" i="3"/>
  <c r="P1287" i="3"/>
  <c r="P1288" i="3"/>
  <c r="P1289" i="3"/>
  <c r="P1290" i="3"/>
  <c r="P1291" i="3"/>
  <c r="P1292" i="3"/>
  <c r="P1293" i="3"/>
  <c r="P1294" i="3"/>
  <c r="P1295" i="3"/>
  <c r="P1296" i="3"/>
  <c r="P1297" i="3"/>
  <c r="P1298" i="3"/>
  <c r="P1299" i="3"/>
  <c r="P1300" i="3"/>
  <c r="P1301" i="3"/>
  <c r="P1302" i="3"/>
  <c r="P1303" i="3"/>
  <c r="P1304" i="3"/>
  <c r="P1305" i="3"/>
  <c r="P1306" i="3"/>
  <c r="P1307" i="3"/>
  <c r="P1308" i="3"/>
  <c r="P1309" i="3"/>
  <c r="P1310" i="3"/>
  <c r="P1311" i="3"/>
  <c r="P1312" i="3"/>
  <c r="P1313" i="3"/>
  <c r="P1314" i="3"/>
  <c r="P1315" i="3"/>
  <c r="P1316" i="3"/>
  <c r="P1317" i="3"/>
  <c r="P1318" i="3"/>
  <c r="P1319" i="3"/>
  <c r="P1320" i="3"/>
  <c r="P1321" i="3"/>
  <c r="P1322" i="3"/>
  <c r="P1323" i="3"/>
  <c r="P1324" i="3"/>
  <c r="P1325" i="3"/>
  <c r="P1326" i="3"/>
  <c r="P1327" i="3"/>
  <c r="P1328" i="3"/>
  <c r="P1329" i="3"/>
  <c r="P1330" i="3"/>
  <c r="P1331" i="3"/>
  <c r="P1332" i="3"/>
  <c r="P1333" i="3"/>
  <c r="P1334" i="3"/>
  <c r="P1335" i="3"/>
  <c r="P1336" i="3"/>
  <c r="P1337" i="3"/>
  <c r="P1338" i="3"/>
  <c r="P1339" i="3"/>
  <c r="P1340" i="3"/>
  <c r="P1341" i="3"/>
  <c r="P1342" i="3"/>
  <c r="P1343" i="3"/>
  <c r="P1344" i="3"/>
  <c r="P1345" i="3"/>
  <c r="P1346" i="3"/>
  <c r="P1347" i="3"/>
  <c r="P1348" i="3"/>
  <c r="P1349" i="3"/>
  <c r="P1350" i="3"/>
  <c r="P1351" i="3"/>
  <c r="P1352" i="3"/>
  <c r="P1353" i="3"/>
  <c r="P1354" i="3"/>
  <c r="P1355" i="3"/>
  <c r="P1356" i="3"/>
  <c r="P1357" i="3"/>
  <c r="P1358" i="3"/>
  <c r="P1359" i="3"/>
  <c r="P1360" i="3"/>
  <c r="P1361" i="3"/>
  <c r="P1362" i="3"/>
  <c r="P1363" i="3"/>
  <c r="P1364" i="3"/>
  <c r="P1365" i="3"/>
  <c r="P1366" i="3"/>
  <c r="P1367" i="3"/>
  <c r="P1368" i="3"/>
  <c r="P1369" i="3"/>
  <c r="P1370" i="3"/>
  <c r="P1371" i="3"/>
  <c r="P1372" i="3"/>
  <c r="P1373" i="3"/>
  <c r="P1374" i="3"/>
  <c r="P1375" i="3"/>
  <c r="P1376" i="3"/>
  <c r="P1377" i="3"/>
  <c r="P1378" i="3"/>
  <c r="P1379" i="3"/>
  <c r="P1380" i="3"/>
  <c r="P1381" i="3"/>
  <c r="P1382" i="3"/>
  <c r="P1383" i="3"/>
  <c r="P1384" i="3"/>
  <c r="P1385" i="3"/>
  <c r="P1386" i="3"/>
  <c r="P1387" i="3"/>
  <c r="P1388" i="3"/>
  <c r="P1389" i="3"/>
  <c r="P1390" i="3"/>
  <c r="P1391" i="3"/>
  <c r="P1392" i="3"/>
  <c r="P1393" i="3"/>
  <c r="P1394" i="3"/>
  <c r="P1395" i="3"/>
  <c r="P1396" i="3"/>
  <c r="P1397" i="3"/>
  <c r="P1398" i="3"/>
  <c r="P1399" i="3"/>
  <c r="P1400" i="3"/>
  <c r="P1401" i="3"/>
  <c r="P1402" i="3"/>
  <c r="P1403" i="3"/>
  <c r="P1404" i="3"/>
  <c r="P1405" i="3"/>
  <c r="P1406" i="3"/>
  <c r="P1407" i="3"/>
  <c r="P1408" i="3"/>
  <c r="P1409" i="3"/>
  <c r="P1410" i="3"/>
  <c r="P1411" i="3"/>
  <c r="P1412" i="3"/>
  <c r="P1413" i="3"/>
  <c r="P1414" i="3"/>
  <c r="P1415" i="3"/>
  <c r="P1416" i="3"/>
  <c r="P1417" i="3"/>
  <c r="P1418" i="3"/>
  <c r="P1419" i="3"/>
  <c r="P1420" i="3"/>
  <c r="P1421" i="3"/>
  <c r="P1422" i="3"/>
  <c r="P1423" i="3"/>
  <c r="P1424" i="3"/>
  <c r="P1425" i="3"/>
  <c r="P1426" i="3"/>
  <c r="P1427" i="3"/>
  <c r="P1428" i="3"/>
  <c r="P1429" i="3"/>
  <c r="P1430" i="3"/>
  <c r="P1431" i="3"/>
  <c r="P1432" i="3"/>
  <c r="P1433" i="3"/>
  <c r="P1434" i="3"/>
  <c r="P1435" i="3"/>
  <c r="P1436" i="3"/>
  <c r="P1437" i="3"/>
  <c r="P1438" i="3"/>
  <c r="P1439" i="3"/>
  <c r="P1440" i="3"/>
  <c r="P1441" i="3"/>
  <c r="P1442" i="3"/>
  <c r="P1443" i="3"/>
  <c r="P1444" i="3"/>
  <c r="P1445" i="3"/>
  <c r="P1446" i="3"/>
  <c r="P1447" i="3"/>
  <c r="P1448" i="3"/>
  <c r="P1449" i="3"/>
  <c r="P1450" i="3"/>
  <c r="P1451" i="3"/>
  <c r="P1452" i="3"/>
  <c r="P1453" i="3"/>
  <c r="P1454" i="3"/>
  <c r="P1455" i="3"/>
  <c r="P1456" i="3"/>
  <c r="P1457" i="3"/>
  <c r="P1458" i="3"/>
  <c r="P1459" i="3"/>
  <c r="P1460" i="3"/>
  <c r="P1461" i="3"/>
  <c r="P1462" i="3"/>
  <c r="P1463" i="3"/>
  <c r="P1464" i="3"/>
  <c r="P1465" i="3"/>
  <c r="P1466" i="3"/>
  <c r="P1467" i="3"/>
  <c r="P1468" i="3"/>
  <c r="P1469" i="3"/>
  <c r="P1470" i="3"/>
  <c r="P1471" i="3"/>
  <c r="P1472" i="3"/>
  <c r="P1473" i="3"/>
  <c r="P1474" i="3"/>
  <c r="P1475" i="3"/>
  <c r="P1476" i="3"/>
  <c r="P1477" i="3"/>
  <c r="P1478" i="3"/>
  <c r="P1479" i="3"/>
  <c r="P1480" i="3"/>
  <c r="P1481" i="3"/>
  <c r="P1482" i="3"/>
  <c r="P1483" i="3"/>
  <c r="P1484" i="3"/>
  <c r="P1485" i="3"/>
  <c r="P1486" i="3"/>
  <c r="P1487" i="3"/>
  <c r="P1488" i="3"/>
  <c r="P1489" i="3"/>
  <c r="P1490" i="3"/>
  <c r="P1491" i="3"/>
  <c r="P1492" i="3"/>
  <c r="P1493" i="3"/>
  <c r="P1494" i="3"/>
  <c r="P1495" i="3"/>
  <c r="P1496" i="3"/>
  <c r="P1497" i="3"/>
  <c r="P1498" i="3"/>
  <c r="P1499" i="3"/>
  <c r="P1500" i="3"/>
  <c r="P1501" i="3"/>
  <c r="H2" i="3"/>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H259" i="3"/>
  <c r="H260" i="3"/>
  <c r="H261" i="3"/>
  <c r="H262" i="3"/>
  <c r="H263" i="3"/>
  <c r="H264" i="3"/>
  <c r="H265" i="3"/>
  <c r="H266" i="3"/>
  <c r="H267" i="3"/>
  <c r="H268" i="3"/>
  <c r="H269" i="3"/>
  <c r="H270" i="3"/>
  <c r="H271" i="3"/>
  <c r="H272" i="3"/>
  <c r="H273" i="3"/>
  <c r="H274" i="3"/>
  <c r="H275" i="3"/>
  <c r="H276" i="3"/>
  <c r="H277" i="3"/>
  <c r="H278" i="3"/>
  <c r="H279" i="3"/>
  <c r="H280" i="3"/>
  <c r="H281" i="3"/>
  <c r="H282" i="3"/>
  <c r="H283" i="3"/>
  <c r="H284" i="3"/>
  <c r="H285" i="3"/>
  <c r="H286" i="3"/>
  <c r="H287" i="3"/>
  <c r="H288" i="3"/>
  <c r="H289" i="3"/>
  <c r="H290" i="3"/>
  <c r="H291" i="3"/>
  <c r="H292" i="3"/>
  <c r="H293" i="3"/>
  <c r="H294" i="3"/>
  <c r="H295" i="3"/>
  <c r="H296" i="3"/>
  <c r="H297" i="3"/>
  <c r="H298" i="3"/>
  <c r="H299" i="3"/>
  <c r="H300" i="3"/>
  <c r="H301" i="3"/>
  <c r="H302" i="3"/>
  <c r="H303" i="3"/>
  <c r="H304" i="3"/>
  <c r="H305" i="3"/>
  <c r="H306" i="3"/>
  <c r="H307" i="3"/>
  <c r="H308" i="3"/>
  <c r="H309" i="3"/>
  <c r="H310" i="3"/>
  <c r="H311" i="3"/>
  <c r="H312" i="3"/>
  <c r="H313" i="3"/>
  <c r="H314" i="3"/>
  <c r="H315" i="3"/>
  <c r="H316" i="3"/>
  <c r="H317" i="3"/>
  <c r="H318" i="3"/>
  <c r="H319" i="3"/>
  <c r="H320" i="3"/>
  <c r="H321" i="3"/>
  <c r="H322" i="3"/>
  <c r="H323" i="3"/>
  <c r="H324" i="3"/>
  <c r="H325" i="3"/>
  <c r="H326" i="3"/>
  <c r="H327" i="3"/>
  <c r="H328" i="3"/>
  <c r="H329" i="3"/>
  <c r="H330" i="3"/>
  <c r="H331" i="3"/>
  <c r="H332" i="3"/>
  <c r="H333" i="3"/>
  <c r="H334" i="3"/>
  <c r="H335" i="3"/>
  <c r="H336" i="3"/>
  <c r="H337" i="3"/>
  <c r="H338" i="3"/>
  <c r="H339" i="3"/>
  <c r="H340" i="3"/>
  <c r="H341" i="3"/>
  <c r="H342" i="3"/>
  <c r="H343" i="3"/>
  <c r="H344" i="3"/>
  <c r="H345" i="3"/>
  <c r="H346" i="3"/>
  <c r="H347" i="3"/>
  <c r="H348" i="3"/>
  <c r="H349" i="3"/>
  <c r="H350" i="3"/>
  <c r="H351" i="3"/>
  <c r="H352" i="3"/>
  <c r="H353" i="3"/>
  <c r="H354" i="3"/>
  <c r="H355" i="3"/>
  <c r="H356" i="3"/>
  <c r="H357" i="3"/>
  <c r="H358" i="3"/>
  <c r="H359" i="3"/>
  <c r="H360" i="3"/>
  <c r="H361" i="3"/>
  <c r="H362" i="3"/>
  <c r="H363" i="3"/>
  <c r="H364" i="3"/>
  <c r="H365" i="3"/>
  <c r="H366" i="3"/>
  <c r="H367" i="3"/>
  <c r="H368" i="3"/>
  <c r="H369" i="3"/>
  <c r="H370" i="3"/>
  <c r="H371" i="3"/>
  <c r="H372" i="3"/>
  <c r="H373" i="3"/>
  <c r="H374" i="3"/>
  <c r="H375" i="3"/>
  <c r="H376" i="3"/>
  <c r="H377" i="3"/>
  <c r="H378" i="3"/>
  <c r="H379" i="3"/>
  <c r="H380" i="3"/>
  <c r="H381" i="3"/>
  <c r="H382" i="3"/>
  <c r="H383" i="3"/>
  <c r="H384" i="3"/>
  <c r="H385" i="3"/>
  <c r="H386" i="3"/>
  <c r="H387" i="3"/>
  <c r="H388" i="3"/>
  <c r="H389" i="3"/>
  <c r="H390" i="3"/>
  <c r="H391" i="3"/>
  <c r="H392" i="3"/>
  <c r="H393" i="3"/>
  <c r="H394" i="3"/>
  <c r="H395" i="3"/>
  <c r="H396" i="3"/>
  <c r="H397" i="3"/>
  <c r="H398" i="3"/>
  <c r="H399" i="3"/>
  <c r="H400" i="3"/>
  <c r="H401" i="3"/>
  <c r="H402" i="3"/>
  <c r="H403" i="3"/>
  <c r="H404" i="3"/>
  <c r="H405" i="3"/>
  <c r="H406" i="3"/>
  <c r="H407" i="3"/>
  <c r="H408" i="3"/>
  <c r="H409" i="3"/>
  <c r="H410" i="3"/>
  <c r="H411" i="3"/>
  <c r="H412" i="3"/>
  <c r="H413" i="3"/>
  <c r="H414" i="3"/>
  <c r="H415" i="3"/>
  <c r="H416" i="3"/>
  <c r="H417" i="3"/>
  <c r="H418" i="3"/>
  <c r="H419" i="3"/>
  <c r="H420" i="3"/>
  <c r="H421" i="3"/>
  <c r="H422" i="3"/>
  <c r="H423" i="3"/>
  <c r="H424" i="3"/>
  <c r="H425" i="3"/>
  <c r="H426" i="3"/>
  <c r="H427" i="3"/>
  <c r="H428" i="3"/>
  <c r="H429" i="3"/>
  <c r="H430" i="3"/>
  <c r="H431" i="3"/>
  <c r="H432" i="3"/>
  <c r="H433" i="3"/>
  <c r="H434" i="3"/>
  <c r="H435" i="3"/>
  <c r="H436" i="3"/>
  <c r="H437" i="3"/>
  <c r="H438" i="3"/>
  <c r="H439" i="3"/>
  <c r="H440" i="3"/>
  <c r="H441" i="3"/>
  <c r="H442" i="3"/>
  <c r="H443" i="3"/>
  <c r="H444" i="3"/>
  <c r="H445" i="3"/>
  <c r="H446" i="3"/>
  <c r="H447" i="3"/>
  <c r="H448" i="3"/>
  <c r="H449" i="3"/>
  <c r="H450" i="3"/>
  <c r="H451" i="3"/>
  <c r="H452" i="3"/>
  <c r="H453" i="3"/>
  <c r="H454" i="3"/>
  <c r="H455" i="3"/>
  <c r="H456" i="3"/>
  <c r="H457" i="3"/>
  <c r="H458" i="3"/>
  <c r="H459" i="3"/>
  <c r="H460" i="3"/>
  <c r="H461" i="3"/>
  <c r="H462" i="3"/>
  <c r="H463" i="3"/>
  <c r="H464" i="3"/>
  <c r="H465" i="3"/>
  <c r="H466" i="3"/>
  <c r="H467" i="3"/>
  <c r="H468" i="3"/>
  <c r="H469" i="3"/>
  <c r="H470" i="3"/>
  <c r="H471" i="3"/>
  <c r="H472" i="3"/>
  <c r="H473" i="3"/>
  <c r="H474" i="3"/>
  <c r="H475" i="3"/>
  <c r="H476" i="3"/>
  <c r="H477" i="3"/>
  <c r="H478" i="3"/>
  <c r="H479" i="3"/>
  <c r="H480" i="3"/>
  <c r="H481" i="3"/>
  <c r="H482" i="3"/>
  <c r="H483" i="3"/>
  <c r="H484" i="3"/>
  <c r="H485" i="3"/>
  <c r="H486" i="3"/>
  <c r="H487" i="3"/>
  <c r="H488" i="3"/>
  <c r="H489" i="3"/>
  <c r="H490" i="3"/>
  <c r="H491" i="3"/>
  <c r="H492" i="3"/>
  <c r="H493" i="3"/>
  <c r="H494" i="3"/>
  <c r="H495" i="3"/>
  <c r="H496" i="3"/>
  <c r="H497" i="3"/>
  <c r="H498" i="3"/>
  <c r="H499" i="3"/>
  <c r="H500" i="3"/>
  <c r="H501" i="3"/>
  <c r="H502" i="3"/>
  <c r="H503" i="3"/>
  <c r="H504" i="3"/>
  <c r="H505" i="3"/>
  <c r="H506" i="3"/>
  <c r="H507" i="3"/>
  <c r="H508" i="3"/>
  <c r="H509" i="3"/>
  <c r="H510" i="3"/>
  <c r="H511" i="3"/>
  <c r="H512" i="3"/>
  <c r="H513" i="3"/>
  <c r="H514" i="3"/>
  <c r="H515" i="3"/>
  <c r="H516" i="3"/>
  <c r="H517" i="3"/>
  <c r="H518" i="3"/>
  <c r="H519" i="3"/>
  <c r="H520" i="3"/>
  <c r="H521" i="3"/>
  <c r="H522" i="3"/>
  <c r="H523" i="3"/>
  <c r="H524" i="3"/>
  <c r="H525" i="3"/>
  <c r="H526" i="3"/>
  <c r="H527" i="3"/>
  <c r="H528" i="3"/>
  <c r="H529" i="3"/>
  <c r="H530" i="3"/>
  <c r="H531" i="3"/>
  <c r="H532" i="3"/>
  <c r="H533" i="3"/>
  <c r="H534" i="3"/>
  <c r="H535" i="3"/>
  <c r="H536" i="3"/>
  <c r="H537" i="3"/>
  <c r="H538" i="3"/>
  <c r="H539" i="3"/>
  <c r="H540" i="3"/>
  <c r="H541" i="3"/>
  <c r="H542" i="3"/>
  <c r="H543" i="3"/>
  <c r="H544" i="3"/>
  <c r="H545" i="3"/>
  <c r="H546" i="3"/>
  <c r="H547" i="3"/>
  <c r="H548" i="3"/>
  <c r="H549" i="3"/>
  <c r="H550" i="3"/>
  <c r="H551" i="3"/>
  <c r="H552" i="3"/>
  <c r="H553" i="3"/>
  <c r="H554" i="3"/>
  <c r="H555" i="3"/>
  <c r="H556" i="3"/>
  <c r="H557" i="3"/>
  <c r="H558" i="3"/>
  <c r="H559" i="3"/>
  <c r="H560" i="3"/>
  <c r="H561" i="3"/>
  <c r="H562" i="3"/>
  <c r="H563" i="3"/>
  <c r="H564" i="3"/>
  <c r="H565" i="3"/>
  <c r="H566" i="3"/>
  <c r="H567" i="3"/>
  <c r="H568" i="3"/>
  <c r="H569" i="3"/>
  <c r="H570" i="3"/>
  <c r="H571" i="3"/>
  <c r="H572" i="3"/>
  <c r="H573" i="3"/>
  <c r="H574" i="3"/>
  <c r="H575" i="3"/>
  <c r="H576" i="3"/>
  <c r="H577" i="3"/>
  <c r="H578" i="3"/>
  <c r="H579" i="3"/>
  <c r="H580" i="3"/>
  <c r="H581" i="3"/>
  <c r="H582" i="3"/>
  <c r="H583" i="3"/>
  <c r="H584" i="3"/>
  <c r="H585" i="3"/>
  <c r="H586" i="3"/>
  <c r="H587" i="3"/>
  <c r="H588" i="3"/>
  <c r="H589" i="3"/>
  <c r="H590" i="3"/>
  <c r="H591" i="3"/>
  <c r="H592" i="3"/>
  <c r="H593" i="3"/>
  <c r="H594" i="3"/>
  <c r="H595" i="3"/>
  <c r="H596" i="3"/>
  <c r="H597" i="3"/>
  <c r="H598" i="3"/>
  <c r="H599" i="3"/>
  <c r="H600" i="3"/>
  <c r="H601" i="3"/>
  <c r="H602" i="3"/>
  <c r="H603" i="3"/>
  <c r="H604" i="3"/>
  <c r="H605" i="3"/>
  <c r="H606" i="3"/>
  <c r="H607" i="3"/>
  <c r="H608" i="3"/>
  <c r="H609" i="3"/>
  <c r="H610" i="3"/>
  <c r="H611" i="3"/>
  <c r="H612" i="3"/>
  <c r="H613" i="3"/>
  <c r="H614" i="3"/>
  <c r="H615" i="3"/>
  <c r="H616" i="3"/>
  <c r="H617" i="3"/>
  <c r="H618" i="3"/>
  <c r="H619" i="3"/>
  <c r="H620" i="3"/>
  <c r="H621" i="3"/>
  <c r="H622" i="3"/>
  <c r="H623" i="3"/>
  <c r="H624" i="3"/>
  <c r="H625" i="3"/>
  <c r="H626" i="3"/>
  <c r="H627" i="3"/>
  <c r="H628" i="3"/>
  <c r="H629" i="3"/>
  <c r="H630" i="3"/>
  <c r="H631" i="3"/>
  <c r="H632" i="3"/>
  <c r="H633" i="3"/>
  <c r="H634" i="3"/>
  <c r="H635" i="3"/>
  <c r="H636" i="3"/>
  <c r="H637" i="3"/>
  <c r="H638" i="3"/>
  <c r="H639" i="3"/>
  <c r="H640" i="3"/>
  <c r="H641" i="3"/>
  <c r="H642" i="3"/>
  <c r="H643" i="3"/>
  <c r="H644" i="3"/>
  <c r="H645" i="3"/>
  <c r="H646" i="3"/>
  <c r="H647" i="3"/>
  <c r="H648" i="3"/>
  <c r="H649" i="3"/>
  <c r="H650" i="3"/>
  <c r="H651" i="3"/>
  <c r="H652" i="3"/>
  <c r="H653" i="3"/>
  <c r="H654" i="3"/>
  <c r="H655" i="3"/>
  <c r="H656" i="3"/>
  <c r="H657" i="3"/>
  <c r="H658" i="3"/>
  <c r="H659" i="3"/>
  <c r="H660" i="3"/>
  <c r="H661" i="3"/>
  <c r="H662" i="3"/>
  <c r="H663" i="3"/>
  <c r="H664" i="3"/>
  <c r="H665" i="3"/>
  <c r="H666" i="3"/>
  <c r="H667" i="3"/>
  <c r="H668" i="3"/>
  <c r="H669" i="3"/>
  <c r="H670" i="3"/>
  <c r="H671" i="3"/>
  <c r="H672" i="3"/>
  <c r="H673" i="3"/>
  <c r="H674" i="3"/>
  <c r="H675" i="3"/>
  <c r="H676" i="3"/>
  <c r="H677" i="3"/>
  <c r="H678" i="3"/>
  <c r="H679" i="3"/>
  <c r="H680" i="3"/>
  <c r="H681" i="3"/>
  <c r="H682" i="3"/>
  <c r="H683" i="3"/>
  <c r="H684" i="3"/>
  <c r="H685" i="3"/>
  <c r="H686" i="3"/>
  <c r="H687" i="3"/>
  <c r="H688" i="3"/>
  <c r="H689" i="3"/>
  <c r="H690" i="3"/>
  <c r="H691" i="3"/>
  <c r="H692" i="3"/>
  <c r="H693" i="3"/>
  <c r="H694" i="3"/>
  <c r="H695" i="3"/>
  <c r="H696" i="3"/>
  <c r="H697" i="3"/>
  <c r="H698" i="3"/>
  <c r="H699" i="3"/>
  <c r="H700" i="3"/>
  <c r="H701" i="3"/>
  <c r="H702" i="3"/>
  <c r="H703" i="3"/>
  <c r="H704" i="3"/>
  <c r="H705" i="3"/>
  <c r="H706" i="3"/>
  <c r="H707" i="3"/>
  <c r="H708" i="3"/>
  <c r="H709" i="3"/>
  <c r="H710" i="3"/>
  <c r="H711" i="3"/>
  <c r="H712" i="3"/>
  <c r="H713" i="3"/>
  <c r="H714" i="3"/>
  <c r="H715" i="3"/>
  <c r="H716" i="3"/>
  <c r="H717" i="3"/>
  <c r="H718" i="3"/>
  <c r="H719" i="3"/>
  <c r="H720" i="3"/>
  <c r="H721" i="3"/>
  <c r="H722" i="3"/>
  <c r="H723" i="3"/>
  <c r="H724" i="3"/>
  <c r="H725" i="3"/>
  <c r="H726" i="3"/>
  <c r="H727" i="3"/>
  <c r="H728" i="3"/>
  <c r="H729" i="3"/>
  <c r="H730" i="3"/>
  <c r="H731" i="3"/>
  <c r="H732" i="3"/>
  <c r="H733" i="3"/>
  <c r="H734" i="3"/>
  <c r="H735" i="3"/>
  <c r="H736" i="3"/>
  <c r="H737" i="3"/>
  <c r="H738" i="3"/>
  <c r="H739" i="3"/>
  <c r="H740" i="3"/>
  <c r="H741" i="3"/>
  <c r="H742" i="3"/>
  <c r="H743" i="3"/>
  <c r="H744" i="3"/>
  <c r="H745" i="3"/>
  <c r="H746" i="3"/>
  <c r="H747" i="3"/>
  <c r="H748" i="3"/>
  <c r="H749" i="3"/>
  <c r="H750" i="3"/>
  <c r="H751" i="3"/>
  <c r="H752" i="3"/>
  <c r="H753" i="3"/>
  <c r="H754" i="3"/>
  <c r="H755" i="3"/>
  <c r="H756" i="3"/>
  <c r="H757" i="3"/>
  <c r="H758" i="3"/>
  <c r="H759" i="3"/>
  <c r="H760" i="3"/>
  <c r="H761" i="3"/>
  <c r="H762" i="3"/>
  <c r="H763" i="3"/>
  <c r="H764" i="3"/>
  <c r="H765" i="3"/>
  <c r="H766" i="3"/>
  <c r="H767" i="3"/>
  <c r="H768" i="3"/>
  <c r="H769" i="3"/>
  <c r="H770" i="3"/>
  <c r="H771" i="3"/>
  <c r="H772" i="3"/>
  <c r="H773" i="3"/>
  <c r="H774" i="3"/>
  <c r="H775" i="3"/>
  <c r="H776" i="3"/>
  <c r="H777" i="3"/>
  <c r="H778" i="3"/>
  <c r="H779" i="3"/>
  <c r="H780" i="3"/>
  <c r="H781" i="3"/>
  <c r="H782" i="3"/>
  <c r="H783" i="3"/>
  <c r="H784" i="3"/>
  <c r="H785" i="3"/>
  <c r="H786" i="3"/>
  <c r="H787" i="3"/>
  <c r="H788" i="3"/>
  <c r="H789" i="3"/>
  <c r="H790" i="3"/>
  <c r="H791" i="3"/>
  <c r="H792" i="3"/>
  <c r="H793" i="3"/>
  <c r="H794" i="3"/>
  <c r="H795" i="3"/>
  <c r="H796" i="3"/>
  <c r="H797" i="3"/>
  <c r="H798" i="3"/>
  <c r="H799" i="3"/>
  <c r="H800" i="3"/>
  <c r="H801" i="3"/>
  <c r="H802" i="3"/>
  <c r="H803" i="3"/>
  <c r="H804" i="3"/>
  <c r="H805" i="3"/>
  <c r="H806" i="3"/>
  <c r="H807" i="3"/>
  <c r="H808" i="3"/>
  <c r="H809" i="3"/>
  <c r="H810" i="3"/>
  <c r="H811" i="3"/>
  <c r="H812" i="3"/>
  <c r="H813" i="3"/>
  <c r="H814" i="3"/>
  <c r="H815" i="3"/>
  <c r="H816" i="3"/>
  <c r="H817" i="3"/>
  <c r="H818" i="3"/>
  <c r="H819" i="3"/>
  <c r="H820" i="3"/>
  <c r="H821" i="3"/>
  <c r="H822" i="3"/>
  <c r="H823" i="3"/>
  <c r="H824" i="3"/>
  <c r="H825" i="3"/>
  <c r="H826" i="3"/>
  <c r="H827" i="3"/>
  <c r="H828" i="3"/>
  <c r="H829" i="3"/>
  <c r="H830" i="3"/>
  <c r="H831" i="3"/>
  <c r="H832" i="3"/>
  <c r="H833" i="3"/>
  <c r="H834" i="3"/>
  <c r="H835" i="3"/>
  <c r="H836" i="3"/>
  <c r="H837" i="3"/>
  <c r="H838" i="3"/>
  <c r="H839" i="3"/>
  <c r="H840" i="3"/>
  <c r="H841" i="3"/>
  <c r="H842" i="3"/>
  <c r="H843" i="3"/>
  <c r="H844" i="3"/>
  <c r="H845" i="3"/>
  <c r="H846" i="3"/>
  <c r="H847" i="3"/>
  <c r="H848" i="3"/>
  <c r="H849" i="3"/>
  <c r="H850" i="3"/>
  <c r="H851" i="3"/>
  <c r="H852" i="3"/>
  <c r="H853" i="3"/>
  <c r="H854" i="3"/>
  <c r="H855" i="3"/>
  <c r="H856" i="3"/>
  <c r="H857" i="3"/>
  <c r="H858" i="3"/>
  <c r="H859" i="3"/>
  <c r="H860" i="3"/>
  <c r="H861" i="3"/>
  <c r="H862" i="3"/>
  <c r="H863" i="3"/>
  <c r="H864" i="3"/>
  <c r="H865" i="3"/>
  <c r="H866" i="3"/>
  <c r="H867" i="3"/>
  <c r="H868" i="3"/>
  <c r="H869" i="3"/>
  <c r="H870" i="3"/>
  <c r="H871" i="3"/>
  <c r="H872" i="3"/>
  <c r="H873" i="3"/>
  <c r="H874" i="3"/>
  <c r="H875" i="3"/>
  <c r="H876" i="3"/>
  <c r="H877" i="3"/>
  <c r="H878" i="3"/>
  <c r="H879" i="3"/>
  <c r="H880" i="3"/>
  <c r="H881" i="3"/>
  <c r="H882" i="3"/>
  <c r="H883" i="3"/>
  <c r="H884" i="3"/>
  <c r="H885" i="3"/>
  <c r="H886" i="3"/>
  <c r="H887" i="3"/>
  <c r="H888" i="3"/>
  <c r="H889" i="3"/>
  <c r="H890" i="3"/>
  <c r="H891" i="3"/>
  <c r="H892" i="3"/>
  <c r="H893" i="3"/>
  <c r="H894" i="3"/>
  <c r="H895" i="3"/>
  <c r="H896" i="3"/>
  <c r="H897" i="3"/>
  <c r="H898" i="3"/>
  <c r="H899" i="3"/>
  <c r="H900" i="3"/>
  <c r="H901" i="3"/>
  <c r="H902" i="3"/>
  <c r="H903" i="3"/>
  <c r="H904" i="3"/>
  <c r="H905" i="3"/>
  <c r="H906" i="3"/>
  <c r="H907" i="3"/>
  <c r="H908" i="3"/>
  <c r="H909" i="3"/>
  <c r="H910" i="3"/>
  <c r="H911" i="3"/>
  <c r="H912" i="3"/>
  <c r="H913" i="3"/>
  <c r="H914" i="3"/>
  <c r="H915" i="3"/>
  <c r="H916" i="3"/>
  <c r="H917" i="3"/>
  <c r="H918" i="3"/>
  <c r="H919" i="3"/>
  <c r="H920" i="3"/>
  <c r="H921" i="3"/>
  <c r="H922" i="3"/>
  <c r="H923" i="3"/>
  <c r="H924" i="3"/>
  <c r="H925" i="3"/>
  <c r="H926" i="3"/>
  <c r="H927" i="3"/>
  <c r="H928" i="3"/>
  <c r="H929" i="3"/>
  <c r="H930" i="3"/>
  <c r="H931" i="3"/>
  <c r="H932" i="3"/>
  <c r="H933" i="3"/>
  <c r="H934" i="3"/>
  <c r="H935" i="3"/>
  <c r="H936" i="3"/>
  <c r="H937" i="3"/>
  <c r="H938" i="3"/>
  <c r="H939" i="3"/>
  <c r="H940" i="3"/>
  <c r="H941" i="3"/>
  <c r="H942" i="3"/>
  <c r="H943" i="3"/>
  <c r="H944" i="3"/>
  <c r="H945" i="3"/>
  <c r="H946" i="3"/>
  <c r="H947" i="3"/>
  <c r="H948" i="3"/>
  <c r="H949" i="3"/>
  <c r="H950" i="3"/>
  <c r="H951" i="3"/>
  <c r="H952" i="3"/>
  <c r="H953" i="3"/>
  <c r="H954" i="3"/>
  <c r="H955" i="3"/>
  <c r="H956" i="3"/>
  <c r="H957" i="3"/>
  <c r="H958" i="3"/>
  <c r="H959" i="3"/>
  <c r="H960" i="3"/>
  <c r="H961" i="3"/>
  <c r="H962" i="3"/>
  <c r="H963" i="3"/>
  <c r="H964" i="3"/>
  <c r="H965" i="3"/>
  <c r="H966" i="3"/>
  <c r="H967" i="3"/>
  <c r="H968" i="3"/>
  <c r="H969" i="3"/>
  <c r="H970" i="3"/>
  <c r="H971" i="3"/>
  <c r="H972" i="3"/>
  <c r="H973" i="3"/>
  <c r="H974" i="3"/>
  <c r="H975" i="3"/>
  <c r="H976" i="3"/>
  <c r="H977" i="3"/>
  <c r="H978" i="3"/>
  <c r="H979" i="3"/>
  <c r="H980" i="3"/>
  <c r="H981" i="3"/>
  <c r="H982" i="3"/>
  <c r="H983" i="3"/>
  <c r="H984" i="3"/>
  <c r="H985" i="3"/>
  <c r="H986" i="3"/>
  <c r="H987" i="3"/>
  <c r="H988" i="3"/>
  <c r="H989" i="3"/>
  <c r="H990" i="3"/>
  <c r="H991" i="3"/>
  <c r="H992" i="3"/>
  <c r="H993" i="3"/>
  <c r="H994" i="3"/>
  <c r="H995" i="3"/>
  <c r="H996" i="3"/>
  <c r="H997" i="3"/>
  <c r="H998" i="3"/>
  <c r="H999" i="3"/>
  <c r="H1000" i="3"/>
  <c r="H1001" i="3"/>
  <c r="H1002" i="3"/>
  <c r="H1003" i="3"/>
  <c r="H1004" i="3"/>
  <c r="H1005" i="3"/>
  <c r="H1006" i="3"/>
  <c r="H1007" i="3"/>
  <c r="H1008" i="3"/>
  <c r="H1009" i="3"/>
  <c r="H1010" i="3"/>
  <c r="H1011" i="3"/>
  <c r="H1012" i="3"/>
  <c r="H1013" i="3"/>
  <c r="H1014" i="3"/>
  <c r="H1015" i="3"/>
  <c r="H1016" i="3"/>
  <c r="H1017" i="3"/>
  <c r="H1018" i="3"/>
  <c r="H1019" i="3"/>
  <c r="H1020" i="3"/>
  <c r="H1021" i="3"/>
  <c r="H1022" i="3"/>
  <c r="H1023" i="3"/>
  <c r="H1024" i="3"/>
  <c r="H1025" i="3"/>
  <c r="H1026" i="3"/>
  <c r="H1027" i="3"/>
  <c r="H1028" i="3"/>
  <c r="H1029" i="3"/>
  <c r="H1030" i="3"/>
  <c r="H1031" i="3"/>
  <c r="H1032" i="3"/>
  <c r="H1033" i="3"/>
  <c r="H1034" i="3"/>
  <c r="H1035" i="3"/>
  <c r="H1036" i="3"/>
  <c r="H1037" i="3"/>
  <c r="H1038" i="3"/>
  <c r="H1039" i="3"/>
  <c r="H1040" i="3"/>
  <c r="H1041" i="3"/>
  <c r="H1042" i="3"/>
  <c r="H1043" i="3"/>
  <c r="H1044" i="3"/>
  <c r="H1045" i="3"/>
  <c r="H1046" i="3"/>
  <c r="H1047" i="3"/>
  <c r="H1048" i="3"/>
  <c r="H1049" i="3"/>
  <c r="H1050" i="3"/>
  <c r="H1051" i="3"/>
  <c r="H1052" i="3"/>
  <c r="H1053" i="3"/>
  <c r="H1054" i="3"/>
  <c r="H1055" i="3"/>
  <c r="H1056" i="3"/>
  <c r="H1057" i="3"/>
  <c r="H1058" i="3"/>
  <c r="H1059" i="3"/>
  <c r="H1060" i="3"/>
  <c r="H1061" i="3"/>
  <c r="H1062" i="3"/>
  <c r="H1063" i="3"/>
  <c r="H1064" i="3"/>
  <c r="H1065" i="3"/>
  <c r="H1066" i="3"/>
  <c r="H1067" i="3"/>
  <c r="H1068" i="3"/>
  <c r="H1069" i="3"/>
  <c r="H1070" i="3"/>
  <c r="H1071" i="3"/>
  <c r="H1072" i="3"/>
  <c r="H1073" i="3"/>
  <c r="H1074" i="3"/>
  <c r="H1075" i="3"/>
  <c r="H1076" i="3"/>
  <c r="H1077" i="3"/>
  <c r="H1078" i="3"/>
  <c r="H1079" i="3"/>
  <c r="H1080" i="3"/>
  <c r="H1081" i="3"/>
  <c r="H1082" i="3"/>
  <c r="H1083" i="3"/>
  <c r="H1084" i="3"/>
  <c r="H1085" i="3"/>
  <c r="H1086" i="3"/>
  <c r="H1087" i="3"/>
  <c r="H1088" i="3"/>
  <c r="H1089" i="3"/>
  <c r="H1090" i="3"/>
  <c r="H1091" i="3"/>
  <c r="H1092" i="3"/>
  <c r="H1093" i="3"/>
  <c r="H1094" i="3"/>
  <c r="H1095" i="3"/>
  <c r="H1096" i="3"/>
  <c r="H1097" i="3"/>
  <c r="H1098" i="3"/>
  <c r="H1099" i="3"/>
  <c r="H1100" i="3"/>
  <c r="H1101" i="3"/>
  <c r="H1102" i="3"/>
  <c r="H1103" i="3"/>
  <c r="H1104" i="3"/>
  <c r="H1105" i="3"/>
  <c r="H1106" i="3"/>
  <c r="H1107" i="3"/>
  <c r="H1108" i="3"/>
  <c r="H1109" i="3"/>
  <c r="H1110" i="3"/>
  <c r="H1111" i="3"/>
  <c r="H1112" i="3"/>
  <c r="H1113" i="3"/>
  <c r="H1114" i="3"/>
  <c r="H1115" i="3"/>
  <c r="H1116" i="3"/>
  <c r="H1117" i="3"/>
  <c r="H1118" i="3"/>
  <c r="H1119" i="3"/>
  <c r="H1120" i="3"/>
  <c r="H1121" i="3"/>
  <c r="H1122" i="3"/>
  <c r="H1123" i="3"/>
  <c r="H1124" i="3"/>
  <c r="H1125" i="3"/>
  <c r="H1126" i="3"/>
  <c r="H1127" i="3"/>
  <c r="H1128" i="3"/>
  <c r="H1129" i="3"/>
  <c r="H1130" i="3"/>
  <c r="H1131" i="3"/>
  <c r="H1132" i="3"/>
  <c r="H1133" i="3"/>
  <c r="H1134" i="3"/>
  <c r="H1135" i="3"/>
  <c r="H1136" i="3"/>
  <c r="H1137" i="3"/>
  <c r="H1138" i="3"/>
  <c r="H1139" i="3"/>
  <c r="H1140" i="3"/>
  <c r="H1141" i="3"/>
  <c r="H1142" i="3"/>
  <c r="H1143" i="3"/>
  <c r="H1144" i="3"/>
  <c r="H1145" i="3"/>
  <c r="H1146" i="3"/>
  <c r="H1147" i="3"/>
  <c r="H1148" i="3"/>
  <c r="H1149" i="3"/>
  <c r="H1150" i="3"/>
  <c r="H1151" i="3"/>
  <c r="H1152" i="3"/>
  <c r="H1153" i="3"/>
  <c r="H1154" i="3"/>
  <c r="H1155" i="3"/>
  <c r="H1156" i="3"/>
  <c r="H1157" i="3"/>
  <c r="H1158" i="3"/>
  <c r="H1159" i="3"/>
  <c r="H1160" i="3"/>
  <c r="H1161" i="3"/>
  <c r="H1162" i="3"/>
  <c r="H1163" i="3"/>
  <c r="H1164" i="3"/>
  <c r="H1165" i="3"/>
  <c r="H1166" i="3"/>
  <c r="H1167" i="3"/>
  <c r="H1168" i="3"/>
  <c r="H1169" i="3"/>
  <c r="H1170" i="3"/>
  <c r="H1171" i="3"/>
  <c r="H1172" i="3"/>
  <c r="H1173" i="3"/>
  <c r="H1174" i="3"/>
  <c r="H1175" i="3"/>
  <c r="H1176" i="3"/>
  <c r="H1177" i="3"/>
  <c r="H1178" i="3"/>
  <c r="H1179" i="3"/>
  <c r="H1180" i="3"/>
  <c r="H1181" i="3"/>
  <c r="H1182" i="3"/>
  <c r="H1183" i="3"/>
  <c r="H1184" i="3"/>
  <c r="H1185" i="3"/>
  <c r="H1186" i="3"/>
  <c r="H1187" i="3"/>
  <c r="H1188" i="3"/>
  <c r="H1189" i="3"/>
  <c r="H1190" i="3"/>
  <c r="H1191" i="3"/>
  <c r="H1192" i="3"/>
  <c r="H1193" i="3"/>
  <c r="H1194" i="3"/>
  <c r="H1195" i="3"/>
  <c r="H1196" i="3"/>
  <c r="H1197" i="3"/>
  <c r="H1198" i="3"/>
  <c r="H1199" i="3"/>
  <c r="H1200" i="3"/>
  <c r="H1201" i="3"/>
  <c r="H1202" i="3"/>
  <c r="H1203" i="3"/>
  <c r="H1204" i="3"/>
  <c r="H1205" i="3"/>
  <c r="H1206" i="3"/>
  <c r="H1207" i="3"/>
  <c r="H1208" i="3"/>
  <c r="H1209" i="3"/>
  <c r="H1210" i="3"/>
  <c r="H1211" i="3"/>
  <c r="H1212" i="3"/>
  <c r="H1213" i="3"/>
  <c r="H1214" i="3"/>
  <c r="H1215" i="3"/>
  <c r="H1216" i="3"/>
  <c r="H1217" i="3"/>
  <c r="H1218" i="3"/>
  <c r="H1219" i="3"/>
  <c r="H1220" i="3"/>
  <c r="H1221" i="3"/>
  <c r="H1222" i="3"/>
  <c r="H1223" i="3"/>
  <c r="H1224" i="3"/>
  <c r="H1225" i="3"/>
  <c r="H1226" i="3"/>
  <c r="H1227" i="3"/>
  <c r="H1228" i="3"/>
  <c r="H1229" i="3"/>
  <c r="H1230" i="3"/>
  <c r="H1231" i="3"/>
  <c r="H1232" i="3"/>
  <c r="H1233" i="3"/>
  <c r="H1234" i="3"/>
  <c r="H1235" i="3"/>
  <c r="H1236" i="3"/>
  <c r="H1237" i="3"/>
  <c r="H1238" i="3"/>
  <c r="H1239" i="3"/>
  <c r="H1240" i="3"/>
  <c r="H1241" i="3"/>
  <c r="H1242" i="3"/>
  <c r="H1243" i="3"/>
  <c r="H1244" i="3"/>
  <c r="H1245" i="3"/>
  <c r="H1246" i="3"/>
  <c r="H1247" i="3"/>
  <c r="H1248" i="3"/>
  <c r="H1249" i="3"/>
  <c r="H1250" i="3"/>
  <c r="H1251" i="3"/>
  <c r="H1252" i="3"/>
  <c r="H1253" i="3"/>
  <c r="H1254" i="3"/>
  <c r="H1255" i="3"/>
  <c r="H1256" i="3"/>
  <c r="H1257" i="3"/>
  <c r="H1258" i="3"/>
  <c r="H1259" i="3"/>
  <c r="H1260" i="3"/>
  <c r="H1261" i="3"/>
  <c r="H1262" i="3"/>
  <c r="H1263" i="3"/>
  <c r="H1264" i="3"/>
  <c r="H1265" i="3"/>
  <c r="H1266" i="3"/>
  <c r="H1267" i="3"/>
  <c r="H1268" i="3"/>
  <c r="H1269" i="3"/>
  <c r="H1270" i="3"/>
  <c r="H1271" i="3"/>
  <c r="H1272" i="3"/>
  <c r="H1273" i="3"/>
  <c r="H1274" i="3"/>
  <c r="H1275" i="3"/>
  <c r="H1276" i="3"/>
  <c r="H1277" i="3"/>
  <c r="H1278" i="3"/>
  <c r="H1279" i="3"/>
  <c r="H1280" i="3"/>
  <c r="H1281" i="3"/>
  <c r="H1282" i="3"/>
  <c r="H1283" i="3"/>
  <c r="H1284" i="3"/>
  <c r="H1285" i="3"/>
  <c r="H1286" i="3"/>
  <c r="H1287" i="3"/>
  <c r="H1288" i="3"/>
  <c r="H1289" i="3"/>
  <c r="H1290" i="3"/>
  <c r="H1291" i="3"/>
  <c r="H1292" i="3"/>
  <c r="H1293" i="3"/>
  <c r="H1294" i="3"/>
  <c r="H1295" i="3"/>
  <c r="H1296" i="3"/>
  <c r="H1297" i="3"/>
  <c r="H1298" i="3"/>
  <c r="H1299" i="3"/>
  <c r="H1300" i="3"/>
  <c r="H1301" i="3"/>
  <c r="H1302" i="3"/>
  <c r="H1303" i="3"/>
  <c r="H1304" i="3"/>
  <c r="H1305" i="3"/>
  <c r="H1306" i="3"/>
  <c r="H1307" i="3"/>
  <c r="H1308" i="3"/>
  <c r="H1309" i="3"/>
  <c r="H1310" i="3"/>
  <c r="H1311" i="3"/>
  <c r="H1312" i="3"/>
  <c r="H1313" i="3"/>
  <c r="H1314" i="3"/>
  <c r="H1315" i="3"/>
  <c r="H1316" i="3"/>
  <c r="H1317" i="3"/>
  <c r="H1318" i="3"/>
  <c r="H1319" i="3"/>
  <c r="H1320" i="3"/>
  <c r="H1321" i="3"/>
  <c r="H1322" i="3"/>
  <c r="H1323" i="3"/>
  <c r="H1324" i="3"/>
  <c r="H1325" i="3"/>
  <c r="H1326" i="3"/>
  <c r="H1327" i="3"/>
  <c r="H1328" i="3"/>
  <c r="H1329" i="3"/>
  <c r="H1330" i="3"/>
  <c r="H1331" i="3"/>
  <c r="H1332" i="3"/>
  <c r="H1333" i="3"/>
  <c r="H1334" i="3"/>
  <c r="H1335" i="3"/>
  <c r="H1336" i="3"/>
  <c r="H1337" i="3"/>
  <c r="H1338" i="3"/>
  <c r="H1339" i="3"/>
  <c r="H1340" i="3"/>
  <c r="H1341" i="3"/>
  <c r="H1342" i="3"/>
  <c r="H1343" i="3"/>
  <c r="H1344" i="3"/>
  <c r="H1345" i="3"/>
  <c r="H1346" i="3"/>
  <c r="H1347" i="3"/>
  <c r="H1348" i="3"/>
  <c r="H1349" i="3"/>
  <c r="H1350" i="3"/>
  <c r="H1351" i="3"/>
  <c r="H1352" i="3"/>
  <c r="H1353" i="3"/>
  <c r="H1354" i="3"/>
  <c r="H1355" i="3"/>
  <c r="H1356" i="3"/>
  <c r="H1357" i="3"/>
  <c r="H1358" i="3"/>
  <c r="H1359" i="3"/>
  <c r="H1360" i="3"/>
  <c r="H1361" i="3"/>
  <c r="H1362" i="3"/>
  <c r="H1363" i="3"/>
  <c r="H1364" i="3"/>
  <c r="H1365" i="3"/>
  <c r="H1366" i="3"/>
  <c r="H1367" i="3"/>
  <c r="H1368" i="3"/>
  <c r="H1369" i="3"/>
  <c r="H1370" i="3"/>
  <c r="H1371" i="3"/>
  <c r="H1372" i="3"/>
  <c r="H1373" i="3"/>
  <c r="H1374" i="3"/>
  <c r="H1375" i="3"/>
  <c r="H1376" i="3"/>
  <c r="H1377" i="3"/>
  <c r="H1378" i="3"/>
  <c r="H1379" i="3"/>
  <c r="H1380" i="3"/>
  <c r="H1381" i="3"/>
  <c r="H1382" i="3"/>
  <c r="H1383" i="3"/>
  <c r="H1384" i="3"/>
  <c r="H1385" i="3"/>
  <c r="H1386" i="3"/>
  <c r="H1387" i="3"/>
  <c r="H1388" i="3"/>
  <c r="H1389" i="3"/>
  <c r="H1390" i="3"/>
  <c r="H1391" i="3"/>
  <c r="H1392" i="3"/>
  <c r="H1393" i="3"/>
  <c r="H1394" i="3"/>
  <c r="H1395" i="3"/>
  <c r="H1396" i="3"/>
  <c r="H1397" i="3"/>
  <c r="H1398" i="3"/>
  <c r="H1399" i="3"/>
  <c r="H1400" i="3"/>
  <c r="H1401" i="3"/>
  <c r="H1402" i="3"/>
  <c r="H1403" i="3"/>
  <c r="H1404" i="3"/>
  <c r="H1405" i="3"/>
  <c r="H1406" i="3"/>
  <c r="H1407" i="3"/>
  <c r="H1408" i="3"/>
  <c r="H1409" i="3"/>
  <c r="H1410" i="3"/>
  <c r="H1411" i="3"/>
  <c r="H1412" i="3"/>
  <c r="H1413" i="3"/>
  <c r="H1414" i="3"/>
  <c r="H1415" i="3"/>
  <c r="H1416" i="3"/>
  <c r="H1417" i="3"/>
  <c r="H1418" i="3"/>
  <c r="H1419" i="3"/>
  <c r="H1420" i="3"/>
  <c r="H1421" i="3"/>
  <c r="H1422" i="3"/>
  <c r="H1423" i="3"/>
  <c r="H1424" i="3"/>
  <c r="H1425" i="3"/>
  <c r="H1426" i="3"/>
  <c r="H1427" i="3"/>
  <c r="H1428" i="3"/>
  <c r="H1429" i="3"/>
  <c r="H1430" i="3"/>
  <c r="H1431" i="3"/>
  <c r="H1432" i="3"/>
  <c r="H1433" i="3"/>
  <c r="H1434" i="3"/>
  <c r="H1435" i="3"/>
  <c r="H1436" i="3"/>
  <c r="H1437" i="3"/>
  <c r="H1438" i="3"/>
  <c r="H1439" i="3"/>
  <c r="H1440" i="3"/>
  <c r="H1441" i="3"/>
  <c r="H1442" i="3"/>
  <c r="H1443" i="3"/>
  <c r="H1444" i="3"/>
  <c r="H1445" i="3"/>
  <c r="H1446" i="3"/>
  <c r="H1447" i="3"/>
  <c r="H1448" i="3"/>
  <c r="H1449" i="3"/>
  <c r="H1450" i="3"/>
  <c r="H1451" i="3"/>
  <c r="H1452" i="3"/>
  <c r="H1453" i="3"/>
  <c r="H1454" i="3"/>
  <c r="H1455" i="3"/>
  <c r="H1456" i="3"/>
  <c r="H1457" i="3"/>
  <c r="H1458" i="3"/>
  <c r="H1459" i="3"/>
  <c r="H1460" i="3"/>
  <c r="H1461" i="3"/>
  <c r="H1462" i="3"/>
  <c r="H1463" i="3"/>
  <c r="H1464" i="3"/>
  <c r="H1465" i="3"/>
  <c r="H1466" i="3"/>
  <c r="H1467" i="3"/>
  <c r="H1468" i="3"/>
  <c r="H1469" i="3"/>
  <c r="H1470" i="3"/>
  <c r="H1471" i="3"/>
  <c r="H1472" i="3"/>
  <c r="H1473" i="3"/>
  <c r="H1474" i="3"/>
  <c r="H1475" i="3"/>
  <c r="H1476" i="3"/>
  <c r="H1477" i="3"/>
  <c r="H1478" i="3"/>
  <c r="H1479" i="3"/>
  <c r="H1480" i="3"/>
  <c r="H1481" i="3"/>
  <c r="H1482" i="3"/>
  <c r="H1483" i="3"/>
  <c r="H1484" i="3"/>
  <c r="H1485" i="3"/>
  <c r="H1486" i="3"/>
  <c r="H1487" i="3"/>
  <c r="H1488" i="3"/>
  <c r="H1489" i="3"/>
  <c r="H1490" i="3"/>
  <c r="H1491" i="3"/>
  <c r="H1492" i="3"/>
  <c r="H1493" i="3"/>
  <c r="H1494" i="3"/>
  <c r="H1495" i="3"/>
  <c r="H1496" i="3"/>
  <c r="H1497" i="3"/>
  <c r="H1498" i="3"/>
  <c r="H1499" i="3"/>
  <c r="H1500" i="3"/>
  <c r="H1501" i="3"/>
  <c r="K2" i="3"/>
  <c r="K3" i="3"/>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K175" i="3"/>
  <c r="K176" i="3"/>
  <c r="K177" i="3"/>
  <c r="K178" i="3"/>
  <c r="K179" i="3"/>
  <c r="K180" i="3"/>
  <c r="K181" i="3"/>
  <c r="K182" i="3"/>
  <c r="K183" i="3"/>
  <c r="K184" i="3"/>
  <c r="K185" i="3"/>
  <c r="K186" i="3"/>
  <c r="K187" i="3"/>
  <c r="K188" i="3"/>
  <c r="K189" i="3"/>
  <c r="K190" i="3"/>
  <c r="K191" i="3"/>
  <c r="K192" i="3"/>
  <c r="K193" i="3"/>
  <c r="K194" i="3"/>
  <c r="K195" i="3"/>
  <c r="K196" i="3"/>
  <c r="K197" i="3"/>
  <c r="K198" i="3"/>
  <c r="K199" i="3"/>
  <c r="K200" i="3"/>
  <c r="K201" i="3"/>
  <c r="K202" i="3"/>
  <c r="K203" i="3"/>
  <c r="K204" i="3"/>
  <c r="K205" i="3"/>
  <c r="K206" i="3"/>
  <c r="K207" i="3"/>
  <c r="K208" i="3"/>
  <c r="K209" i="3"/>
  <c r="K210" i="3"/>
  <c r="K211" i="3"/>
  <c r="K212" i="3"/>
  <c r="K213" i="3"/>
  <c r="K214" i="3"/>
  <c r="K215" i="3"/>
  <c r="K216" i="3"/>
  <c r="K217" i="3"/>
  <c r="K218" i="3"/>
  <c r="K219" i="3"/>
  <c r="K220" i="3"/>
  <c r="K221" i="3"/>
  <c r="K222" i="3"/>
  <c r="K223" i="3"/>
  <c r="K224" i="3"/>
  <c r="K225" i="3"/>
  <c r="K226" i="3"/>
  <c r="K227" i="3"/>
  <c r="K228" i="3"/>
  <c r="K229" i="3"/>
  <c r="K230" i="3"/>
  <c r="K231" i="3"/>
  <c r="K232" i="3"/>
  <c r="K233" i="3"/>
  <c r="K234" i="3"/>
  <c r="K235" i="3"/>
  <c r="K236" i="3"/>
  <c r="K237" i="3"/>
  <c r="K238" i="3"/>
  <c r="K239" i="3"/>
  <c r="K240" i="3"/>
  <c r="K241" i="3"/>
  <c r="K242" i="3"/>
  <c r="K243" i="3"/>
  <c r="K244" i="3"/>
  <c r="K245" i="3"/>
  <c r="K246" i="3"/>
  <c r="K247" i="3"/>
  <c r="K248" i="3"/>
  <c r="K249" i="3"/>
  <c r="K250" i="3"/>
  <c r="K251" i="3"/>
  <c r="K252" i="3"/>
  <c r="K253" i="3"/>
  <c r="K254" i="3"/>
  <c r="K255" i="3"/>
  <c r="K256" i="3"/>
  <c r="K257" i="3"/>
  <c r="K258" i="3"/>
  <c r="K259" i="3"/>
  <c r="K260" i="3"/>
  <c r="K261" i="3"/>
  <c r="K262" i="3"/>
  <c r="K263" i="3"/>
  <c r="K264" i="3"/>
  <c r="K265" i="3"/>
  <c r="K266" i="3"/>
  <c r="K267" i="3"/>
  <c r="K268" i="3"/>
  <c r="K269" i="3"/>
  <c r="K270" i="3"/>
  <c r="K271" i="3"/>
  <c r="K272" i="3"/>
  <c r="K273" i="3"/>
  <c r="K274" i="3"/>
  <c r="K275" i="3"/>
  <c r="K276" i="3"/>
  <c r="K277" i="3"/>
  <c r="K278" i="3"/>
  <c r="K279" i="3"/>
  <c r="K280" i="3"/>
  <c r="K281" i="3"/>
  <c r="K282" i="3"/>
  <c r="K283" i="3"/>
  <c r="K284" i="3"/>
  <c r="K285" i="3"/>
  <c r="K286" i="3"/>
  <c r="K287" i="3"/>
  <c r="K288" i="3"/>
  <c r="K289" i="3"/>
  <c r="K290" i="3"/>
  <c r="K291" i="3"/>
  <c r="K292" i="3"/>
  <c r="K293" i="3"/>
  <c r="K294" i="3"/>
  <c r="K295" i="3"/>
  <c r="K296" i="3"/>
  <c r="K297" i="3"/>
  <c r="K298" i="3"/>
  <c r="K299" i="3"/>
  <c r="K300" i="3"/>
  <c r="K301" i="3"/>
  <c r="K302" i="3"/>
  <c r="K303" i="3"/>
  <c r="K304" i="3"/>
  <c r="K305" i="3"/>
  <c r="K306" i="3"/>
  <c r="K307" i="3"/>
  <c r="K308" i="3"/>
  <c r="K309" i="3"/>
  <c r="K310" i="3"/>
  <c r="K311" i="3"/>
  <c r="K312" i="3"/>
  <c r="K313" i="3"/>
  <c r="K314" i="3"/>
  <c r="K315" i="3"/>
  <c r="K316" i="3"/>
  <c r="K317" i="3"/>
  <c r="K318" i="3"/>
  <c r="K319" i="3"/>
  <c r="K320" i="3"/>
  <c r="K321" i="3"/>
  <c r="K322" i="3"/>
  <c r="K323" i="3"/>
  <c r="K324" i="3"/>
  <c r="K325" i="3"/>
  <c r="K326" i="3"/>
  <c r="K327" i="3"/>
  <c r="K328" i="3"/>
  <c r="K329" i="3"/>
  <c r="K330" i="3"/>
  <c r="K331" i="3"/>
  <c r="K332" i="3"/>
  <c r="K333" i="3"/>
  <c r="K334" i="3"/>
  <c r="K335" i="3"/>
  <c r="K336" i="3"/>
  <c r="K337" i="3"/>
  <c r="K338" i="3"/>
  <c r="K339" i="3"/>
  <c r="K340" i="3"/>
  <c r="K341" i="3"/>
  <c r="K342" i="3"/>
  <c r="K343" i="3"/>
  <c r="K344" i="3"/>
  <c r="K345" i="3"/>
  <c r="K346" i="3"/>
  <c r="K347" i="3"/>
  <c r="K348" i="3"/>
  <c r="K349" i="3"/>
  <c r="K350" i="3"/>
  <c r="K351" i="3"/>
  <c r="K352" i="3"/>
  <c r="K353" i="3"/>
  <c r="K354" i="3"/>
  <c r="K355" i="3"/>
  <c r="K356" i="3"/>
  <c r="K357" i="3"/>
  <c r="K358" i="3"/>
  <c r="K359" i="3"/>
  <c r="K360" i="3"/>
  <c r="K361" i="3"/>
  <c r="K362" i="3"/>
  <c r="K363" i="3"/>
  <c r="K364" i="3"/>
  <c r="K365" i="3"/>
  <c r="K366" i="3"/>
  <c r="K367" i="3"/>
  <c r="K368" i="3"/>
  <c r="K369" i="3"/>
  <c r="K370" i="3"/>
  <c r="K371" i="3"/>
  <c r="K372" i="3"/>
  <c r="K373" i="3"/>
  <c r="K374" i="3"/>
  <c r="K375" i="3"/>
  <c r="K376" i="3"/>
  <c r="K377" i="3"/>
  <c r="K378" i="3"/>
  <c r="K379" i="3"/>
  <c r="K380" i="3"/>
  <c r="K381" i="3"/>
  <c r="K382" i="3"/>
  <c r="K383" i="3"/>
  <c r="K384" i="3"/>
  <c r="K385" i="3"/>
  <c r="K386" i="3"/>
  <c r="K387" i="3"/>
  <c r="K388" i="3"/>
  <c r="K389" i="3"/>
  <c r="K390" i="3"/>
  <c r="K391" i="3"/>
  <c r="K392" i="3"/>
  <c r="K393" i="3"/>
  <c r="K394" i="3"/>
  <c r="K395" i="3"/>
  <c r="K396" i="3"/>
  <c r="K397" i="3"/>
  <c r="K398" i="3"/>
  <c r="K399" i="3"/>
  <c r="K400" i="3"/>
  <c r="K401" i="3"/>
  <c r="K402" i="3"/>
  <c r="K403" i="3"/>
  <c r="K404" i="3"/>
  <c r="K405" i="3"/>
  <c r="K406" i="3"/>
  <c r="K407" i="3"/>
  <c r="K408" i="3"/>
  <c r="K409" i="3"/>
  <c r="K410" i="3"/>
  <c r="K411" i="3"/>
  <c r="K412" i="3"/>
  <c r="K413" i="3"/>
  <c r="K414" i="3"/>
  <c r="K415" i="3"/>
  <c r="K416" i="3"/>
  <c r="K417" i="3"/>
  <c r="K418" i="3"/>
  <c r="K419" i="3"/>
  <c r="K420" i="3"/>
  <c r="K421" i="3"/>
  <c r="K422" i="3"/>
  <c r="K423" i="3"/>
  <c r="K424" i="3"/>
  <c r="K425" i="3"/>
  <c r="K426" i="3"/>
  <c r="K427" i="3"/>
  <c r="K428" i="3"/>
  <c r="K429" i="3"/>
  <c r="K430" i="3"/>
  <c r="K431" i="3"/>
  <c r="K432" i="3"/>
  <c r="K433" i="3"/>
  <c r="K434" i="3"/>
  <c r="K435" i="3"/>
  <c r="K436" i="3"/>
  <c r="K437" i="3"/>
  <c r="K438" i="3"/>
  <c r="K439" i="3"/>
  <c r="K440" i="3"/>
  <c r="K441" i="3"/>
  <c r="K442" i="3"/>
  <c r="K443" i="3"/>
  <c r="K444" i="3"/>
  <c r="K445" i="3"/>
  <c r="K446" i="3"/>
  <c r="K447" i="3"/>
  <c r="K448" i="3"/>
  <c r="K449" i="3"/>
  <c r="K450" i="3"/>
  <c r="K451" i="3"/>
  <c r="K452" i="3"/>
  <c r="K453" i="3"/>
  <c r="K454" i="3"/>
  <c r="K455" i="3"/>
  <c r="K456" i="3"/>
  <c r="K457" i="3"/>
  <c r="K458" i="3"/>
  <c r="K459" i="3"/>
  <c r="K460" i="3"/>
  <c r="K461" i="3"/>
  <c r="K462" i="3"/>
  <c r="K463" i="3"/>
  <c r="K464" i="3"/>
  <c r="K465" i="3"/>
  <c r="K466" i="3"/>
  <c r="K467" i="3"/>
  <c r="K468" i="3"/>
  <c r="K469" i="3"/>
  <c r="K470" i="3"/>
  <c r="K471" i="3"/>
  <c r="K472" i="3"/>
  <c r="K473" i="3"/>
  <c r="K474" i="3"/>
  <c r="K475" i="3"/>
  <c r="K476" i="3"/>
  <c r="K477" i="3"/>
  <c r="K478" i="3"/>
  <c r="K479" i="3"/>
  <c r="K480" i="3"/>
  <c r="K481" i="3"/>
  <c r="K482" i="3"/>
  <c r="K483" i="3"/>
  <c r="K484" i="3"/>
  <c r="K485" i="3"/>
  <c r="K486" i="3"/>
  <c r="K487" i="3"/>
  <c r="K488" i="3"/>
  <c r="K489" i="3"/>
  <c r="K490" i="3"/>
  <c r="K491" i="3"/>
  <c r="K492" i="3"/>
  <c r="K493" i="3"/>
  <c r="K494" i="3"/>
  <c r="K495" i="3"/>
  <c r="K496" i="3"/>
  <c r="K497" i="3"/>
  <c r="K498" i="3"/>
  <c r="K499" i="3"/>
  <c r="K500" i="3"/>
  <c r="K501" i="3"/>
  <c r="K502" i="3"/>
  <c r="K503" i="3"/>
  <c r="K504" i="3"/>
  <c r="K505" i="3"/>
  <c r="K506" i="3"/>
  <c r="K507" i="3"/>
  <c r="K508" i="3"/>
  <c r="K509" i="3"/>
  <c r="K510" i="3"/>
  <c r="K511" i="3"/>
  <c r="K512" i="3"/>
  <c r="K513" i="3"/>
  <c r="K514" i="3"/>
  <c r="K515" i="3"/>
  <c r="K516" i="3"/>
  <c r="K517" i="3"/>
  <c r="K518" i="3"/>
  <c r="K519" i="3"/>
  <c r="K520" i="3"/>
  <c r="K521" i="3"/>
  <c r="K522" i="3"/>
  <c r="K523" i="3"/>
  <c r="K524" i="3"/>
  <c r="K525" i="3"/>
  <c r="K526" i="3"/>
  <c r="K527" i="3"/>
  <c r="K528" i="3"/>
  <c r="K529" i="3"/>
  <c r="K530" i="3"/>
  <c r="K531" i="3"/>
  <c r="K532" i="3"/>
  <c r="K533" i="3"/>
  <c r="K534" i="3"/>
  <c r="K535" i="3"/>
  <c r="K536" i="3"/>
  <c r="K537" i="3"/>
  <c r="K538" i="3"/>
  <c r="K539" i="3"/>
  <c r="K540" i="3"/>
  <c r="K541" i="3"/>
  <c r="K542" i="3"/>
  <c r="K543" i="3"/>
  <c r="K544" i="3"/>
  <c r="K545" i="3"/>
  <c r="K546" i="3"/>
  <c r="K547" i="3"/>
  <c r="K548" i="3"/>
  <c r="K549" i="3"/>
  <c r="K550" i="3"/>
  <c r="K551" i="3"/>
  <c r="K552" i="3"/>
  <c r="K553" i="3"/>
  <c r="K554" i="3"/>
  <c r="K555" i="3"/>
  <c r="K556" i="3"/>
  <c r="K557" i="3"/>
  <c r="K558" i="3"/>
  <c r="K559" i="3"/>
  <c r="K560" i="3"/>
  <c r="K561" i="3"/>
  <c r="K562" i="3"/>
  <c r="K563" i="3"/>
  <c r="K564" i="3"/>
  <c r="K565" i="3"/>
  <c r="K566" i="3"/>
  <c r="K567" i="3"/>
  <c r="K568" i="3"/>
  <c r="K569" i="3"/>
  <c r="K570" i="3"/>
  <c r="K571" i="3"/>
  <c r="K572" i="3"/>
  <c r="K573" i="3"/>
  <c r="K574" i="3"/>
  <c r="K575" i="3"/>
  <c r="K576" i="3"/>
  <c r="K577" i="3"/>
  <c r="K578" i="3"/>
  <c r="K579" i="3"/>
  <c r="K580" i="3"/>
  <c r="K581" i="3"/>
  <c r="K582" i="3"/>
  <c r="K583" i="3"/>
  <c r="K584" i="3"/>
  <c r="K585" i="3"/>
  <c r="K586" i="3"/>
  <c r="K587" i="3"/>
  <c r="K588" i="3"/>
  <c r="K589" i="3"/>
  <c r="K590" i="3"/>
  <c r="K591" i="3"/>
  <c r="K592" i="3"/>
  <c r="K593" i="3"/>
  <c r="K594" i="3"/>
  <c r="K595" i="3"/>
  <c r="K596" i="3"/>
  <c r="K597" i="3"/>
  <c r="K598" i="3"/>
  <c r="K599" i="3"/>
  <c r="K600" i="3"/>
  <c r="K601" i="3"/>
  <c r="K602" i="3"/>
  <c r="K603" i="3"/>
  <c r="K604" i="3"/>
  <c r="K605" i="3"/>
  <c r="K606" i="3"/>
  <c r="K607" i="3"/>
  <c r="K608" i="3"/>
  <c r="K609" i="3"/>
  <c r="K610" i="3"/>
  <c r="K611" i="3"/>
  <c r="K612" i="3"/>
  <c r="K613" i="3"/>
  <c r="K614" i="3"/>
  <c r="K615" i="3"/>
  <c r="K616" i="3"/>
  <c r="K617" i="3"/>
  <c r="K618" i="3"/>
  <c r="K619" i="3"/>
  <c r="K620" i="3"/>
  <c r="K621" i="3"/>
  <c r="K622" i="3"/>
  <c r="K623" i="3"/>
  <c r="K624" i="3"/>
  <c r="K625" i="3"/>
  <c r="K626" i="3"/>
  <c r="K627" i="3"/>
  <c r="K628" i="3"/>
  <c r="K629" i="3"/>
  <c r="K630" i="3"/>
  <c r="K631" i="3"/>
  <c r="K632" i="3"/>
  <c r="K633" i="3"/>
  <c r="K634" i="3"/>
  <c r="K635" i="3"/>
  <c r="K636" i="3"/>
  <c r="K637" i="3"/>
  <c r="K638" i="3"/>
  <c r="K639" i="3"/>
  <c r="K640" i="3"/>
  <c r="K641" i="3"/>
  <c r="K642" i="3"/>
  <c r="K643" i="3"/>
  <c r="K644" i="3"/>
  <c r="K645" i="3"/>
  <c r="K646" i="3"/>
  <c r="K647" i="3"/>
  <c r="K648" i="3"/>
  <c r="K649" i="3"/>
  <c r="K650" i="3"/>
  <c r="K651" i="3"/>
  <c r="K652" i="3"/>
  <c r="K653" i="3"/>
  <c r="K654" i="3"/>
  <c r="K655" i="3"/>
  <c r="K656" i="3"/>
  <c r="K657" i="3"/>
  <c r="K658" i="3"/>
  <c r="K659" i="3"/>
  <c r="K660" i="3"/>
  <c r="K661" i="3"/>
  <c r="K662" i="3"/>
  <c r="K663" i="3"/>
  <c r="K664" i="3"/>
  <c r="K665" i="3"/>
  <c r="K666" i="3"/>
  <c r="K667" i="3"/>
  <c r="K668" i="3"/>
  <c r="K669" i="3"/>
  <c r="K670" i="3"/>
  <c r="K671" i="3"/>
  <c r="K672" i="3"/>
  <c r="K673" i="3"/>
  <c r="K674" i="3"/>
  <c r="K675" i="3"/>
  <c r="K676" i="3"/>
  <c r="K677" i="3"/>
  <c r="K678" i="3"/>
  <c r="K679" i="3"/>
  <c r="K680" i="3"/>
  <c r="K681" i="3"/>
  <c r="K682" i="3"/>
  <c r="K683" i="3"/>
  <c r="K684" i="3"/>
  <c r="K685" i="3"/>
  <c r="K686" i="3"/>
  <c r="K687" i="3"/>
  <c r="K688" i="3"/>
  <c r="K689" i="3"/>
  <c r="K690" i="3"/>
  <c r="K691" i="3"/>
  <c r="K692" i="3"/>
  <c r="K693" i="3"/>
  <c r="K694" i="3"/>
  <c r="K695" i="3"/>
  <c r="K696" i="3"/>
  <c r="K697" i="3"/>
  <c r="K698" i="3"/>
  <c r="K699" i="3"/>
  <c r="K700" i="3"/>
  <c r="K701" i="3"/>
  <c r="K702" i="3"/>
  <c r="K703" i="3"/>
  <c r="K704" i="3"/>
  <c r="K705" i="3"/>
  <c r="K706" i="3"/>
  <c r="K707" i="3"/>
  <c r="K708" i="3"/>
  <c r="K709" i="3"/>
  <c r="K710" i="3"/>
  <c r="K711" i="3"/>
  <c r="K712" i="3"/>
  <c r="K713" i="3"/>
  <c r="K714" i="3"/>
  <c r="K715" i="3"/>
  <c r="K716" i="3"/>
  <c r="K717" i="3"/>
  <c r="K718" i="3"/>
  <c r="K719" i="3"/>
  <c r="K720" i="3"/>
  <c r="K721" i="3"/>
  <c r="K722" i="3"/>
  <c r="K723" i="3"/>
  <c r="K724" i="3"/>
  <c r="K725" i="3"/>
  <c r="K726" i="3"/>
  <c r="K727" i="3"/>
  <c r="K728" i="3"/>
  <c r="K729" i="3"/>
  <c r="K730" i="3"/>
  <c r="K731" i="3"/>
  <c r="K732" i="3"/>
  <c r="K733" i="3"/>
  <c r="K734" i="3"/>
  <c r="K735" i="3"/>
  <c r="K736" i="3"/>
  <c r="K737" i="3"/>
  <c r="K738" i="3"/>
  <c r="K739" i="3"/>
  <c r="K740" i="3"/>
  <c r="K741" i="3"/>
  <c r="K742" i="3"/>
  <c r="K743" i="3"/>
  <c r="K744" i="3"/>
  <c r="K745" i="3"/>
  <c r="K746" i="3"/>
  <c r="K747" i="3"/>
  <c r="K748" i="3"/>
  <c r="K749" i="3"/>
  <c r="K750" i="3"/>
  <c r="K751" i="3"/>
  <c r="K752" i="3"/>
  <c r="K753" i="3"/>
  <c r="K754" i="3"/>
  <c r="K755" i="3"/>
  <c r="K756" i="3"/>
  <c r="K757" i="3"/>
  <c r="K758" i="3"/>
  <c r="K759" i="3"/>
  <c r="K760" i="3"/>
  <c r="K761" i="3"/>
  <c r="K762" i="3"/>
  <c r="K763" i="3"/>
  <c r="K764" i="3"/>
  <c r="K765" i="3"/>
  <c r="K766" i="3"/>
  <c r="K767" i="3"/>
  <c r="K768" i="3"/>
  <c r="K769" i="3"/>
  <c r="K770" i="3"/>
  <c r="K771" i="3"/>
  <c r="K772" i="3"/>
  <c r="K773" i="3"/>
  <c r="K774" i="3"/>
  <c r="K775" i="3"/>
  <c r="K776" i="3"/>
  <c r="K777" i="3"/>
  <c r="K778" i="3"/>
  <c r="K779" i="3"/>
  <c r="K780" i="3"/>
  <c r="K781" i="3"/>
  <c r="K782" i="3"/>
  <c r="K783" i="3"/>
  <c r="K784" i="3"/>
  <c r="K785" i="3"/>
  <c r="K786" i="3"/>
  <c r="K787" i="3"/>
  <c r="K788" i="3"/>
  <c r="K789" i="3"/>
  <c r="K790" i="3"/>
  <c r="K791" i="3"/>
  <c r="K792" i="3"/>
  <c r="K793" i="3"/>
  <c r="K794" i="3"/>
  <c r="K795" i="3"/>
  <c r="K796" i="3"/>
  <c r="K797" i="3"/>
  <c r="K798" i="3"/>
  <c r="K799" i="3"/>
  <c r="K800" i="3"/>
  <c r="K801" i="3"/>
  <c r="K802" i="3"/>
  <c r="K803" i="3"/>
  <c r="K804" i="3"/>
  <c r="K805" i="3"/>
  <c r="K806" i="3"/>
  <c r="K807" i="3"/>
  <c r="K808" i="3"/>
  <c r="K809" i="3"/>
  <c r="K810" i="3"/>
  <c r="K811" i="3"/>
  <c r="K812" i="3"/>
  <c r="K813" i="3"/>
  <c r="K814" i="3"/>
  <c r="K815" i="3"/>
  <c r="K816" i="3"/>
  <c r="K817" i="3"/>
  <c r="K818" i="3"/>
  <c r="K819" i="3"/>
  <c r="K820" i="3"/>
  <c r="K821" i="3"/>
  <c r="K822" i="3"/>
  <c r="K823" i="3"/>
  <c r="K824" i="3"/>
  <c r="K825" i="3"/>
  <c r="K826" i="3"/>
  <c r="K827" i="3"/>
  <c r="K828" i="3"/>
  <c r="K829" i="3"/>
  <c r="K830" i="3"/>
  <c r="K831" i="3"/>
  <c r="K832" i="3"/>
  <c r="K833" i="3"/>
  <c r="K834" i="3"/>
  <c r="K835" i="3"/>
  <c r="K836" i="3"/>
  <c r="K837" i="3"/>
  <c r="K838" i="3"/>
  <c r="K839" i="3"/>
  <c r="K840" i="3"/>
  <c r="K841" i="3"/>
  <c r="K842" i="3"/>
  <c r="K843" i="3"/>
  <c r="K844" i="3"/>
  <c r="K845" i="3"/>
  <c r="K846" i="3"/>
  <c r="K847" i="3"/>
  <c r="K848" i="3"/>
  <c r="K849" i="3"/>
  <c r="K850" i="3"/>
  <c r="K851" i="3"/>
  <c r="K852" i="3"/>
  <c r="K853" i="3"/>
  <c r="K854" i="3"/>
  <c r="K855" i="3"/>
  <c r="K856" i="3"/>
  <c r="K857" i="3"/>
  <c r="K858" i="3"/>
  <c r="K859" i="3"/>
  <c r="K860" i="3"/>
  <c r="K861" i="3"/>
  <c r="K862" i="3"/>
  <c r="K863" i="3"/>
  <c r="K864" i="3"/>
  <c r="K865" i="3"/>
  <c r="K866" i="3"/>
  <c r="K867" i="3"/>
  <c r="K868" i="3"/>
  <c r="K869" i="3"/>
  <c r="K870" i="3"/>
  <c r="K871" i="3"/>
  <c r="K872" i="3"/>
  <c r="K873" i="3"/>
  <c r="K874" i="3"/>
  <c r="K875" i="3"/>
  <c r="K876" i="3"/>
  <c r="K877" i="3"/>
  <c r="K878" i="3"/>
  <c r="K879" i="3"/>
  <c r="K880" i="3"/>
  <c r="K881" i="3"/>
  <c r="K882" i="3"/>
  <c r="K883" i="3"/>
  <c r="K884" i="3"/>
  <c r="K885" i="3"/>
  <c r="K886" i="3"/>
  <c r="K887" i="3"/>
  <c r="K888" i="3"/>
  <c r="K889" i="3"/>
  <c r="K890" i="3"/>
  <c r="K891" i="3"/>
  <c r="K892" i="3"/>
  <c r="K893" i="3"/>
  <c r="K894" i="3"/>
  <c r="K895" i="3"/>
  <c r="K896" i="3"/>
  <c r="K897" i="3"/>
  <c r="K898" i="3"/>
  <c r="K899" i="3"/>
  <c r="K900" i="3"/>
  <c r="K901" i="3"/>
  <c r="K902" i="3"/>
  <c r="K903" i="3"/>
  <c r="K904" i="3"/>
  <c r="K905" i="3"/>
  <c r="K906" i="3"/>
  <c r="K907" i="3"/>
  <c r="K908" i="3"/>
  <c r="K909" i="3"/>
  <c r="K910" i="3"/>
  <c r="K911" i="3"/>
  <c r="K912" i="3"/>
  <c r="K913" i="3"/>
  <c r="K914" i="3"/>
  <c r="K915" i="3"/>
  <c r="K916" i="3"/>
  <c r="K917" i="3"/>
  <c r="K918" i="3"/>
  <c r="K919" i="3"/>
  <c r="K920" i="3"/>
  <c r="K921" i="3"/>
  <c r="K922" i="3"/>
  <c r="K923" i="3"/>
  <c r="K924" i="3"/>
  <c r="K925" i="3"/>
  <c r="K926" i="3"/>
  <c r="K927" i="3"/>
  <c r="K928" i="3"/>
  <c r="K929" i="3"/>
  <c r="K930" i="3"/>
  <c r="K931" i="3"/>
  <c r="K932" i="3"/>
  <c r="K933" i="3"/>
  <c r="K934" i="3"/>
  <c r="K935" i="3"/>
  <c r="K936" i="3"/>
  <c r="K937" i="3"/>
  <c r="K938" i="3"/>
  <c r="K939" i="3"/>
  <c r="K940" i="3"/>
  <c r="K941" i="3"/>
  <c r="K942" i="3"/>
  <c r="K943" i="3"/>
  <c r="K944" i="3"/>
  <c r="K945" i="3"/>
  <c r="K946" i="3"/>
  <c r="K947" i="3"/>
  <c r="K948" i="3"/>
  <c r="K949" i="3"/>
  <c r="K950" i="3"/>
  <c r="K951" i="3"/>
  <c r="K952" i="3"/>
  <c r="K953" i="3"/>
  <c r="K954" i="3"/>
  <c r="K955" i="3"/>
  <c r="K956" i="3"/>
  <c r="K957" i="3"/>
  <c r="K958" i="3"/>
  <c r="K959" i="3"/>
  <c r="K960" i="3"/>
  <c r="K961" i="3"/>
  <c r="K962" i="3"/>
  <c r="K963" i="3"/>
  <c r="K964" i="3"/>
  <c r="K965" i="3"/>
  <c r="K966" i="3"/>
  <c r="K967" i="3"/>
  <c r="K968" i="3"/>
  <c r="K969" i="3"/>
  <c r="K970" i="3"/>
  <c r="K971" i="3"/>
  <c r="K972" i="3"/>
  <c r="K973" i="3"/>
  <c r="K974" i="3"/>
  <c r="K975" i="3"/>
  <c r="K976" i="3"/>
  <c r="K977" i="3"/>
  <c r="K978" i="3"/>
  <c r="K979" i="3"/>
  <c r="K980" i="3"/>
  <c r="K981" i="3"/>
  <c r="K982" i="3"/>
  <c r="K983" i="3"/>
  <c r="K984" i="3"/>
  <c r="K985" i="3"/>
  <c r="K986" i="3"/>
  <c r="K987" i="3"/>
  <c r="K988" i="3"/>
  <c r="K989" i="3"/>
  <c r="K990" i="3"/>
  <c r="K991" i="3"/>
  <c r="K992" i="3"/>
  <c r="K993" i="3"/>
  <c r="K994" i="3"/>
  <c r="K995" i="3"/>
  <c r="K996" i="3"/>
  <c r="K997" i="3"/>
  <c r="K998" i="3"/>
  <c r="K999" i="3"/>
  <c r="K1000" i="3"/>
  <c r="K1001" i="3"/>
  <c r="K1002" i="3"/>
  <c r="K1003" i="3"/>
  <c r="K1004" i="3"/>
  <c r="K1005" i="3"/>
  <c r="K1006" i="3"/>
  <c r="K1007" i="3"/>
  <c r="K1008" i="3"/>
  <c r="K1009" i="3"/>
  <c r="K1010" i="3"/>
  <c r="K1011" i="3"/>
  <c r="K1012" i="3"/>
  <c r="K1013" i="3"/>
  <c r="K1014" i="3"/>
  <c r="K1015" i="3"/>
  <c r="K1016" i="3"/>
  <c r="K1017" i="3"/>
  <c r="K1018" i="3"/>
  <c r="K1019" i="3"/>
  <c r="K1020" i="3"/>
  <c r="K1021" i="3"/>
  <c r="K1022" i="3"/>
  <c r="K1023" i="3"/>
  <c r="K1024" i="3"/>
  <c r="K1025" i="3"/>
  <c r="K1026" i="3"/>
  <c r="K1027" i="3"/>
  <c r="K1028" i="3"/>
  <c r="K1029" i="3"/>
  <c r="K1030" i="3"/>
  <c r="K1031" i="3"/>
  <c r="K1032" i="3"/>
  <c r="K1033" i="3"/>
  <c r="K1034" i="3"/>
  <c r="K1035" i="3"/>
  <c r="K1036" i="3"/>
  <c r="K1037" i="3"/>
  <c r="K1038" i="3"/>
  <c r="K1039" i="3"/>
  <c r="K1040" i="3"/>
  <c r="K1041" i="3"/>
  <c r="K1042" i="3"/>
  <c r="K1043" i="3"/>
  <c r="K1044" i="3"/>
  <c r="K1045" i="3"/>
  <c r="K1046" i="3"/>
  <c r="K1047" i="3"/>
  <c r="K1048" i="3"/>
  <c r="K1049" i="3"/>
  <c r="K1050" i="3"/>
  <c r="K1051" i="3"/>
  <c r="K1052" i="3"/>
  <c r="K1053" i="3"/>
  <c r="K1054" i="3"/>
  <c r="K1055" i="3"/>
  <c r="K1056" i="3"/>
  <c r="K1057" i="3"/>
  <c r="K1058" i="3"/>
  <c r="K1059" i="3"/>
  <c r="K1060" i="3"/>
  <c r="K1061" i="3"/>
  <c r="K1062" i="3"/>
  <c r="K1063" i="3"/>
  <c r="K1064" i="3"/>
  <c r="K1065" i="3"/>
  <c r="K1066" i="3"/>
  <c r="K1067" i="3"/>
  <c r="K1068" i="3"/>
  <c r="K1069" i="3"/>
  <c r="K1070" i="3"/>
  <c r="K1071" i="3"/>
  <c r="K1072" i="3"/>
  <c r="K1073" i="3"/>
  <c r="K1074" i="3"/>
  <c r="K1075" i="3"/>
  <c r="K1076" i="3"/>
  <c r="K1077" i="3"/>
  <c r="K1078" i="3"/>
  <c r="K1079" i="3"/>
  <c r="K1080" i="3"/>
  <c r="K1081" i="3"/>
  <c r="K1082" i="3"/>
  <c r="K1083" i="3"/>
  <c r="K1084" i="3"/>
  <c r="K1085" i="3"/>
  <c r="K1086" i="3"/>
  <c r="K1087" i="3"/>
  <c r="K1088" i="3"/>
  <c r="K1089" i="3"/>
  <c r="K1090" i="3"/>
  <c r="K1091" i="3"/>
  <c r="K1092" i="3"/>
  <c r="K1093" i="3"/>
  <c r="K1094" i="3"/>
  <c r="K1095" i="3"/>
  <c r="K1096" i="3"/>
  <c r="K1097" i="3"/>
  <c r="K1098" i="3"/>
  <c r="K1099" i="3"/>
  <c r="K1100" i="3"/>
  <c r="K1101" i="3"/>
  <c r="K1102" i="3"/>
  <c r="K1103" i="3"/>
  <c r="K1104" i="3"/>
  <c r="K1105" i="3"/>
  <c r="K1106" i="3"/>
  <c r="K1107" i="3"/>
  <c r="K1108" i="3"/>
  <c r="K1109" i="3"/>
  <c r="K1110" i="3"/>
  <c r="K1111" i="3"/>
  <c r="K1112" i="3"/>
  <c r="K1113" i="3"/>
  <c r="K1114" i="3"/>
  <c r="K1115" i="3"/>
  <c r="K1116" i="3"/>
  <c r="K1117" i="3"/>
  <c r="K1118" i="3"/>
  <c r="K1119" i="3"/>
  <c r="K1120" i="3"/>
  <c r="K1121" i="3"/>
  <c r="K1122" i="3"/>
  <c r="K1123" i="3"/>
  <c r="K1124" i="3"/>
  <c r="K1125" i="3"/>
  <c r="K1126" i="3"/>
  <c r="K1127" i="3"/>
  <c r="K1128" i="3"/>
  <c r="K1129" i="3"/>
  <c r="K1130" i="3"/>
  <c r="K1131" i="3"/>
  <c r="K1132" i="3"/>
  <c r="K1133" i="3"/>
  <c r="K1134" i="3"/>
  <c r="K1135" i="3"/>
  <c r="K1136" i="3"/>
  <c r="K1137" i="3"/>
  <c r="K1138" i="3"/>
  <c r="K1139" i="3"/>
  <c r="K1140" i="3"/>
  <c r="K1141" i="3"/>
  <c r="K1142" i="3"/>
  <c r="K1143" i="3"/>
  <c r="K1144" i="3"/>
  <c r="K1145" i="3"/>
  <c r="K1146" i="3"/>
  <c r="K1147" i="3"/>
  <c r="K1148" i="3"/>
  <c r="K1149" i="3"/>
  <c r="K1150" i="3"/>
  <c r="K1151" i="3"/>
  <c r="K1152" i="3"/>
  <c r="K1153" i="3"/>
  <c r="K1154" i="3"/>
  <c r="K1155" i="3"/>
  <c r="K1156" i="3"/>
  <c r="K1157" i="3"/>
  <c r="K1158" i="3"/>
  <c r="K1159" i="3"/>
  <c r="K1160" i="3"/>
  <c r="K1161" i="3"/>
  <c r="K1162" i="3"/>
  <c r="K1163" i="3"/>
  <c r="K1164" i="3"/>
  <c r="K1165" i="3"/>
  <c r="K1166" i="3"/>
  <c r="K1167" i="3"/>
  <c r="K1168" i="3"/>
  <c r="K1169" i="3"/>
  <c r="K1170" i="3"/>
  <c r="K1171" i="3"/>
  <c r="K1172" i="3"/>
  <c r="K1173" i="3"/>
  <c r="K1174" i="3"/>
  <c r="K1175" i="3"/>
  <c r="K1176" i="3"/>
  <c r="K1177" i="3"/>
  <c r="K1178" i="3"/>
  <c r="K1179" i="3"/>
  <c r="K1180" i="3"/>
  <c r="K1181" i="3"/>
  <c r="K1182" i="3"/>
  <c r="K1183" i="3"/>
  <c r="K1184" i="3"/>
  <c r="K1185" i="3"/>
  <c r="K1186" i="3"/>
  <c r="K1187" i="3"/>
  <c r="K1188" i="3"/>
  <c r="K1189" i="3"/>
  <c r="K1190" i="3"/>
  <c r="K1191" i="3"/>
  <c r="K1192" i="3"/>
  <c r="K1193" i="3"/>
  <c r="K1194" i="3"/>
  <c r="K1195" i="3"/>
  <c r="K1196" i="3"/>
  <c r="K1197" i="3"/>
  <c r="K1198" i="3"/>
  <c r="K1199" i="3"/>
  <c r="K1200" i="3"/>
  <c r="K1201" i="3"/>
  <c r="K1202" i="3"/>
  <c r="K1203" i="3"/>
  <c r="K1204" i="3"/>
  <c r="K1205" i="3"/>
  <c r="K1206" i="3"/>
  <c r="K1207" i="3"/>
  <c r="K1208" i="3"/>
  <c r="K1209" i="3"/>
  <c r="K1210" i="3"/>
  <c r="K1211" i="3"/>
  <c r="K1212" i="3"/>
  <c r="K1213" i="3"/>
  <c r="K1214" i="3"/>
  <c r="K1215" i="3"/>
  <c r="K1216" i="3"/>
  <c r="K1217" i="3"/>
  <c r="K1218" i="3"/>
  <c r="K1219" i="3"/>
  <c r="K1220" i="3"/>
  <c r="K1221" i="3"/>
  <c r="K1222" i="3"/>
  <c r="K1223" i="3"/>
  <c r="K1224" i="3"/>
  <c r="K1225" i="3"/>
  <c r="K1226" i="3"/>
  <c r="K1227" i="3"/>
  <c r="K1228" i="3"/>
  <c r="K1229" i="3"/>
  <c r="K1230" i="3"/>
  <c r="K1231" i="3"/>
  <c r="K1232" i="3"/>
  <c r="K1233" i="3"/>
  <c r="K1234" i="3"/>
  <c r="K1235" i="3"/>
  <c r="K1236" i="3"/>
  <c r="K1237" i="3"/>
  <c r="K1238" i="3"/>
  <c r="K1239" i="3"/>
  <c r="K1240" i="3"/>
  <c r="K1241" i="3"/>
  <c r="K1242" i="3"/>
  <c r="K1243" i="3"/>
  <c r="K1244" i="3"/>
  <c r="K1245" i="3"/>
  <c r="K1246" i="3"/>
  <c r="K1247" i="3"/>
  <c r="K1248" i="3"/>
  <c r="K1249" i="3"/>
  <c r="K1250" i="3"/>
  <c r="K1251" i="3"/>
  <c r="K1252" i="3"/>
  <c r="K1253" i="3"/>
  <c r="K1254" i="3"/>
  <c r="K1255" i="3"/>
  <c r="K1256" i="3"/>
  <c r="K1257" i="3"/>
  <c r="K1258" i="3"/>
  <c r="K1259" i="3"/>
  <c r="K1260" i="3"/>
  <c r="K1261" i="3"/>
  <c r="K1262" i="3"/>
  <c r="K1263" i="3"/>
  <c r="K1264" i="3"/>
  <c r="K1265" i="3"/>
  <c r="K1266" i="3"/>
  <c r="K1267" i="3"/>
  <c r="K1268" i="3"/>
  <c r="K1269" i="3"/>
  <c r="K1270" i="3"/>
  <c r="K1271" i="3"/>
  <c r="K1272" i="3"/>
  <c r="K1273" i="3"/>
  <c r="K1274" i="3"/>
  <c r="K1275" i="3"/>
  <c r="K1276" i="3"/>
  <c r="K1277" i="3"/>
  <c r="K1278" i="3"/>
  <c r="K1279" i="3"/>
  <c r="K1280" i="3"/>
  <c r="K1281" i="3"/>
  <c r="K1282" i="3"/>
  <c r="K1283" i="3"/>
  <c r="K1284" i="3"/>
  <c r="K1285" i="3"/>
  <c r="K1286" i="3"/>
  <c r="K1287" i="3"/>
  <c r="K1288" i="3"/>
  <c r="K1289" i="3"/>
  <c r="K1290" i="3"/>
  <c r="K1291" i="3"/>
  <c r="K1292" i="3"/>
  <c r="K1293" i="3"/>
  <c r="K1294" i="3"/>
  <c r="K1295" i="3"/>
  <c r="K1296" i="3"/>
  <c r="K1297" i="3"/>
  <c r="K1298" i="3"/>
  <c r="K1299" i="3"/>
  <c r="K1300" i="3"/>
  <c r="K1301" i="3"/>
  <c r="K1302" i="3"/>
  <c r="K1303" i="3"/>
  <c r="K1304" i="3"/>
  <c r="K1305" i="3"/>
  <c r="K1306" i="3"/>
  <c r="K1307" i="3"/>
  <c r="K1308" i="3"/>
  <c r="K1309" i="3"/>
  <c r="K1310" i="3"/>
  <c r="K1311" i="3"/>
  <c r="K1312" i="3"/>
  <c r="K1313" i="3"/>
  <c r="K1314" i="3"/>
  <c r="K1315" i="3"/>
  <c r="K1316" i="3"/>
  <c r="K1317" i="3"/>
  <c r="K1318" i="3"/>
  <c r="K1319" i="3"/>
  <c r="K1320" i="3"/>
  <c r="K1321" i="3"/>
  <c r="K1322" i="3"/>
  <c r="K1323" i="3"/>
  <c r="K1324" i="3"/>
  <c r="K1325" i="3"/>
  <c r="K1326" i="3"/>
  <c r="K1327" i="3"/>
  <c r="K1328" i="3"/>
  <c r="K1329" i="3"/>
  <c r="K1330" i="3"/>
  <c r="K1331" i="3"/>
  <c r="K1332" i="3"/>
  <c r="K1333" i="3"/>
  <c r="K1334" i="3"/>
  <c r="K1335" i="3"/>
  <c r="K1336" i="3"/>
  <c r="K1337" i="3"/>
  <c r="K1338" i="3"/>
  <c r="K1339" i="3"/>
  <c r="K1340" i="3"/>
  <c r="K1341" i="3"/>
  <c r="K1342" i="3"/>
  <c r="K1343" i="3"/>
  <c r="K1344" i="3"/>
  <c r="K1345" i="3"/>
  <c r="K1346" i="3"/>
  <c r="K1347" i="3"/>
  <c r="K1348" i="3"/>
  <c r="K1349" i="3"/>
  <c r="K1350" i="3"/>
  <c r="K1351" i="3"/>
  <c r="K1352" i="3"/>
  <c r="K1353" i="3"/>
  <c r="K1354" i="3"/>
  <c r="K1355" i="3"/>
  <c r="K1356" i="3"/>
  <c r="K1357" i="3"/>
  <c r="K1358" i="3"/>
  <c r="K1359" i="3"/>
  <c r="K1360" i="3"/>
  <c r="K1361" i="3"/>
  <c r="K1362" i="3"/>
  <c r="K1363" i="3"/>
  <c r="K1364" i="3"/>
  <c r="K1365" i="3"/>
  <c r="K1366" i="3"/>
  <c r="K1367" i="3"/>
  <c r="K1368" i="3"/>
  <c r="K1369" i="3"/>
  <c r="K1370" i="3"/>
  <c r="K1371" i="3"/>
  <c r="K1372" i="3"/>
  <c r="K1373" i="3"/>
  <c r="K1374" i="3"/>
  <c r="K1375" i="3"/>
  <c r="K1376" i="3"/>
  <c r="K1377" i="3"/>
  <c r="K1378" i="3"/>
  <c r="K1379" i="3"/>
  <c r="K1380" i="3"/>
  <c r="K1381" i="3"/>
  <c r="K1382" i="3"/>
  <c r="K1383" i="3"/>
  <c r="K1384" i="3"/>
  <c r="K1385" i="3"/>
  <c r="K1386" i="3"/>
  <c r="K1387" i="3"/>
  <c r="K1388" i="3"/>
  <c r="K1389" i="3"/>
  <c r="K1390" i="3"/>
  <c r="K1391" i="3"/>
  <c r="K1392" i="3"/>
  <c r="K1393" i="3"/>
  <c r="K1394" i="3"/>
  <c r="K1395" i="3"/>
  <c r="K1396" i="3"/>
  <c r="K1397" i="3"/>
  <c r="K1398" i="3"/>
  <c r="K1399" i="3"/>
  <c r="K1400" i="3"/>
  <c r="K1401" i="3"/>
  <c r="K1402" i="3"/>
  <c r="K1403" i="3"/>
  <c r="K1404" i="3"/>
  <c r="K1405" i="3"/>
  <c r="K1406" i="3"/>
  <c r="K1407" i="3"/>
  <c r="K1408" i="3"/>
  <c r="K1409" i="3"/>
  <c r="K1410" i="3"/>
  <c r="K1411" i="3"/>
  <c r="K1412" i="3"/>
  <c r="K1413" i="3"/>
  <c r="K1414" i="3"/>
  <c r="K1415" i="3"/>
  <c r="K1416" i="3"/>
  <c r="K1417" i="3"/>
  <c r="K1418" i="3"/>
  <c r="K1419" i="3"/>
  <c r="K1420" i="3"/>
  <c r="K1421" i="3"/>
  <c r="K1422" i="3"/>
  <c r="K1423" i="3"/>
  <c r="K1424" i="3"/>
  <c r="K1425" i="3"/>
  <c r="K1426" i="3"/>
  <c r="K1427" i="3"/>
  <c r="K1428" i="3"/>
  <c r="K1429" i="3"/>
  <c r="K1430" i="3"/>
  <c r="K1431" i="3"/>
  <c r="K1432" i="3"/>
  <c r="K1433" i="3"/>
  <c r="K1434" i="3"/>
  <c r="K1435" i="3"/>
  <c r="K1436" i="3"/>
  <c r="K1437" i="3"/>
  <c r="K1438" i="3"/>
  <c r="K1439" i="3"/>
  <c r="K1440" i="3"/>
  <c r="K1441" i="3"/>
  <c r="K1442" i="3"/>
  <c r="K1443" i="3"/>
  <c r="K1444" i="3"/>
  <c r="K1445" i="3"/>
  <c r="K1446" i="3"/>
  <c r="K1447" i="3"/>
  <c r="K1448" i="3"/>
  <c r="K1449" i="3"/>
  <c r="K1450" i="3"/>
  <c r="K1451" i="3"/>
  <c r="K1452" i="3"/>
  <c r="K1453" i="3"/>
  <c r="K1454" i="3"/>
  <c r="K1455" i="3"/>
  <c r="K1456" i="3"/>
  <c r="K1457" i="3"/>
  <c r="K1458" i="3"/>
  <c r="K1459" i="3"/>
  <c r="K1460" i="3"/>
  <c r="K1461" i="3"/>
  <c r="K1462" i="3"/>
  <c r="K1463" i="3"/>
  <c r="K1464" i="3"/>
  <c r="K1465" i="3"/>
  <c r="K1466" i="3"/>
  <c r="K1467" i="3"/>
  <c r="K1468" i="3"/>
  <c r="K1469" i="3"/>
  <c r="K1470" i="3"/>
  <c r="K1471" i="3"/>
  <c r="K1472" i="3"/>
  <c r="K1473" i="3"/>
  <c r="K1474" i="3"/>
  <c r="K1475" i="3"/>
  <c r="K1476" i="3"/>
  <c r="K1477" i="3"/>
  <c r="K1478" i="3"/>
  <c r="K1479" i="3"/>
  <c r="K1480" i="3"/>
  <c r="K1481" i="3"/>
  <c r="K1482" i="3"/>
  <c r="K1483" i="3"/>
  <c r="K1484" i="3"/>
  <c r="K1485" i="3"/>
  <c r="K1486" i="3"/>
  <c r="K1487" i="3"/>
  <c r="K1488" i="3"/>
  <c r="K1489" i="3"/>
  <c r="K1490" i="3"/>
  <c r="K1491" i="3"/>
  <c r="K1492" i="3"/>
  <c r="K1493" i="3"/>
  <c r="K1494" i="3"/>
  <c r="K1495" i="3"/>
  <c r="K1496" i="3"/>
  <c r="K1497" i="3"/>
  <c r="K1498" i="3"/>
  <c r="K1499" i="3"/>
  <c r="K1500" i="3"/>
  <c r="K1501" i="3"/>
  <c r="J2" i="3"/>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6" i="3"/>
  <c r="J317" i="3"/>
  <c r="J318" i="3"/>
  <c r="J319" i="3"/>
  <c r="J320" i="3"/>
  <c r="J321" i="3"/>
  <c r="J322" i="3"/>
  <c r="J323" i="3"/>
  <c r="J324" i="3"/>
  <c r="J325" i="3"/>
  <c r="J326" i="3"/>
  <c r="J327" i="3"/>
  <c r="J328" i="3"/>
  <c r="J329" i="3"/>
  <c r="J330" i="3"/>
  <c r="J331" i="3"/>
  <c r="J332" i="3"/>
  <c r="J333" i="3"/>
  <c r="J334" i="3"/>
  <c r="J335" i="3"/>
  <c r="J336" i="3"/>
  <c r="J337" i="3"/>
  <c r="J338" i="3"/>
  <c r="J339" i="3"/>
  <c r="J340" i="3"/>
  <c r="J341" i="3"/>
  <c r="J342" i="3"/>
  <c r="J343" i="3"/>
  <c r="J344" i="3"/>
  <c r="J345" i="3"/>
  <c r="J346" i="3"/>
  <c r="J347" i="3"/>
  <c r="J348" i="3"/>
  <c r="J349" i="3"/>
  <c r="J350" i="3"/>
  <c r="J351" i="3"/>
  <c r="J352" i="3"/>
  <c r="J353" i="3"/>
  <c r="J354" i="3"/>
  <c r="J355" i="3"/>
  <c r="J356" i="3"/>
  <c r="J357" i="3"/>
  <c r="J358" i="3"/>
  <c r="J359" i="3"/>
  <c r="J360" i="3"/>
  <c r="J361" i="3"/>
  <c r="J362" i="3"/>
  <c r="J363" i="3"/>
  <c r="J364" i="3"/>
  <c r="J365" i="3"/>
  <c r="J366" i="3"/>
  <c r="J367" i="3"/>
  <c r="J368" i="3"/>
  <c r="J369" i="3"/>
  <c r="J370" i="3"/>
  <c r="J371" i="3"/>
  <c r="J372" i="3"/>
  <c r="J373" i="3"/>
  <c r="J374" i="3"/>
  <c r="J375" i="3"/>
  <c r="J376" i="3"/>
  <c r="J377" i="3"/>
  <c r="J378" i="3"/>
  <c r="J379" i="3"/>
  <c r="J380" i="3"/>
  <c r="J381" i="3"/>
  <c r="J382" i="3"/>
  <c r="J383" i="3"/>
  <c r="J384" i="3"/>
  <c r="J385" i="3"/>
  <c r="J386" i="3"/>
  <c r="J387" i="3"/>
  <c r="J388" i="3"/>
  <c r="J389" i="3"/>
  <c r="J390" i="3"/>
  <c r="J391" i="3"/>
  <c r="J392" i="3"/>
  <c r="J393" i="3"/>
  <c r="J394" i="3"/>
  <c r="J395" i="3"/>
  <c r="J396" i="3"/>
  <c r="J397" i="3"/>
  <c r="J398" i="3"/>
  <c r="J399" i="3"/>
  <c r="J400" i="3"/>
  <c r="J401" i="3"/>
  <c r="J402" i="3"/>
  <c r="J403" i="3"/>
  <c r="J404" i="3"/>
  <c r="J405" i="3"/>
  <c r="J406" i="3"/>
  <c r="J407" i="3"/>
  <c r="J408" i="3"/>
  <c r="J409" i="3"/>
  <c r="J410" i="3"/>
  <c r="J411" i="3"/>
  <c r="J412" i="3"/>
  <c r="J413" i="3"/>
  <c r="J414" i="3"/>
  <c r="J415" i="3"/>
  <c r="J416" i="3"/>
  <c r="J417" i="3"/>
  <c r="J418" i="3"/>
  <c r="J419" i="3"/>
  <c r="J420" i="3"/>
  <c r="J421" i="3"/>
  <c r="J422" i="3"/>
  <c r="J423" i="3"/>
  <c r="J424" i="3"/>
  <c r="J425" i="3"/>
  <c r="J426" i="3"/>
  <c r="J427" i="3"/>
  <c r="J428" i="3"/>
  <c r="J429" i="3"/>
  <c r="J430" i="3"/>
  <c r="J431" i="3"/>
  <c r="J432" i="3"/>
  <c r="J433" i="3"/>
  <c r="J434" i="3"/>
  <c r="J435" i="3"/>
  <c r="J436" i="3"/>
  <c r="J437" i="3"/>
  <c r="J438" i="3"/>
  <c r="J439" i="3"/>
  <c r="J440" i="3"/>
  <c r="J441" i="3"/>
  <c r="J442" i="3"/>
  <c r="J443" i="3"/>
  <c r="J444" i="3"/>
  <c r="J445" i="3"/>
  <c r="J446" i="3"/>
  <c r="J447" i="3"/>
  <c r="J448" i="3"/>
  <c r="J449" i="3"/>
  <c r="J450" i="3"/>
  <c r="J451" i="3"/>
  <c r="J452" i="3"/>
  <c r="J453" i="3"/>
  <c r="J454" i="3"/>
  <c r="J455" i="3"/>
  <c r="J456" i="3"/>
  <c r="J457" i="3"/>
  <c r="J458" i="3"/>
  <c r="J459" i="3"/>
  <c r="J460" i="3"/>
  <c r="J461" i="3"/>
  <c r="J462" i="3"/>
  <c r="J463" i="3"/>
  <c r="J464" i="3"/>
  <c r="J465" i="3"/>
  <c r="J466" i="3"/>
  <c r="J467" i="3"/>
  <c r="J468" i="3"/>
  <c r="J469" i="3"/>
  <c r="J470" i="3"/>
  <c r="J471" i="3"/>
  <c r="J472" i="3"/>
  <c r="J473" i="3"/>
  <c r="J474" i="3"/>
  <c r="J475" i="3"/>
  <c r="J476" i="3"/>
  <c r="J477" i="3"/>
  <c r="J478" i="3"/>
  <c r="J479" i="3"/>
  <c r="J480" i="3"/>
  <c r="J481" i="3"/>
  <c r="J482" i="3"/>
  <c r="J483" i="3"/>
  <c r="J484" i="3"/>
  <c r="J485" i="3"/>
  <c r="J486" i="3"/>
  <c r="J487" i="3"/>
  <c r="J488" i="3"/>
  <c r="J489" i="3"/>
  <c r="J490" i="3"/>
  <c r="J491" i="3"/>
  <c r="J492" i="3"/>
  <c r="J493" i="3"/>
  <c r="J494" i="3"/>
  <c r="J495" i="3"/>
  <c r="J496" i="3"/>
  <c r="J497" i="3"/>
  <c r="J498" i="3"/>
  <c r="J499" i="3"/>
  <c r="J500" i="3"/>
  <c r="J501" i="3"/>
  <c r="J502" i="3"/>
  <c r="J503" i="3"/>
  <c r="J504" i="3"/>
  <c r="J505" i="3"/>
  <c r="J506" i="3"/>
  <c r="J507" i="3"/>
  <c r="J508" i="3"/>
  <c r="J509" i="3"/>
  <c r="J510" i="3"/>
  <c r="J511" i="3"/>
  <c r="J512" i="3"/>
  <c r="J513" i="3"/>
  <c r="J514" i="3"/>
  <c r="J515" i="3"/>
  <c r="J516" i="3"/>
  <c r="J517" i="3"/>
  <c r="J518" i="3"/>
  <c r="J519" i="3"/>
  <c r="J520" i="3"/>
  <c r="J521" i="3"/>
  <c r="J522" i="3"/>
  <c r="J523" i="3"/>
  <c r="J524" i="3"/>
  <c r="J525" i="3"/>
  <c r="J526" i="3"/>
  <c r="J527" i="3"/>
  <c r="J528" i="3"/>
  <c r="J529" i="3"/>
  <c r="J530" i="3"/>
  <c r="J531" i="3"/>
  <c r="J532" i="3"/>
  <c r="J533" i="3"/>
  <c r="J534" i="3"/>
  <c r="J535" i="3"/>
  <c r="J536" i="3"/>
  <c r="J537" i="3"/>
  <c r="J538" i="3"/>
  <c r="J539" i="3"/>
  <c r="J540" i="3"/>
  <c r="J541" i="3"/>
  <c r="J542" i="3"/>
  <c r="J543" i="3"/>
  <c r="J544" i="3"/>
  <c r="J545" i="3"/>
  <c r="J546" i="3"/>
  <c r="J547" i="3"/>
  <c r="J548" i="3"/>
  <c r="J549" i="3"/>
  <c r="J550" i="3"/>
  <c r="J551" i="3"/>
  <c r="J552" i="3"/>
  <c r="J553" i="3"/>
  <c r="J554" i="3"/>
  <c r="J555" i="3"/>
  <c r="J556" i="3"/>
  <c r="J557" i="3"/>
  <c r="J558" i="3"/>
  <c r="J559" i="3"/>
  <c r="J560" i="3"/>
  <c r="J561" i="3"/>
  <c r="J562" i="3"/>
  <c r="J563" i="3"/>
  <c r="J564" i="3"/>
  <c r="J565" i="3"/>
  <c r="J566" i="3"/>
  <c r="J567" i="3"/>
  <c r="J568" i="3"/>
  <c r="J569" i="3"/>
  <c r="J570" i="3"/>
  <c r="J571" i="3"/>
  <c r="J572" i="3"/>
  <c r="J573" i="3"/>
  <c r="J574" i="3"/>
  <c r="J575" i="3"/>
  <c r="J576" i="3"/>
  <c r="J577" i="3"/>
  <c r="J578" i="3"/>
  <c r="J579" i="3"/>
  <c r="J580" i="3"/>
  <c r="J581" i="3"/>
  <c r="J582" i="3"/>
  <c r="J583" i="3"/>
  <c r="J584" i="3"/>
  <c r="J585" i="3"/>
  <c r="J586" i="3"/>
  <c r="J587" i="3"/>
  <c r="J588" i="3"/>
  <c r="J589" i="3"/>
  <c r="J590" i="3"/>
  <c r="J591" i="3"/>
  <c r="J592" i="3"/>
  <c r="J593" i="3"/>
  <c r="J594" i="3"/>
  <c r="J595" i="3"/>
  <c r="J596" i="3"/>
  <c r="J597" i="3"/>
  <c r="J598" i="3"/>
  <c r="J599" i="3"/>
  <c r="J600" i="3"/>
  <c r="J601" i="3"/>
  <c r="J602" i="3"/>
  <c r="J603" i="3"/>
  <c r="J604" i="3"/>
  <c r="J605" i="3"/>
  <c r="J606" i="3"/>
  <c r="J607" i="3"/>
  <c r="J608" i="3"/>
  <c r="J609" i="3"/>
  <c r="J610" i="3"/>
  <c r="J611" i="3"/>
  <c r="J612" i="3"/>
  <c r="J613" i="3"/>
  <c r="J614" i="3"/>
  <c r="J615" i="3"/>
  <c r="J616" i="3"/>
  <c r="J617" i="3"/>
  <c r="J618" i="3"/>
  <c r="J619" i="3"/>
  <c r="J620" i="3"/>
  <c r="J621" i="3"/>
  <c r="J622" i="3"/>
  <c r="J623" i="3"/>
  <c r="J624" i="3"/>
  <c r="J625" i="3"/>
  <c r="J626" i="3"/>
  <c r="J627" i="3"/>
  <c r="J628" i="3"/>
  <c r="J629" i="3"/>
  <c r="J630" i="3"/>
  <c r="J631" i="3"/>
  <c r="J632" i="3"/>
  <c r="J633" i="3"/>
  <c r="J634" i="3"/>
  <c r="J635" i="3"/>
  <c r="J636" i="3"/>
  <c r="J637" i="3"/>
  <c r="J638" i="3"/>
  <c r="J639" i="3"/>
  <c r="J640" i="3"/>
  <c r="J641" i="3"/>
  <c r="J642" i="3"/>
  <c r="J643" i="3"/>
  <c r="J644" i="3"/>
  <c r="J645" i="3"/>
  <c r="J646" i="3"/>
  <c r="J647" i="3"/>
  <c r="J648" i="3"/>
  <c r="J649" i="3"/>
  <c r="J650" i="3"/>
  <c r="J651" i="3"/>
  <c r="J652" i="3"/>
  <c r="J653" i="3"/>
  <c r="J654" i="3"/>
  <c r="J655" i="3"/>
  <c r="J656" i="3"/>
  <c r="J657" i="3"/>
  <c r="J658" i="3"/>
  <c r="J659" i="3"/>
  <c r="J660" i="3"/>
  <c r="J661" i="3"/>
  <c r="J662" i="3"/>
  <c r="J663" i="3"/>
  <c r="J664" i="3"/>
  <c r="J665" i="3"/>
  <c r="J666" i="3"/>
  <c r="J667" i="3"/>
  <c r="J668" i="3"/>
  <c r="J669" i="3"/>
  <c r="J670" i="3"/>
  <c r="J671" i="3"/>
  <c r="J672" i="3"/>
  <c r="J673" i="3"/>
  <c r="J674" i="3"/>
  <c r="J675" i="3"/>
  <c r="J676" i="3"/>
  <c r="J677" i="3"/>
  <c r="J678" i="3"/>
  <c r="J679" i="3"/>
  <c r="J680" i="3"/>
  <c r="J681" i="3"/>
  <c r="J682" i="3"/>
  <c r="J683" i="3"/>
  <c r="J684" i="3"/>
  <c r="J685" i="3"/>
  <c r="J686" i="3"/>
  <c r="J687" i="3"/>
  <c r="J688" i="3"/>
  <c r="J689" i="3"/>
  <c r="J690" i="3"/>
  <c r="J691" i="3"/>
  <c r="J692" i="3"/>
  <c r="J693" i="3"/>
  <c r="J694" i="3"/>
  <c r="J695" i="3"/>
  <c r="J696" i="3"/>
  <c r="J697" i="3"/>
  <c r="J698" i="3"/>
  <c r="J699" i="3"/>
  <c r="J700" i="3"/>
  <c r="J701" i="3"/>
  <c r="J702" i="3"/>
  <c r="J703" i="3"/>
  <c r="J704" i="3"/>
  <c r="J705" i="3"/>
  <c r="J706" i="3"/>
  <c r="J707" i="3"/>
  <c r="J708" i="3"/>
  <c r="J709" i="3"/>
  <c r="J710" i="3"/>
  <c r="J711" i="3"/>
  <c r="J712" i="3"/>
  <c r="J713" i="3"/>
  <c r="J714" i="3"/>
  <c r="J715" i="3"/>
  <c r="J716" i="3"/>
  <c r="J717" i="3"/>
  <c r="J718" i="3"/>
  <c r="J719" i="3"/>
  <c r="J720" i="3"/>
  <c r="J721" i="3"/>
  <c r="J722" i="3"/>
  <c r="J723" i="3"/>
  <c r="J724" i="3"/>
  <c r="J725" i="3"/>
  <c r="J726" i="3"/>
  <c r="J727" i="3"/>
  <c r="J728" i="3"/>
  <c r="J729" i="3"/>
  <c r="J730" i="3"/>
  <c r="J731" i="3"/>
  <c r="J732" i="3"/>
  <c r="J733" i="3"/>
  <c r="J734" i="3"/>
  <c r="J735" i="3"/>
  <c r="J736" i="3"/>
  <c r="J737" i="3"/>
  <c r="J738" i="3"/>
  <c r="J739" i="3"/>
  <c r="J740" i="3"/>
  <c r="J741" i="3"/>
  <c r="J742" i="3"/>
  <c r="J743" i="3"/>
  <c r="J744" i="3"/>
  <c r="J745" i="3"/>
  <c r="J746" i="3"/>
  <c r="J747" i="3"/>
  <c r="J748" i="3"/>
  <c r="J749" i="3"/>
  <c r="J750" i="3"/>
  <c r="J751" i="3"/>
  <c r="J752" i="3"/>
  <c r="J753" i="3"/>
  <c r="J754" i="3"/>
  <c r="J755" i="3"/>
  <c r="J756" i="3"/>
  <c r="J757" i="3"/>
  <c r="J758" i="3"/>
  <c r="J759" i="3"/>
  <c r="J760" i="3"/>
  <c r="J761" i="3"/>
  <c r="J762" i="3"/>
  <c r="J763" i="3"/>
  <c r="J764" i="3"/>
  <c r="J765" i="3"/>
  <c r="J766" i="3"/>
  <c r="J767" i="3"/>
  <c r="J768" i="3"/>
  <c r="J769" i="3"/>
  <c r="J770" i="3"/>
  <c r="J771" i="3"/>
  <c r="J772" i="3"/>
  <c r="J773" i="3"/>
  <c r="J774" i="3"/>
  <c r="J775" i="3"/>
  <c r="J776" i="3"/>
  <c r="J777" i="3"/>
  <c r="J778" i="3"/>
  <c r="J779" i="3"/>
  <c r="J780" i="3"/>
  <c r="J781" i="3"/>
  <c r="J782" i="3"/>
  <c r="J783" i="3"/>
  <c r="J784" i="3"/>
  <c r="J785" i="3"/>
  <c r="J786" i="3"/>
  <c r="J787" i="3"/>
  <c r="J788" i="3"/>
  <c r="J789" i="3"/>
  <c r="J790" i="3"/>
  <c r="J791" i="3"/>
  <c r="J792" i="3"/>
  <c r="J793" i="3"/>
  <c r="J794" i="3"/>
  <c r="J795" i="3"/>
  <c r="J796" i="3"/>
  <c r="J797" i="3"/>
  <c r="J798" i="3"/>
  <c r="J799" i="3"/>
  <c r="J800" i="3"/>
  <c r="J801" i="3"/>
  <c r="J802" i="3"/>
  <c r="J803" i="3"/>
  <c r="J804" i="3"/>
  <c r="J805" i="3"/>
  <c r="J806" i="3"/>
  <c r="J807" i="3"/>
  <c r="J808" i="3"/>
  <c r="J809" i="3"/>
  <c r="J810" i="3"/>
  <c r="J811" i="3"/>
  <c r="J812" i="3"/>
  <c r="J813" i="3"/>
  <c r="J814" i="3"/>
  <c r="J815" i="3"/>
  <c r="J816" i="3"/>
  <c r="J817" i="3"/>
  <c r="J818" i="3"/>
  <c r="J819" i="3"/>
  <c r="J820" i="3"/>
  <c r="J821" i="3"/>
  <c r="J822" i="3"/>
  <c r="J823" i="3"/>
  <c r="J824" i="3"/>
  <c r="J825" i="3"/>
  <c r="J826" i="3"/>
  <c r="J827" i="3"/>
  <c r="J828" i="3"/>
  <c r="J829" i="3"/>
  <c r="J830" i="3"/>
  <c r="J831" i="3"/>
  <c r="J832" i="3"/>
  <c r="J833" i="3"/>
  <c r="J834" i="3"/>
  <c r="J835" i="3"/>
  <c r="J836" i="3"/>
  <c r="J837" i="3"/>
  <c r="J838" i="3"/>
  <c r="J839" i="3"/>
  <c r="J840" i="3"/>
  <c r="J841" i="3"/>
  <c r="J842" i="3"/>
  <c r="J843" i="3"/>
  <c r="J844" i="3"/>
  <c r="J845" i="3"/>
  <c r="J846" i="3"/>
  <c r="J847" i="3"/>
  <c r="J848" i="3"/>
  <c r="J849" i="3"/>
  <c r="J850" i="3"/>
  <c r="J851" i="3"/>
  <c r="J852" i="3"/>
  <c r="J853" i="3"/>
  <c r="J854" i="3"/>
  <c r="J855" i="3"/>
  <c r="J856" i="3"/>
  <c r="J857" i="3"/>
  <c r="J858" i="3"/>
  <c r="J859" i="3"/>
  <c r="J860" i="3"/>
  <c r="J861" i="3"/>
  <c r="J862" i="3"/>
  <c r="J863" i="3"/>
  <c r="J864" i="3"/>
  <c r="J865" i="3"/>
  <c r="J866" i="3"/>
  <c r="J867" i="3"/>
  <c r="J868" i="3"/>
  <c r="J869" i="3"/>
  <c r="J870" i="3"/>
  <c r="J871" i="3"/>
  <c r="J872" i="3"/>
  <c r="J873" i="3"/>
  <c r="J874" i="3"/>
  <c r="J875" i="3"/>
  <c r="J876" i="3"/>
  <c r="J877" i="3"/>
  <c r="J878" i="3"/>
  <c r="J879" i="3"/>
  <c r="J880" i="3"/>
  <c r="J881" i="3"/>
  <c r="J882" i="3"/>
  <c r="J883" i="3"/>
  <c r="J884" i="3"/>
  <c r="J885" i="3"/>
  <c r="J886" i="3"/>
  <c r="J887" i="3"/>
  <c r="J888" i="3"/>
  <c r="J889" i="3"/>
  <c r="J890" i="3"/>
  <c r="J891" i="3"/>
  <c r="J892" i="3"/>
  <c r="J893" i="3"/>
  <c r="J894" i="3"/>
  <c r="J895" i="3"/>
  <c r="J896" i="3"/>
  <c r="J897" i="3"/>
  <c r="J898" i="3"/>
  <c r="J899" i="3"/>
  <c r="J900" i="3"/>
  <c r="J901" i="3"/>
  <c r="J902" i="3"/>
  <c r="J903" i="3"/>
  <c r="J904" i="3"/>
  <c r="J905" i="3"/>
  <c r="J906" i="3"/>
  <c r="J907" i="3"/>
  <c r="J908" i="3"/>
  <c r="J909" i="3"/>
  <c r="J910" i="3"/>
  <c r="J911" i="3"/>
  <c r="J912" i="3"/>
  <c r="J913" i="3"/>
  <c r="J914" i="3"/>
  <c r="J915" i="3"/>
  <c r="J916" i="3"/>
  <c r="J917" i="3"/>
  <c r="J918" i="3"/>
  <c r="J919" i="3"/>
  <c r="J920" i="3"/>
  <c r="J921" i="3"/>
  <c r="J922" i="3"/>
  <c r="J923" i="3"/>
  <c r="J924" i="3"/>
  <c r="J925" i="3"/>
  <c r="J926" i="3"/>
  <c r="J927" i="3"/>
  <c r="J928" i="3"/>
  <c r="J929" i="3"/>
  <c r="J930" i="3"/>
  <c r="J931" i="3"/>
  <c r="J932" i="3"/>
  <c r="J933" i="3"/>
  <c r="J934" i="3"/>
  <c r="J935" i="3"/>
  <c r="J936" i="3"/>
  <c r="J937" i="3"/>
  <c r="J938" i="3"/>
  <c r="J939" i="3"/>
  <c r="J940" i="3"/>
  <c r="J941" i="3"/>
  <c r="J942" i="3"/>
  <c r="J943" i="3"/>
  <c r="J944" i="3"/>
  <c r="J945" i="3"/>
  <c r="J946" i="3"/>
  <c r="J947" i="3"/>
  <c r="J948" i="3"/>
  <c r="J949" i="3"/>
  <c r="J950" i="3"/>
  <c r="J951" i="3"/>
  <c r="J952" i="3"/>
  <c r="J953" i="3"/>
  <c r="J954" i="3"/>
  <c r="J955" i="3"/>
  <c r="J956" i="3"/>
  <c r="J957" i="3"/>
  <c r="J958" i="3"/>
  <c r="J959" i="3"/>
  <c r="J960" i="3"/>
  <c r="J961" i="3"/>
  <c r="J962" i="3"/>
  <c r="J963" i="3"/>
  <c r="J964" i="3"/>
  <c r="J965" i="3"/>
  <c r="J966" i="3"/>
  <c r="J967" i="3"/>
  <c r="J968" i="3"/>
  <c r="J969" i="3"/>
  <c r="J970" i="3"/>
  <c r="J971" i="3"/>
  <c r="J972" i="3"/>
  <c r="J973" i="3"/>
  <c r="J974" i="3"/>
  <c r="J975" i="3"/>
  <c r="J976" i="3"/>
  <c r="J977" i="3"/>
  <c r="J978" i="3"/>
  <c r="J979" i="3"/>
  <c r="J980" i="3"/>
  <c r="J981" i="3"/>
  <c r="J982" i="3"/>
  <c r="J983" i="3"/>
  <c r="J984" i="3"/>
  <c r="J985" i="3"/>
  <c r="J986" i="3"/>
  <c r="J987" i="3"/>
  <c r="J988" i="3"/>
  <c r="J989" i="3"/>
  <c r="J990" i="3"/>
  <c r="J991" i="3"/>
  <c r="J992" i="3"/>
  <c r="J993" i="3"/>
  <c r="J994" i="3"/>
  <c r="J995" i="3"/>
  <c r="J996" i="3"/>
  <c r="J997" i="3"/>
  <c r="J998" i="3"/>
  <c r="J999" i="3"/>
  <c r="J1000" i="3"/>
  <c r="J1001" i="3"/>
  <c r="J1002" i="3"/>
  <c r="J1003" i="3"/>
  <c r="J1004" i="3"/>
  <c r="J1005" i="3"/>
  <c r="J1006" i="3"/>
  <c r="J1007" i="3"/>
  <c r="J1008" i="3"/>
  <c r="J1009" i="3"/>
  <c r="J1010" i="3"/>
  <c r="J1011" i="3"/>
  <c r="J1012" i="3"/>
  <c r="J1013" i="3"/>
  <c r="J1014" i="3"/>
  <c r="J1015" i="3"/>
  <c r="J1016" i="3"/>
  <c r="J1017" i="3"/>
  <c r="J1018" i="3"/>
  <c r="J1019" i="3"/>
  <c r="J1020" i="3"/>
  <c r="J1021" i="3"/>
  <c r="J1022" i="3"/>
  <c r="J1023" i="3"/>
  <c r="J1024" i="3"/>
  <c r="J1025" i="3"/>
  <c r="J1026" i="3"/>
  <c r="J1027" i="3"/>
  <c r="J1028" i="3"/>
  <c r="J1029" i="3"/>
  <c r="J1030" i="3"/>
  <c r="J1031" i="3"/>
  <c r="J1032" i="3"/>
  <c r="J1033" i="3"/>
  <c r="J1034" i="3"/>
  <c r="J1035" i="3"/>
  <c r="J1036" i="3"/>
  <c r="J1037" i="3"/>
  <c r="J1038" i="3"/>
  <c r="J1039" i="3"/>
  <c r="J1040" i="3"/>
  <c r="J1041" i="3"/>
  <c r="J1042" i="3"/>
  <c r="J1043" i="3"/>
  <c r="J1044" i="3"/>
  <c r="J1045" i="3"/>
  <c r="J1046" i="3"/>
  <c r="J1047" i="3"/>
  <c r="J1048" i="3"/>
  <c r="J1049" i="3"/>
  <c r="J1050" i="3"/>
  <c r="J1051" i="3"/>
  <c r="J1052" i="3"/>
  <c r="J1053" i="3"/>
  <c r="J1054" i="3"/>
  <c r="J1055" i="3"/>
  <c r="J1056" i="3"/>
  <c r="J1057" i="3"/>
  <c r="J1058" i="3"/>
  <c r="J1059" i="3"/>
  <c r="J1060" i="3"/>
  <c r="J1061" i="3"/>
  <c r="J1062" i="3"/>
  <c r="J1063" i="3"/>
  <c r="J1064" i="3"/>
  <c r="J1065" i="3"/>
  <c r="J1066" i="3"/>
  <c r="J1067" i="3"/>
  <c r="J1068" i="3"/>
  <c r="J1069" i="3"/>
  <c r="J1070" i="3"/>
  <c r="J1071" i="3"/>
  <c r="J1072" i="3"/>
  <c r="J1073" i="3"/>
  <c r="J1074" i="3"/>
  <c r="J1075" i="3"/>
  <c r="J1076" i="3"/>
  <c r="J1077" i="3"/>
  <c r="J1078" i="3"/>
  <c r="J1079" i="3"/>
  <c r="J1080" i="3"/>
  <c r="J1081" i="3"/>
  <c r="J1082" i="3"/>
  <c r="J1083" i="3"/>
  <c r="J1084" i="3"/>
  <c r="J1085" i="3"/>
  <c r="J1086" i="3"/>
  <c r="J1087" i="3"/>
  <c r="J1088" i="3"/>
  <c r="J1089" i="3"/>
  <c r="J1090" i="3"/>
  <c r="J1091" i="3"/>
  <c r="J1092" i="3"/>
  <c r="J1093" i="3"/>
  <c r="J1094" i="3"/>
  <c r="J1095" i="3"/>
  <c r="J1096" i="3"/>
  <c r="J1097" i="3"/>
  <c r="J1098" i="3"/>
  <c r="J1099" i="3"/>
  <c r="J1100" i="3"/>
  <c r="J1101" i="3"/>
  <c r="J1102" i="3"/>
  <c r="J1103" i="3"/>
  <c r="J1104" i="3"/>
  <c r="J1105" i="3"/>
  <c r="J1106" i="3"/>
  <c r="J1107" i="3"/>
  <c r="J1108" i="3"/>
  <c r="J1109" i="3"/>
  <c r="J1110" i="3"/>
  <c r="J1111" i="3"/>
  <c r="J1112" i="3"/>
  <c r="J1113" i="3"/>
  <c r="J1114" i="3"/>
  <c r="J1115" i="3"/>
  <c r="J1116" i="3"/>
  <c r="J1117" i="3"/>
  <c r="J1118" i="3"/>
  <c r="J1119" i="3"/>
  <c r="J1120" i="3"/>
  <c r="J1121" i="3"/>
  <c r="J1122" i="3"/>
  <c r="J1123" i="3"/>
  <c r="J1124" i="3"/>
  <c r="J1125" i="3"/>
  <c r="J1126" i="3"/>
  <c r="J1127" i="3"/>
  <c r="J1128" i="3"/>
  <c r="J1129" i="3"/>
  <c r="J1130" i="3"/>
  <c r="J1131" i="3"/>
  <c r="J1132" i="3"/>
  <c r="J1133" i="3"/>
  <c r="J1134" i="3"/>
  <c r="J1135" i="3"/>
  <c r="J1136" i="3"/>
  <c r="J1137" i="3"/>
  <c r="J1138" i="3"/>
  <c r="J1139" i="3"/>
  <c r="J1140" i="3"/>
  <c r="J1141" i="3"/>
  <c r="J1142" i="3"/>
  <c r="J1143" i="3"/>
  <c r="J1144" i="3"/>
  <c r="J1145" i="3"/>
  <c r="J1146" i="3"/>
  <c r="J1147" i="3"/>
  <c r="J1148" i="3"/>
  <c r="J1149" i="3"/>
  <c r="J1150" i="3"/>
  <c r="J1151" i="3"/>
  <c r="J1152" i="3"/>
  <c r="J1153" i="3"/>
  <c r="J1154" i="3"/>
  <c r="J1155" i="3"/>
  <c r="J1156" i="3"/>
  <c r="J1157" i="3"/>
  <c r="J1158" i="3"/>
  <c r="J1159" i="3"/>
  <c r="J1160" i="3"/>
  <c r="J1161" i="3"/>
  <c r="J1162" i="3"/>
  <c r="J1163" i="3"/>
  <c r="J1164" i="3"/>
  <c r="J1165" i="3"/>
  <c r="J1166" i="3"/>
  <c r="J1167" i="3"/>
  <c r="J1168" i="3"/>
  <c r="J1169" i="3"/>
  <c r="J1170" i="3"/>
  <c r="J1171" i="3"/>
  <c r="J1172" i="3"/>
  <c r="J1173" i="3"/>
  <c r="J1174" i="3"/>
  <c r="J1175" i="3"/>
  <c r="J1176" i="3"/>
  <c r="J1177" i="3"/>
  <c r="J1178" i="3"/>
  <c r="J1179" i="3"/>
  <c r="J1180" i="3"/>
  <c r="J1181" i="3"/>
  <c r="J1182" i="3"/>
  <c r="J1183" i="3"/>
  <c r="J1184" i="3"/>
  <c r="J1185" i="3"/>
  <c r="J1186" i="3"/>
  <c r="J1187" i="3"/>
  <c r="J1188" i="3"/>
  <c r="J1189" i="3"/>
  <c r="J1190" i="3"/>
  <c r="J1191" i="3"/>
  <c r="J1192" i="3"/>
  <c r="J1193" i="3"/>
  <c r="J1194" i="3"/>
  <c r="J1195" i="3"/>
  <c r="J1196" i="3"/>
  <c r="J1197" i="3"/>
  <c r="J1198" i="3"/>
  <c r="J1199" i="3"/>
  <c r="J1200" i="3"/>
  <c r="J1201" i="3"/>
  <c r="J1202" i="3"/>
  <c r="J1203" i="3"/>
  <c r="J1204" i="3"/>
  <c r="J1205" i="3"/>
  <c r="J1206" i="3"/>
  <c r="J1207" i="3"/>
  <c r="J1208" i="3"/>
  <c r="J1209" i="3"/>
  <c r="J1210" i="3"/>
  <c r="J1211" i="3"/>
  <c r="J1212" i="3"/>
  <c r="J1213" i="3"/>
  <c r="J1214" i="3"/>
  <c r="J1215" i="3"/>
  <c r="J1216" i="3"/>
  <c r="J1217" i="3"/>
  <c r="J1218" i="3"/>
  <c r="J1219" i="3"/>
  <c r="J1220" i="3"/>
  <c r="J1221" i="3"/>
  <c r="J1222" i="3"/>
  <c r="J1223" i="3"/>
  <c r="J1224" i="3"/>
  <c r="J1225" i="3"/>
  <c r="J1226" i="3"/>
  <c r="J1227" i="3"/>
  <c r="J1228" i="3"/>
  <c r="J1229" i="3"/>
  <c r="J1230" i="3"/>
  <c r="J1231" i="3"/>
  <c r="J1232" i="3"/>
  <c r="J1233" i="3"/>
  <c r="J1234" i="3"/>
  <c r="J1235" i="3"/>
  <c r="J1236" i="3"/>
  <c r="J1237" i="3"/>
  <c r="J1238" i="3"/>
  <c r="J1239" i="3"/>
  <c r="J1240" i="3"/>
  <c r="J1241" i="3"/>
  <c r="J1242" i="3"/>
  <c r="J1243" i="3"/>
  <c r="J1244" i="3"/>
  <c r="J1245" i="3"/>
  <c r="J1246" i="3"/>
  <c r="J1247" i="3"/>
  <c r="J1248" i="3"/>
  <c r="J1249" i="3"/>
  <c r="J1250" i="3"/>
  <c r="J1251" i="3"/>
  <c r="J1252" i="3"/>
  <c r="J1253" i="3"/>
  <c r="J1254" i="3"/>
  <c r="J1255" i="3"/>
  <c r="J1256" i="3"/>
  <c r="J1257" i="3"/>
  <c r="J1258" i="3"/>
  <c r="J1259" i="3"/>
  <c r="J1260" i="3"/>
  <c r="J1261" i="3"/>
  <c r="J1262" i="3"/>
  <c r="J1263" i="3"/>
  <c r="J1264" i="3"/>
  <c r="J1265" i="3"/>
  <c r="J1266" i="3"/>
  <c r="J1267" i="3"/>
  <c r="J1268" i="3"/>
  <c r="J1269" i="3"/>
  <c r="J1270" i="3"/>
  <c r="J1271" i="3"/>
  <c r="J1272" i="3"/>
  <c r="J1273" i="3"/>
  <c r="J1274" i="3"/>
  <c r="J1275" i="3"/>
  <c r="J1276" i="3"/>
  <c r="J1277" i="3"/>
  <c r="J1278" i="3"/>
  <c r="J1279" i="3"/>
  <c r="J1280" i="3"/>
  <c r="J1281" i="3"/>
  <c r="J1282" i="3"/>
  <c r="J1283" i="3"/>
  <c r="J1284" i="3"/>
  <c r="J1285" i="3"/>
  <c r="J1286" i="3"/>
  <c r="J1287" i="3"/>
  <c r="J1288" i="3"/>
  <c r="J1289" i="3"/>
  <c r="J1290" i="3"/>
  <c r="J1291" i="3"/>
  <c r="J1292" i="3"/>
  <c r="J1293" i="3"/>
  <c r="J1294" i="3"/>
  <c r="J1295" i="3"/>
  <c r="J1296" i="3"/>
  <c r="J1297" i="3"/>
  <c r="J1298" i="3"/>
  <c r="J1299" i="3"/>
  <c r="J1300" i="3"/>
  <c r="J1301" i="3"/>
  <c r="J1302" i="3"/>
  <c r="J1303" i="3"/>
  <c r="J1304" i="3"/>
  <c r="J1305" i="3"/>
  <c r="J1306" i="3"/>
  <c r="J1307" i="3"/>
  <c r="J1308" i="3"/>
  <c r="J1309" i="3"/>
  <c r="J1310" i="3"/>
  <c r="J1311" i="3"/>
  <c r="J1312" i="3"/>
  <c r="J1313" i="3"/>
  <c r="J1314" i="3"/>
  <c r="J1315" i="3"/>
  <c r="J1316" i="3"/>
  <c r="J1317" i="3"/>
  <c r="J1318" i="3"/>
  <c r="J1319" i="3"/>
  <c r="J1320" i="3"/>
  <c r="J1321" i="3"/>
  <c r="J1322" i="3"/>
  <c r="J1323" i="3"/>
  <c r="J1324" i="3"/>
  <c r="J1325" i="3"/>
  <c r="J1326" i="3"/>
  <c r="J1327" i="3"/>
  <c r="J1328" i="3"/>
  <c r="J1329" i="3"/>
  <c r="J1330" i="3"/>
  <c r="J1331" i="3"/>
  <c r="J1332" i="3"/>
  <c r="J1333" i="3"/>
  <c r="J1334" i="3"/>
  <c r="J1335" i="3"/>
  <c r="J1336" i="3"/>
  <c r="J1337" i="3"/>
  <c r="J1338" i="3"/>
  <c r="J1339" i="3"/>
  <c r="J1340" i="3"/>
  <c r="J1341" i="3"/>
  <c r="J1342" i="3"/>
  <c r="J1343" i="3"/>
  <c r="J1344" i="3"/>
  <c r="J1345" i="3"/>
  <c r="J1346" i="3"/>
  <c r="J1347" i="3"/>
  <c r="J1348" i="3"/>
  <c r="J1349" i="3"/>
  <c r="J1350" i="3"/>
  <c r="J1351" i="3"/>
  <c r="J1352" i="3"/>
  <c r="J1353" i="3"/>
  <c r="J1354" i="3"/>
  <c r="J1355" i="3"/>
  <c r="J1356" i="3"/>
  <c r="J1357" i="3"/>
  <c r="J1358" i="3"/>
  <c r="J1359" i="3"/>
  <c r="J1360" i="3"/>
  <c r="J1361" i="3"/>
  <c r="J1362" i="3"/>
  <c r="J1363" i="3"/>
  <c r="J1364" i="3"/>
  <c r="J1365" i="3"/>
  <c r="J1366" i="3"/>
  <c r="J1367" i="3"/>
  <c r="J1368" i="3"/>
  <c r="J1369" i="3"/>
  <c r="J1370" i="3"/>
  <c r="J1371" i="3"/>
  <c r="J1372" i="3"/>
  <c r="J1373" i="3"/>
  <c r="J1374" i="3"/>
  <c r="J1375" i="3"/>
  <c r="J1376" i="3"/>
  <c r="J1377" i="3"/>
  <c r="J1378" i="3"/>
  <c r="J1379" i="3"/>
  <c r="J1380" i="3"/>
  <c r="J1381" i="3"/>
  <c r="J1382" i="3"/>
  <c r="J1383" i="3"/>
  <c r="J1384" i="3"/>
  <c r="J1385" i="3"/>
  <c r="J1386" i="3"/>
  <c r="J1387" i="3"/>
  <c r="J1388" i="3"/>
  <c r="J1389" i="3"/>
  <c r="J1390" i="3"/>
  <c r="J1391" i="3"/>
  <c r="J1392" i="3"/>
  <c r="J1393" i="3"/>
  <c r="J1394" i="3"/>
  <c r="J1395" i="3"/>
  <c r="J1396" i="3"/>
  <c r="J1397" i="3"/>
  <c r="J1398" i="3"/>
  <c r="J1399" i="3"/>
  <c r="J1400" i="3"/>
  <c r="J1401" i="3"/>
  <c r="J1402" i="3"/>
  <c r="J1403" i="3"/>
  <c r="J1404" i="3"/>
  <c r="J1405" i="3"/>
  <c r="J1406" i="3"/>
  <c r="J1407" i="3"/>
  <c r="J1408" i="3"/>
  <c r="J1409" i="3"/>
  <c r="J1410" i="3"/>
  <c r="J1411" i="3"/>
  <c r="J1412" i="3"/>
  <c r="J1413" i="3"/>
  <c r="J1414" i="3"/>
  <c r="J1415" i="3"/>
  <c r="J1416" i="3"/>
  <c r="J1417" i="3"/>
  <c r="J1418" i="3"/>
  <c r="J1419" i="3"/>
  <c r="J1420" i="3"/>
  <c r="J1421" i="3"/>
  <c r="J1422" i="3"/>
  <c r="J1423" i="3"/>
  <c r="J1424" i="3"/>
  <c r="J1425" i="3"/>
  <c r="J1426" i="3"/>
  <c r="J1427" i="3"/>
  <c r="J1428" i="3"/>
  <c r="J1429" i="3"/>
  <c r="J1430" i="3"/>
  <c r="J1431" i="3"/>
  <c r="J1432" i="3"/>
  <c r="J1433" i="3"/>
  <c r="J1434" i="3"/>
  <c r="J1435" i="3"/>
  <c r="J1436" i="3"/>
  <c r="J1437" i="3"/>
  <c r="J1438" i="3"/>
  <c r="J1439" i="3"/>
  <c r="J1440" i="3"/>
  <c r="J1441" i="3"/>
  <c r="J1442" i="3"/>
  <c r="J1443" i="3"/>
  <c r="J1444" i="3"/>
  <c r="J1445" i="3"/>
  <c r="J1446" i="3"/>
  <c r="J1447" i="3"/>
  <c r="J1448" i="3"/>
  <c r="J1449" i="3"/>
  <c r="J1450" i="3"/>
  <c r="J1451" i="3"/>
  <c r="J1452" i="3"/>
  <c r="J1453" i="3"/>
  <c r="J1454" i="3"/>
  <c r="J1455" i="3"/>
  <c r="J1456" i="3"/>
  <c r="J1457" i="3"/>
  <c r="J1458" i="3"/>
  <c r="J1459" i="3"/>
  <c r="J1460" i="3"/>
  <c r="J1461" i="3"/>
  <c r="J1462" i="3"/>
  <c r="J1463" i="3"/>
  <c r="J1464" i="3"/>
  <c r="J1465" i="3"/>
  <c r="J1466" i="3"/>
  <c r="J1467" i="3"/>
  <c r="J1468" i="3"/>
  <c r="J1469" i="3"/>
  <c r="J1470" i="3"/>
  <c r="J1471" i="3"/>
  <c r="J1472" i="3"/>
  <c r="J1473" i="3"/>
  <c r="J1474" i="3"/>
  <c r="J1475" i="3"/>
  <c r="J1476" i="3"/>
  <c r="J1477" i="3"/>
  <c r="J1478" i="3"/>
  <c r="J1479" i="3"/>
  <c r="J1480" i="3"/>
  <c r="J1481" i="3"/>
  <c r="J1482" i="3"/>
  <c r="J1483" i="3"/>
  <c r="J1484" i="3"/>
  <c r="J1485" i="3"/>
  <c r="J1486" i="3"/>
  <c r="J1487" i="3"/>
  <c r="J1488" i="3"/>
  <c r="J1489" i="3"/>
  <c r="J1490" i="3"/>
  <c r="J1491" i="3"/>
  <c r="J1492" i="3"/>
  <c r="J1493" i="3"/>
  <c r="J1494" i="3"/>
  <c r="J1495" i="3"/>
  <c r="J1496" i="3"/>
  <c r="J1497" i="3"/>
  <c r="J1498" i="3"/>
  <c r="J1499" i="3"/>
  <c r="J1500" i="3"/>
  <c r="J1501" i="3"/>
  <c r="I2" i="3"/>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97" i="3"/>
  <c r="I198" i="3"/>
  <c r="I199" i="3"/>
  <c r="I200" i="3"/>
  <c r="I201" i="3"/>
  <c r="I202" i="3"/>
  <c r="I203" i="3"/>
  <c r="I204" i="3"/>
  <c r="I205" i="3"/>
  <c r="I206" i="3"/>
  <c r="I207" i="3"/>
  <c r="I208" i="3"/>
  <c r="I209" i="3"/>
  <c r="I210" i="3"/>
  <c r="I211" i="3"/>
  <c r="I212" i="3"/>
  <c r="I213" i="3"/>
  <c r="I214" i="3"/>
  <c r="I215" i="3"/>
  <c r="I216" i="3"/>
  <c r="I217" i="3"/>
  <c r="I218" i="3"/>
  <c r="I219" i="3"/>
  <c r="I220" i="3"/>
  <c r="I221" i="3"/>
  <c r="I222" i="3"/>
  <c r="I223" i="3"/>
  <c r="I224" i="3"/>
  <c r="I225" i="3"/>
  <c r="I226" i="3"/>
  <c r="I227" i="3"/>
  <c r="I228" i="3"/>
  <c r="I229" i="3"/>
  <c r="I230" i="3"/>
  <c r="I231" i="3"/>
  <c r="I232" i="3"/>
  <c r="I233" i="3"/>
  <c r="I234" i="3"/>
  <c r="I235" i="3"/>
  <c r="I236" i="3"/>
  <c r="I237" i="3"/>
  <c r="I238" i="3"/>
  <c r="I239" i="3"/>
  <c r="I240" i="3"/>
  <c r="I241" i="3"/>
  <c r="I242" i="3"/>
  <c r="I243" i="3"/>
  <c r="I244" i="3"/>
  <c r="I245" i="3"/>
  <c r="I246" i="3"/>
  <c r="I247" i="3"/>
  <c r="I248" i="3"/>
  <c r="I249" i="3"/>
  <c r="I250" i="3"/>
  <c r="I251" i="3"/>
  <c r="I252" i="3"/>
  <c r="I253" i="3"/>
  <c r="I254" i="3"/>
  <c r="I255" i="3"/>
  <c r="I256" i="3"/>
  <c r="I257" i="3"/>
  <c r="I258" i="3"/>
  <c r="I259" i="3"/>
  <c r="I260" i="3"/>
  <c r="I261" i="3"/>
  <c r="I262" i="3"/>
  <c r="I263" i="3"/>
  <c r="I264" i="3"/>
  <c r="I265" i="3"/>
  <c r="I266" i="3"/>
  <c r="I267" i="3"/>
  <c r="I268" i="3"/>
  <c r="I269" i="3"/>
  <c r="I270" i="3"/>
  <c r="I271" i="3"/>
  <c r="I272" i="3"/>
  <c r="I273" i="3"/>
  <c r="I274" i="3"/>
  <c r="I275" i="3"/>
  <c r="I276" i="3"/>
  <c r="I277" i="3"/>
  <c r="I278" i="3"/>
  <c r="I279" i="3"/>
  <c r="I280" i="3"/>
  <c r="I281" i="3"/>
  <c r="I282" i="3"/>
  <c r="I283" i="3"/>
  <c r="I284" i="3"/>
  <c r="I285" i="3"/>
  <c r="I286" i="3"/>
  <c r="I287" i="3"/>
  <c r="I288" i="3"/>
  <c r="I289" i="3"/>
  <c r="I290" i="3"/>
  <c r="I291" i="3"/>
  <c r="I292" i="3"/>
  <c r="I293" i="3"/>
  <c r="I294" i="3"/>
  <c r="I295" i="3"/>
  <c r="I296" i="3"/>
  <c r="I297" i="3"/>
  <c r="I298" i="3"/>
  <c r="I299" i="3"/>
  <c r="I300" i="3"/>
  <c r="I301" i="3"/>
  <c r="I302" i="3"/>
  <c r="I303" i="3"/>
  <c r="I304" i="3"/>
  <c r="I305" i="3"/>
  <c r="I306" i="3"/>
  <c r="I307" i="3"/>
  <c r="I308" i="3"/>
  <c r="I309" i="3"/>
  <c r="I310" i="3"/>
  <c r="I311" i="3"/>
  <c r="I312" i="3"/>
  <c r="I313" i="3"/>
  <c r="I314" i="3"/>
  <c r="I315" i="3"/>
  <c r="I316" i="3"/>
  <c r="I317" i="3"/>
  <c r="I318" i="3"/>
  <c r="I319" i="3"/>
  <c r="I320" i="3"/>
  <c r="I321" i="3"/>
  <c r="I322" i="3"/>
  <c r="I323" i="3"/>
  <c r="I324" i="3"/>
  <c r="I325" i="3"/>
  <c r="I326" i="3"/>
  <c r="I327" i="3"/>
  <c r="I328" i="3"/>
  <c r="I329" i="3"/>
  <c r="I330" i="3"/>
  <c r="I331" i="3"/>
  <c r="I332" i="3"/>
  <c r="I333" i="3"/>
  <c r="I334" i="3"/>
  <c r="I335" i="3"/>
  <c r="I336" i="3"/>
  <c r="I337" i="3"/>
  <c r="I338" i="3"/>
  <c r="I339" i="3"/>
  <c r="I340" i="3"/>
  <c r="I341" i="3"/>
  <c r="I342" i="3"/>
  <c r="I343" i="3"/>
  <c r="I344" i="3"/>
  <c r="I345" i="3"/>
  <c r="I346" i="3"/>
  <c r="I347" i="3"/>
  <c r="I348" i="3"/>
  <c r="I349" i="3"/>
  <c r="I350" i="3"/>
  <c r="I351" i="3"/>
  <c r="I352" i="3"/>
  <c r="I353" i="3"/>
  <c r="I354" i="3"/>
  <c r="I355" i="3"/>
  <c r="I356" i="3"/>
  <c r="I357" i="3"/>
  <c r="I358" i="3"/>
  <c r="I359" i="3"/>
  <c r="I360" i="3"/>
  <c r="I361" i="3"/>
  <c r="I362" i="3"/>
  <c r="I363" i="3"/>
  <c r="I364" i="3"/>
  <c r="I365" i="3"/>
  <c r="I366" i="3"/>
  <c r="I367" i="3"/>
  <c r="I368" i="3"/>
  <c r="I369" i="3"/>
  <c r="I370" i="3"/>
  <c r="I371" i="3"/>
  <c r="I372" i="3"/>
  <c r="I373" i="3"/>
  <c r="I374" i="3"/>
  <c r="I375" i="3"/>
  <c r="I376" i="3"/>
  <c r="I377" i="3"/>
  <c r="I378" i="3"/>
  <c r="I379" i="3"/>
  <c r="I380" i="3"/>
  <c r="I381" i="3"/>
  <c r="I382" i="3"/>
  <c r="I383" i="3"/>
  <c r="I384" i="3"/>
  <c r="I385" i="3"/>
  <c r="I386" i="3"/>
  <c r="I387" i="3"/>
  <c r="I388" i="3"/>
  <c r="I389" i="3"/>
  <c r="I390" i="3"/>
  <c r="I391" i="3"/>
  <c r="I392" i="3"/>
  <c r="I393" i="3"/>
  <c r="I394" i="3"/>
  <c r="I395" i="3"/>
  <c r="I396" i="3"/>
  <c r="I397" i="3"/>
  <c r="I398" i="3"/>
  <c r="I399" i="3"/>
  <c r="I400" i="3"/>
  <c r="I401" i="3"/>
  <c r="I402" i="3"/>
  <c r="I403" i="3"/>
  <c r="I404" i="3"/>
  <c r="I405" i="3"/>
  <c r="I406" i="3"/>
  <c r="I407" i="3"/>
  <c r="I408" i="3"/>
  <c r="I409" i="3"/>
  <c r="I410" i="3"/>
  <c r="I411" i="3"/>
  <c r="I412" i="3"/>
  <c r="I413" i="3"/>
  <c r="I414" i="3"/>
  <c r="I415" i="3"/>
  <c r="I416" i="3"/>
  <c r="I417" i="3"/>
  <c r="I418" i="3"/>
  <c r="I419" i="3"/>
  <c r="I420" i="3"/>
  <c r="I421" i="3"/>
  <c r="I422" i="3"/>
  <c r="I423" i="3"/>
  <c r="I424" i="3"/>
  <c r="I425" i="3"/>
  <c r="I426" i="3"/>
  <c r="I427" i="3"/>
  <c r="I428" i="3"/>
  <c r="I429" i="3"/>
  <c r="I430" i="3"/>
  <c r="I431" i="3"/>
  <c r="I432" i="3"/>
  <c r="I433" i="3"/>
  <c r="I434" i="3"/>
  <c r="I435" i="3"/>
  <c r="I436" i="3"/>
  <c r="I437" i="3"/>
  <c r="I438" i="3"/>
  <c r="I439" i="3"/>
  <c r="I440" i="3"/>
  <c r="I441" i="3"/>
  <c r="I442" i="3"/>
  <c r="I443" i="3"/>
  <c r="I444" i="3"/>
  <c r="I445" i="3"/>
  <c r="I446" i="3"/>
  <c r="I447" i="3"/>
  <c r="I448" i="3"/>
  <c r="I449" i="3"/>
  <c r="I450" i="3"/>
  <c r="I451" i="3"/>
  <c r="I452" i="3"/>
  <c r="I453" i="3"/>
  <c r="I454" i="3"/>
  <c r="I455" i="3"/>
  <c r="I456" i="3"/>
  <c r="I457" i="3"/>
  <c r="I458" i="3"/>
  <c r="I459" i="3"/>
  <c r="I460" i="3"/>
  <c r="I461" i="3"/>
  <c r="I462" i="3"/>
  <c r="I463" i="3"/>
  <c r="I464" i="3"/>
  <c r="I465" i="3"/>
  <c r="I466" i="3"/>
  <c r="I467" i="3"/>
  <c r="I468" i="3"/>
  <c r="I469" i="3"/>
  <c r="I470" i="3"/>
  <c r="I471" i="3"/>
  <c r="I472" i="3"/>
  <c r="I473" i="3"/>
  <c r="I474" i="3"/>
  <c r="I475" i="3"/>
  <c r="I476" i="3"/>
  <c r="I477" i="3"/>
  <c r="I478" i="3"/>
  <c r="I479" i="3"/>
  <c r="I480" i="3"/>
  <c r="I481" i="3"/>
  <c r="I482" i="3"/>
  <c r="I483" i="3"/>
  <c r="I484" i="3"/>
  <c r="I485" i="3"/>
  <c r="I486" i="3"/>
  <c r="I487" i="3"/>
  <c r="I488" i="3"/>
  <c r="I489" i="3"/>
  <c r="I490" i="3"/>
  <c r="I491" i="3"/>
  <c r="I492" i="3"/>
  <c r="I493" i="3"/>
  <c r="I494" i="3"/>
  <c r="I495" i="3"/>
  <c r="I496" i="3"/>
  <c r="I497" i="3"/>
  <c r="I498" i="3"/>
  <c r="I499" i="3"/>
  <c r="I500" i="3"/>
  <c r="I501" i="3"/>
  <c r="I502" i="3"/>
  <c r="I503" i="3"/>
  <c r="I504" i="3"/>
  <c r="I505" i="3"/>
  <c r="I506" i="3"/>
  <c r="I507" i="3"/>
  <c r="I508" i="3"/>
  <c r="I509" i="3"/>
  <c r="I510" i="3"/>
  <c r="I511" i="3"/>
  <c r="I512" i="3"/>
  <c r="I513" i="3"/>
  <c r="I514" i="3"/>
  <c r="I515" i="3"/>
  <c r="I516" i="3"/>
  <c r="I517" i="3"/>
  <c r="I518" i="3"/>
  <c r="I519" i="3"/>
  <c r="I520" i="3"/>
  <c r="I521" i="3"/>
  <c r="I522" i="3"/>
  <c r="I523" i="3"/>
  <c r="I524" i="3"/>
  <c r="I525" i="3"/>
  <c r="I526" i="3"/>
  <c r="I527" i="3"/>
  <c r="I528" i="3"/>
  <c r="I529" i="3"/>
  <c r="I530" i="3"/>
  <c r="I531" i="3"/>
  <c r="I532" i="3"/>
  <c r="I533" i="3"/>
  <c r="I534" i="3"/>
  <c r="I535" i="3"/>
  <c r="I536" i="3"/>
  <c r="I537" i="3"/>
  <c r="I538" i="3"/>
  <c r="I539" i="3"/>
  <c r="I540" i="3"/>
  <c r="I541" i="3"/>
  <c r="I542" i="3"/>
  <c r="I543" i="3"/>
  <c r="I544" i="3"/>
  <c r="I545" i="3"/>
  <c r="I546" i="3"/>
  <c r="I547" i="3"/>
  <c r="I548" i="3"/>
  <c r="I549" i="3"/>
  <c r="I550" i="3"/>
  <c r="I551" i="3"/>
  <c r="I552" i="3"/>
  <c r="I553" i="3"/>
  <c r="I554" i="3"/>
  <c r="I555" i="3"/>
  <c r="I556" i="3"/>
  <c r="I557" i="3"/>
  <c r="I558" i="3"/>
  <c r="I559" i="3"/>
  <c r="I560" i="3"/>
  <c r="I561" i="3"/>
  <c r="I562" i="3"/>
  <c r="I563" i="3"/>
  <c r="I564" i="3"/>
  <c r="I565" i="3"/>
  <c r="I566" i="3"/>
  <c r="I567" i="3"/>
  <c r="I568" i="3"/>
  <c r="I569" i="3"/>
  <c r="I570" i="3"/>
  <c r="I571" i="3"/>
  <c r="I572" i="3"/>
  <c r="I573" i="3"/>
  <c r="I574" i="3"/>
  <c r="I575" i="3"/>
  <c r="I576" i="3"/>
  <c r="I577" i="3"/>
  <c r="I578" i="3"/>
  <c r="I579" i="3"/>
  <c r="I580" i="3"/>
  <c r="I581" i="3"/>
  <c r="I582" i="3"/>
  <c r="I583" i="3"/>
  <c r="I584" i="3"/>
  <c r="I585" i="3"/>
  <c r="I586" i="3"/>
  <c r="I587" i="3"/>
  <c r="I588" i="3"/>
  <c r="I589" i="3"/>
  <c r="I590" i="3"/>
  <c r="I591" i="3"/>
  <c r="I592" i="3"/>
  <c r="I593" i="3"/>
  <c r="I594" i="3"/>
  <c r="I595" i="3"/>
  <c r="I596" i="3"/>
  <c r="I597" i="3"/>
  <c r="I598" i="3"/>
  <c r="I599" i="3"/>
  <c r="I600" i="3"/>
  <c r="I601" i="3"/>
  <c r="I602" i="3"/>
  <c r="I603" i="3"/>
  <c r="I604" i="3"/>
  <c r="I605" i="3"/>
  <c r="I606" i="3"/>
  <c r="I607" i="3"/>
  <c r="I608" i="3"/>
  <c r="I609" i="3"/>
  <c r="I610" i="3"/>
  <c r="I611" i="3"/>
  <c r="I612" i="3"/>
  <c r="I613" i="3"/>
  <c r="I614" i="3"/>
  <c r="I615" i="3"/>
  <c r="I616" i="3"/>
  <c r="I617" i="3"/>
  <c r="I618" i="3"/>
  <c r="I619" i="3"/>
  <c r="I620" i="3"/>
  <c r="I621" i="3"/>
  <c r="I622" i="3"/>
  <c r="I623" i="3"/>
  <c r="I624" i="3"/>
  <c r="I625" i="3"/>
  <c r="I626" i="3"/>
  <c r="I627" i="3"/>
  <c r="I628" i="3"/>
  <c r="I629" i="3"/>
  <c r="I630" i="3"/>
  <c r="I631" i="3"/>
  <c r="I632" i="3"/>
  <c r="I633" i="3"/>
  <c r="I634" i="3"/>
  <c r="I635" i="3"/>
  <c r="I636" i="3"/>
  <c r="I637" i="3"/>
  <c r="I638" i="3"/>
  <c r="I639" i="3"/>
  <c r="I640" i="3"/>
  <c r="I641" i="3"/>
  <c r="I642" i="3"/>
  <c r="I643" i="3"/>
  <c r="I644" i="3"/>
  <c r="I645" i="3"/>
  <c r="I646" i="3"/>
  <c r="I647" i="3"/>
  <c r="I648" i="3"/>
  <c r="I649" i="3"/>
  <c r="I650" i="3"/>
  <c r="I651" i="3"/>
  <c r="I652" i="3"/>
  <c r="I653" i="3"/>
  <c r="I654" i="3"/>
  <c r="I655" i="3"/>
  <c r="I656" i="3"/>
  <c r="I657" i="3"/>
  <c r="I658" i="3"/>
  <c r="I659" i="3"/>
  <c r="I660" i="3"/>
  <c r="I661" i="3"/>
  <c r="I662" i="3"/>
  <c r="I663" i="3"/>
  <c r="I664" i="3"/>
  <c r="I665" i="3"/>
  <c r="I666" i="3"/>
  <c r="I667" i="3"/>
  <c r="I668" i="3"/>
  <c r="I669" i="3"/>
  <c r="I670" i="3"/>
  <c r="I671" i="3"/>
  <c r="I672" i="3"/>
  <c r="I673" i="3"/>
  <c r="I674" i="3"/>
  <c r="I675" i="3"/>
  <c r="I676" i="3"/>
  <c r="I677" i="3"/>
  <c r="I678" i="3"/>
  <c r="I679" i="3"/>
  <c r="I680" i="3"/>
  <c r="I681" i="3"/>
  <c r="I682" i="3"/>
  <c r="I683" i="3"/>
  <c r="I684" i="3"/>
  <c r="I685" i="3"/>
  <c r="I686" i="3"/>
  <c r="I687" i="3"/>
  <c r="I688" i="3"/>
  <c r="I689" i="3"/>
  <c r="I690" i="3"/>
  <c r="I691" i="3"/>
  <c r="I692" i="3"/>
  <c r="I693" i="3"/>
  <c r="I694" i="3"/>
  <c r="I695" i="3"/>
  <c r="I696" i="3"/>
  <c r="I697" i="3"/>
  <c r="I698" i="3"/>
  <c r="I699" i="3"/>
  <c r="I700" i="3"/>
  <c r="I701" i="3"/>
  <c r="I702" i="3"/>
  <c r="I703" i="3"/>
  <c r="I704" i="3"/>
  <c r="I705" i="3"/>
  <c r="I706" i="3"/>
  <c r="I707" i="3"/>
  <c r="I708" i="3"/>
  <c r="I709" i="3"/>
  <c r="I710" i="3"/>
  <c r="I711" i="3"/>
  <c r="I712" i="3"/>
  <c r="I713" i="3"/>
  <c r="I714" i="3"/>
  <c r="I715" i="3"/>
  <c r="I716" i="3"/>
  <c r="I717" i="3"/>
  <c r="I718" i="3"/>
  <c r="I719" i="3"/>
  <c r="I720" i="3"/>
  <c r="I721" i="3"/>
  <c r="I722" i="3"/>
  <c r="I723" i="3"/>
  <c r="I724" i="3"/>
  <c r="I725" i="3"/>
  <c r="I726" i="3"/>
  <c r="I727" i="3"/>
  <c r="I728" i="3"/>
  <c r="I729" i="3"/>
  <c r="I730" i="3"/>
  <c r="I731" i="3"/>
  <c r="I732" i="3"/>
  <c r="I733" i="3"/>
  <c r="I734" i="3"/>
  <c r="I735" i="3"/>
  <c r="I736" i="3"/>
  <c r="I737" i="3"/>
  <c r="I738" i="3"/>
  <c r="I739" i="3"/>
  <c r="I740" i="3"/>
  <c r="I741" i="3"/>
  <c r="I742" i="3"/>
  <c r="I743" i="3"/>
  <c r="I744" i="3"/>
  <c r="I745" i="3"/>
  <c r="I746" i="3"/>
  <c r="I747" i="3"/>
  <c r="I748" i="3"/>
  <c r="I749" i="3"/>
  <c r="I750" i="3"/>
  <c r="I751" i="3"/>
  <c r="I752" i="3"/>
  <c r="I753" i="3"/>
  <c r="I754" i="3"/>
  <c r="I755" i="3"/>
  <c r="I756" i="3"/>
  <c r="I757" i="3"/>
  <c r="I758" i="3"/>
  <c r="I759" i="3"/>
  <c r="I760" i="3"/>
  <c r="I761" i="3"/>
  <c r="I762" i="3"/>
  <c r="I763" i="3"/>
  <c r="I764" i="3"/>
  <c r="I765" i="3"/>
  <c r="I766" i="3"/>
  <c r="I767" i="3"/>
  <c r="I768" i="3"/>
  <c r="I769" i="3"/>
  <c r="I770" i="3"/>
  <c r="I771" i="3"/>
  <c r="I772" i="3"/>
  <c r="I773" i="3"/>
  <c r="I774" i="3"/>
  <c r="I775" i="3"/>
  <c r="I776" i="3"/>
  <c r="I777" i="3"/>
  <c r="I778" i="3"/>
  <c r="I779" i="3"/>
  <c r="I780" i="3"/>
  <c r="I781" i="3"/>
  <c r="I782" i="3"/>
  <c r="I783" i="3"/>
  <c r="I784" i="3"/>
  <c r="I785" i="3"/>
  <c r="I786" i="3"/>
  <c r="I787" i="3"/>
  <c r="I788" i="3"/>
  <c r="I789" i="3"/>
  <c r="I790" i="3"/>
  <c r="I791" i="3"/>
  <c r="I792" i="3"/>
  <c r="I793" i="3"/>
  <c r="I794" i="3"/>
  <c r="I795" i="3"/>
  <c r="I796" i="3"/>
  <c r="I797" i="3"/>
  <c r="I798" i="3"/>
  <c r="I799" i="3"/>
  <c r="I800" i="3"/>
  <c r="I801" i="3"/>
  <c r="I802" i="3"/>
  <c r="I803" i="3"/>
  <c r="I804" i="3"/>
  <c r="I805" i="3"/>
  <c r="I806" i="3"/>
  <c r="I807" i="3"/>
  <c r="I808" i="3"/>
  <c r="I809" i="3"/>
  <c r="I810" i="3"/>
  <c r="I811" i="3"/>
  <c r="I812" i="3"/>
  <c r="I813" i="3"/>
  <c r="I814" i="3"/>
  <c r="I815" i="3"/>
  <c r="I816" i="3"/>
  <c r="I817" i="3"/>
  <c r="I818" i="3"/>
  <c r="I819" i="3"/>
  <c r="I820" i="3"/>
  <c r="I821" i="3"/>
  <c r="I822" i="3"/>
  <c r="I823" i="3"/>
  <c r="I824" i="3"/>
  <c r="I825" i="3"/>
  <c r="I826" i="3"/>
  <c r="I827" i="3"/>
  <c r="I828" i="3"/>
  <c r="I829" i="3"/>
  <c r="I830" i="3"/>
  <c r="I831" i="3"/>
  <c r="I832" i="3"/>
  <c r="I833" i="3"/>
  <c r="I834" i="3"/>
  <c r="I835" i="3"/>
  <c r="I836" i="3"/>
  <c r="I837" i="3"/>
  <c r="I838" i="3"/>
  <c r="I839" i="3"/>
  <c r="I840" i="3"/>
  <c r="I841" i="3"/>
  <c r="I842" i="3"/>
  <c r="I843" i="3"/>
  <c r="I844" i="3"/>
  <c r="I845" i="3"/>
  <c r="I846" i="3"/>
  <c r="I847" i="3"/>
  <c r="I848" i="3"/>
  <c r="I849" i="3"/>
  <c r="I850" i="3"/>
  <c r="I851" i="3"/>
  <c r="I852" i="3"/>
  <c r="I853" i="3"/>
  <c r="I854" i="3"/>
  <c r="I855" i="3"/>
  <c r="I856" i="3"/>
  <c r="I857" i="3"/>
  <c r="I858" i="3"/>
  <c r="I859" i="3"/>
  <c r="I860" i="3"/>
  <c r="I861" i="3"/>
  <c r="I862" i="3"/>
  <c r="I863" i="3"/>
  <c r="I864" i="3"/>
  <c r="I865" i="3"/>
  <c r="I866" i="3"/>
  <c r="I867" i="3"/>
  <c r="I868" i="3"/>
  <c r="I869" i="3"/>
  <c r="I870" i="3"/>
  <c r="I871" i="3"/>
  <c r="I872" i="3"/>
  <c r="I873" i="3"/>
  <c r="I874" i="3"/>
  <c r="I875" i="3"/>
  <c r="I876" i="3"/>
  <c r="I877" i="3"/>
  <c r="I878" i="3"/>
  <c r="I879" i="3"/>
  <c r="I880" i="3"/>
  <c r="I881" i="3"/>
  <c r="I882" i="3"/>
  <c r="I883" i="3"/>
  <c r="I884" i="3"/>
  <c r="I885" i="3"/>
  <c r="I886" i="3"/>
  <c r="I887" i="3"/>
  <c r="I888" i="3"/>
  <c r="I889" i="3"/>
  <c r="I890" i="3"/>
  <c r="I891" i="3"/>
  <c r="I892" i="3"/>
  <c r="I893" i="3"/>
  <c r="I894" i="3"/>
  <c r="I895" i="3"/>
  <c r="I896" i="3"/>
  <c r="I897" i="3"/>
  <c r="I898" i="3"/>
  <c r="I899" i="3"/>
  <c r="I900" i="3"/>
  <c r="I901" i="3"/>
  <c r="I902" i="3"/>
  <c r="I903" i="3"/>
  <c r="I904" i="3"/>
  <c r="I905" i="3"/>
  <c r="I906" i="3"/>
  <c r="I907" i="3"/>
  <c r="I908" i="3"/>
  <c r="I909" i="3"/>
  <c r="I910" i="3"/>
  <c r="I911" i="3"/>
  <c r="I912" i="3"/>
  <c r="I913" i="3"/>
  <c r="I914" i="3"/>
  <c r="I915" i="3"/>
  <c r="I916" i="3"/>
  <c r="I917" i="3"/>
  <c r="I918" i="3"/>
  <c r="I919" i="3"/>
  <c r="I920" i="3"/>
  <c r="I921" i="3"/>
  <c r="I922" i="3"/>
  <c r="I923" i="3"/>
  <c r="I924" i="3"/>
  <c r="I925" i="3"/>
  <c r="I926" i="3"/>
  <c r="I927" i="3"/>
  <c r="I928" i="3"/>
  <c r="I929" i="3"/>
  <c r="I930" i="3"/>
  <c r="I931" i="3"/>
  <c r="I932" i="3"/>
  <c r="I933" i="3"/>
  <c r="I934" i="3"/>
  <c r="I935" i="3"/>
  <c r="I936" i="3"/>
  <c r="I937" i="3"/>
  <c r="I938" i="3"/>
  <c r="I939" i="3"/>
  <c r="I940" i="3"/>
  <c r="I941" i="3"/>
  <c r="I942" i="3"/>
  <c r="I943" i="3"/>
  <c r="I944" i="3"/>
  <c r="I945" i="3"/>
  <c r="I946" i="3"/>
  <c r="I947" i="3"/>
  <c r="I948" i="3"/>
  <c r="I949" i="3"/>
  <c r="I950" i="3"/>
  <c r="I951" i="3"/>
  <c r="I952" i="3"/>
  <c r="I953" i="3"/>
  <c r="I954" i="3"/>
  <c r="I955" i="3"/>
  <c r="I956" i="3"/>
  <c r="I957" i="3"/>
  <c r="I958" i="3"/>
  <c r="I959" i="3"/>
  <c r="I960" i="3"/>
  <c r="I961" i="3"/>
  <c r="I962" i="3"/>
  <c r="I963" i="3"/>
  <c r="I964" i="3"/>
  <c r="I965" i="3"/>
  <c r="I966" i="3"/>
  <c r="I967" i="3"/>
  <c r="I968" i="3"/>
  <c r="I969" i="3"/>
  <c r="I970" i="3"/>
  <c r="I971" i="3"/>
  <c r="I972" i="3"/>
  <c r="I973" i="3"/>
  <c r="I974" i="3"/>
  <c r="I975" i="3"/>
  <c r="I976" i="3"/>
  <c r="I977" i="3"/>
  <c r="I978" i="3"/>
  <c r="I979" i="3"/>
  <c r="I980" i="3"/>
  <c r="I981" i="3"/>
  <c r="I982" i="3"/>
  <c r="I983" i="3"/>
  <c r="I984" i="3"/>
  <c r="I985" i="3"/>
  <c r="I986" i="3"/>
  <c r="I987" i="3"/>
  <c r="I988" i="3"/>
  <c r="I989" i="3"/>
  <c r="I990" i="3"/>
  <c r="I991" i="3"/>
  <c r="I992" i="3"/>
  <c r="I993" i="3"/>
  <c r="I994" i="3"/>
  <c r="I995" i="3"/>
  <c r="I996" i="3"/>
  <c r="I997" i="3"/>
  <c r="I998" i="3"/>
  <c r="I999" i="3"/>
  <c r="I1000" i="3"/>
  <c r="I1001" i="3"/>
  <c r="I1002" i="3"/>
  <c r="I1003" i="3"/>
  <c r="I1004" i="3"/>
  <c r="I1005" i="3"/>
  <c r="I1006" i="3"/>
  <c r="I1007" i="3"/>
  <c r="I1008" i="3"/>
  <c r="I1009" i="3"/>
  <c r="I1010" i="3"/>
  <c r="I1011" i="3"/>
  <c r="I1012" i="3"/>
  <c r="I1013" i="3"/>
  <c r="I1014" i="3"/>
  <c r="I1015" i="3"/>
  <c r="I1016" i="3"/>
  <c r="I1017" i="3"/>
  <c r="I1018" i="3"/>
  <c r="I1019" i="3"/>
  <c r="I1020" i="3"/>
  <c r="I1021" i="3"/>
  <c r="I1022" i="3"/>
  <c r="I1023" i="3"/>
  <c r="I1024" i="3"/>
  <c r="I1025" i="3"/>
  <c r="I1026" i="3"/>
  <c r="I1027" i="3"/>
  <c r="I1028" i="3"/>
  <c r="I1029" i="3"/>
  <c r="I1030" i="3"/>
  <c r="I1031" i="3"/>
  <c r="I1032" i="3"/>
  <c r="I1033" i="3"/>
  <c r="I1034" i="3"/>
  <c r="I1035" i="3"/>
  <c r="I1036" i="3"/>
  <c r="I1037" i="3"/>
  <c r="I1038" i="3"/>
  <c r="I1039" i="3"/>
  <c r="I1040" i="3"/>
  <c r="I1041" i="3"/>
  <c r="I1042" i="3"/>
  <c r="I1043" i="3"/>
  <c r="I1044" i="3"/>
  <c r="I1045" i="3"/>
  <c r="I1046" i="3"/>
  <c r="I1047" i="3"/>
  <c r="I1048" i="3"/>
  <c r="I1049" i="3"/>
  <c r="I1050" i="3"/>
  <c r="I1051" i="3"/>
  <c r="I1052" i="3"/>
  <c r="I1053" i="3"/>
  <c r="I1054" i="3"/>
  <c r="I1055" i="3"/>
  <c r="I1056" i="3"/>
  <c r="I1057" i="3"/>
  <c r="I1058" i="3"/>
  <c r="I1059" i="3"/>
  <c r="I1060" i="3"/>
  <c r="I1061" i="3"/>
  <c r="I1062" i="3"/>
  <c r="I1063" i="3"/>
  <c r="I1064" i="3"/>
  <c r="I1065" i="3"/>
  <c r="I1066" i="3"/>
  <c r="I1067" i="3"/>
  <c r="I1068" i="3"/>
  <c r="I1069" i="3"/>
  <c r="I1070" i="3"/>
  <c r="I1071" i="3"/>
  <c r="I1072" i="3"/>
  <c r="I1073" i="3"/>
  <c r="I1074" i="3"/>
  <c r="I1075" i="3"/>
  <c r="I1076" i="3"/>
  <c r="I1077" i="3"/>
  <c r="I1078" i="3"/>
  <c r="I1079" i="3"/>
  <c r="I1080" i="3"/>
  <c r="I1081" i="3"/>
  <c r="I1082" i="3"/>
  <c r="I1083" i="3"/>
  <c r="I1084" i="3"/>
  <c r="I1085" i="3"/>
  <c r="I1086" i="3"/>
  <c r="I1087" i="3"/>
  <c r="I1088" i="3"/>
  <c r="I1089" i="3"/>
  <c r="I1090" i="3"/>
  <c r="I1091" i="3"/>
  <c r="I1092" i="3"/>
  <c r="I1093" i="3"/>
  <c r="I1094" i="3"/>
  <c r="I1095" i="3"/>
  <c r="I1096" i="3"/>
  <c r="I1097" i="3"/>
  <c r="I1098" i="3"/>
  <c r="I1099" i="3"/>
  <c r="I1100" i="3"/>
  <c r="I1101" i="3"/>
  <c r="I1102" i="3"/>
  <c r="I1103" i="3"/>
  <c r="I1104" i="3"/>
  <c r="I1105" i="3"/>
  <c r="I1106" i="3"/>
  <c r="I1107" i="3"/>
  <c r="I1108" i="3"/>
  <c r="I1109" i="3"/>
  <c r="I1110" i="3"/>
  <c r="I1111" i="3"/>
  <c r="I1112" i="3"/>
  <c r="I1113" i="3"/>
  <c r="I1114" i="3"/>
  <c r="I1115" i="3"/>
  <c r="I1116" i="3"/>
  <c r="I1117" i="3"/>
  <c r="I1118" i="3"/>
  <c r="I1119" i="3"/>
  <c r="I1120" i="3"/>
  <c r="I1121" i="3"/>
  <c r="I1122" i="3"/>
  <c r="I1123" i="3"/>
  <c r="I1124" i="3"/>
  <c r="I1125" i="3"/>
  <c r="I1126" i="3"/>
  <c r="I1127" i="3"/>
  <c r="I1128" i="3"/>
  <c r="I1129" i="3"/>
  <c r="I1130" i="3"/>
  <c r="I1131" i="3"/>
  <c r="I1132" i="3"/>
  <c r="I1133" i="3"/>
  <c r="I1134" i="3"/>
  <c r="I1135" i="3"/>
  <c r="I1136" i="3"/>
  <c r="I1137" i="3"/>
  <c r="I1138" i="3"/>
  <c r="I1139" i="3"/>
  <c r="I1140" i="3"/>
  <c r="I1141" i="3"/>
  <c r="I1142" i="3"/>
  <c r="I1143" i="3"/>
  <c r="I1144" i="3"/>
  <c r="I1145" i="3"/>
  <c r="I1146" i="3"/>
  <c r="I1147" i="3"/>
  <c r="I1148" i="3"/>
  <c r="I1149" i="3"/>
  <c r="I1150" i="3"/>
  <c r="I1151" i="3"/>
  <c r="I1152" i="3"/>
  <c r="I1153" i="3"/>
  <c r="I1154" i="3"/>
  <c r="I1155" i="3"/>
  <c r="I1156" i="3"/>
  <c r="I1157" i="3"/>
  <c r="I1158" i="3"/>
  <c r="I1159" i="3"/>
  <c r="I1160" i="3"/>
  <c r="I1161" i="3"/>
  <c r="I1162" i="3"/>
  <c r="I1163" i="3"/>
  <c r="I1164" i="3"/>
  <c r="I1165" i="3"/>
  <c r="I1166" i="3"/>
  <c r="I1167" i="3"/>
  <c r="I1168" i="3"/>
  <c r="I1169" i="3"/>
  <c r="I1170" i="3"/>
  <c r="I1171" i="3"/>
  <c r="I1172" i="3"/>
  <c r="I1173" i="3"/>
  <c r="I1174" i="3"/>
  <c r="I1175" i="3"/>
  <c r="I1176" i="3"/>
  <c r="I1177" i="3"/>
  <c r="I1178" i="3"/>
  <c r="I1179" i="3"/>
  <c r="I1180" i="3"/>
  <c r="I1181" i="3"/>
  <c r="I1182" i="3"/>
  <c r="I1183" i="3"/>
  <c r="I1184" i="3"/>
  <c r="I1185" i="3"/>
  <c r="I1186" i="3"/>
  <c r="I1187" i="3"/>
  <c r="I1188" i="3"/>
  <c r="I1189" i="3"/>
  <c r="I1190" i="3"/>
  <c r="I1191" i="3"/>
  <c r="I1192" i="3"/>
  <c r="I1193" i="3"/>
  <c r="I1194" i="3"/>
  <c r="I1195" i="3"/>
  <c r="I1196" i="3"/>
  <c r="I1197" i="3"/>
  <c r="I1198" i="3"/>
  <c r="I1199" i="3"/>
  <c r="I1200" i="3"/>
  <c r="I1201" i="3"/>
  <c r="I1202" i="3"/>
  <c r="I1203" i="3"/>
  <c r="I1204" i="3"/>
  <c r="I1205" i="3"/>
  <c r="I1206" i="3"/>
  <c r="I1207" i="3"/>
  <c r="I1208" i="3"/>
  <c r="I1209" i="3"/>
  <c r="I1210" i="3"/>
  <c r="I1211" i="3"/>
  <c r="I1212" i="3"/>
  <c r="I1213" i="3"/>
  <c r="I1214" i="3"/>
  <c r="I1215" i="3"/>
  <c r="I1216" i="3"/>
  <c r="I1217" i="3"/>
  <c r="I1218" i="3"/>
  <c r="I1219" i="3"/>
  <c r="I1220" i="3"/>
  <c r="I1221" i="3"/>
  <c r="I1222" i="3"/>
  <c r="I1223" i="3"/>
  <c r="I1224" i="3"/>
  <c r="I1225" i="3"/>
  <c r="I1226" i="3"/>
  <c r="I1227" i="3"/>
  <c r="I1228" i="3"/>
  <c r="I1229" i="3"/>
  <c r="I1230" i="3"/>
  <c r="I1231" i="3"/>
  <c r="I1232" i="3"/>
  <c r="I1233" i="3"/>
  <c r="I1234" i="3"/>
  <c r="I1235" i="3"/>
  <c r="I1236" i="3"/>
  <c r="I1237" i="3"/>
  <c r="I1238" i="3"/>
  <c r="I1239" i="3"/>
  <c r="I1240" i="3"/>
  <c r="I1241" i="3"/>
  <c r="I1242" i="3"/>
  <c r="I1243" i="3"/>
  <c r="I1244" i="3"/>
  <c r="I1245" i="3"/>
  <c r="I1246" i="3"/>
  <c r="I1247" i="3"/>
  <c r="I1248" i="3"/>
  <c r="I1249" i="3"/>
  <c r="I1250" i="3"/>
  <c r="I1251" i="3"/>
  <c r="I1252" i="3"/>
  <c r="I1253" i="3"/>
  <c r="I1254" i="3"/>
  <c r="I1255" i="3"/>
  <c r="I1256" i="3"/>
  <c r="I1257" i="3"/>
  <c r="I1258" i="3"/>
  <c r="I1259" i="3"/>
  <c r="I1260" i="3"/>
  <c r="I1261" i="3"/>
  <c r="I1262" i="3"/>
  <c r="I1263" i="3"/>
  <c r="I1264" i="3"/>
  <c r="I1265" i="3"/>
  <c r="I1266" i="3"/>
  <c r="I1267" i="3"/>
  <c r="I1268" i="3"/>
  <c r="I1269" i="3"/>
  <c r="I1270" i="3"/>
  <c r="I1271" i="3"/>
  <c r="I1272" i="3"/>
  <c r="I1273" i="3"/>
  <c r="I1274" i="3"/>
  <c r="I1275" i="3"/>
  <c r="I1276" i="3"/>
  <c r="I1277" i="3"/>
  <c r="I1278" i="3"/>
  <c r="I1279" i="3"/>
  <c r="I1280" i="3"/>
  <c r="I1281" i="3"/>
  <c r="I1282" i="3"/>
  <c r="I1283" i="3"/>
  <c r="I1284" i="3"/>
  <c r="I1285" i="3"/>
  <c r="I1286" i="3"/>
  <c r="I1287" i="3"/>
  <c r="I1288" i="3"/>
  <c r="I1289" i="3"/>
  <c r="I1290" i="3"/>
  <c r="I1291" i="3"/>
  <c r="I1292" i="3"/>
  <c r="I1293" i="3"/>
  <c r="I1294" i="3"/>
  <c r="I1295" i="3"/>
  <c r="I1296" i="3"/>
  <c r="I1297" i="3"/>
  <c r="I1298" i="3"/>
  <c r="I1299" i="3"/>
  <c r="I1300" i="3"/>
  <c r="I1301" i="3"/>
  <c r="I1302" i="3"/>
  <c r="I1303" i="3"/>
  <c r="I1304" i="3"/>
  <c r="I1305" i="3"/>
  <c r="I1306" i="3"/>
  <c r="I1307" i="3"/>
  <c r="I1308" i="3"/>
  <c r="I1309" i="3"/>
  <c r="I1310" i="3"/>
  <c r="I1311" i="3"/>
  <c r="I1312" i="3"/>
  <c r="I1313" i="3"/>
  <c r="I1314" i="3"/>
  <c r="I1315" i="3"/>
  <c r="I1316" i="3"/>
  <c r="I1317" i="3"/>
  <c r="I1318" i="3"/>
  <c r="I1319" i="3"/>
  <c r="I1320" i="3"/>
  <c r="I1321" i="3"/>
  <c r="I1322" i="3"/>
  <c r="I1323" i="3"/>
  <c r="I1324" i="3"/>
  <c r="I1325" i="3"/>
  <c r="I1326" i="3"/>
  <c r="I1327" i="3"/>
  <c r="I1328" i="3"/>
  <c r="I1329" i="3"/>
  <c r="I1330" i="3"/>
  <c r="I1331" i="3"/>
  <c r="I1332" i="3"/>
  <c r="I1333" i="3"/>
  <c r="I1334" i="3"/>
  <c r="I1335" i="3"/>
  <c r="I1336" i="3"/>
  <c r="I1337" i="3"/>
  <c r="I1338" i="3"/>
  <c r="I1339" i="3"/>
  <c r="I1340" i="3"/>
  <c r="I1341" i="3"/>
  <c r="I1342" i="3"/>
  <c r="I1343" i="3"/>
  <c r="I1344" i="3"/>
  <c r="I1345" i="3"/>
  <c r="I1346" i="3"/>
  <c r="I1347" i="3"/>
  <c r="I1348" i="3"/>
  <c r="I1349" i="3"/>
  <c r="I1350" i="3"/>
  <c r="I1351" i="3"/>
  <c r="I1352" i="3"/>
  <c r="I1353" i="3"/>
  <c r="I1354" i="3"/>
  <c r="I1355" i="3"/>
  <c r="I1356" i="3"/>
  <c r="I1357" i="3"/>
  <c r="I1358" i="3"/>
  <c r="I1359" i="3"/>
  <c r="I1360" i="3"/>
  <c r="I1361" i="3"/>
  <c r="I1362" i="3"/>
  <c r="I1363" i="3"/>
  <c r="I1364" i="3"/>
  <c r="I1365" i="3"/>
  <c r="I1366" i="3"/>
  <c r="I1367" i="3"/>
  <c r="I1368" i="3"/>
  <c r="I1369" i="3"/>
  <c r="I1370" i="3"/>
  <c r="I1371" i="3"/>
  <c r="I1372" i="3"/>
  <c r="I1373" i="3"/>
  <c r="I1374" i="3"/>
  <c r="I1375" i="3"/>
  <c r="I1376" i="3"/>
  <c r="I1377" i="3"/>
  <c r="I1378" i="3"/>
  <c r="I1379" i="3"/>
  <c r="I1380" i="3"/>
  <c r="I1381" i="3"/>
  <c r="I1382" i="3"/>
  <c r="I1383" i="3"/>
  <c r="I1384" i="3"/>
  <c r="I1385" i="3"/>
  <c r="I1386" i="3"/>
  <c r="I1387" i="3"/>
  <c r="I1388" i="3"/>
  <c r="I1389" i="3"/>
  <c r="I1390" i="3"/>
  <c r="I1391" i="3"/>
  <c r="I1392" i="3"/>
  <c r="I1393" i="3"/>
  <c r="I1394" i="3"/>
  <c r="I1395" i="3"/>
  <c r="I1396" i="3"/>
  <c r="I1397" i="3"/>
  <c r="I1398" i="3"/>
  <c r="I1399" i="3"/>
  <c r="I1400" i="3"/>
  <c r="I1401" i="3"/>
  <c r="I1402" i="3"/>
  <c r="I1403" i="3"/>
  <c r="I1404" i="3"/>
  <c r="I1405" i="3"/>
  <c r="I1406" i="3"/>
  <c r="I1407" i="3"/>
  <c r="I1408" i="3"/>
  <c r="I1409" i="3"/>
  <c r="I1410" i="3"/>
  <c r="I1411" i="3"/>
  <c r="I1412" i="3"/>
  <c r="I1413" i="3"/>
  <c r="I1414" i="3"/>
  <c r="I1415" i="3"/>
  <c r="I1416" i="3"/>
  <c r="I1417" i="3"/>
  <c r="I1418" i="3"/>
  <c r="I1419" i="3"/>
  <c r="I1420" i="3"/>
  <c r="I1421" i="3"/>
  <c r="I1422" i="3"/>
  <c r="I1423" i="3"/>
  <c r="I1424" i="3"/>
  <c r="I1425" i="3"/>
  <c r="I1426" i="3"/>
  <c r="I1427" i="3"/>
  <c r="I1428" i="3"/>
  <c r="I1429" i="3"/>
  <c r="I1430" i="3"/>
  <c r="I1431" i="3"/>
  <c r="I1432" i="3"/>
  <c r="I1433" i="3"/>
  <c r="I1434" i="3"/>
  <c r="I1435" i="3"/>
  <c r="I1436" i="3"/>
  <c r="I1437" i="3"/>
  <c r="I1438" i="3"/>
  <c r="I1439" i="3"/>
  <c r="I1440" i="3"/>
  <c r="I1441" i="3"/>
  <c r="I1442" i="3"/>
  <c r="I1443" i="3"/>
  <c r="I1444" i="3"/>
  <c r="I1445" i="3"/>
  <c r="I1446" i="3"/>
  <c r="I1447" i="3"/>
  <c r="I1448" i="3"/>
  <c r="I1449" i="3"/>
  <c r="I1450" i="3"/>
  <c r="I1451" i="3"/>
  <c r="I1452" i="3"/>
  <c r="I1453" i="3"/>
  <c r="I1454" i="3"/>
  <c r="I1455" i="3"/>
  <c r="I1456" i="3"/>
  <c r="I1457" i="3"/>
  <c r="I1458" i="3"/>
  <c r="I1459" i="3"/>
  <c r="I1460" i="3"/>
  <c r="I1461" i="3"/>
  <c r="I1462" i="3"/>
  <c r="I1463" i="3"/>
  <c r="I1464" i="3"/>
  <c r="I1465" i="3"/>
  <c r="I1466" i="3"/>
  <c r="I1467" i="3"/>
  <c r="I1468" i="3"/>
  <c r="I1469" i="3"/>
  <c r="I1470" i="3"/>
  <c r="I1471" i="3"/>
  <c r="I1472" i="3"/>
  <c r="I1473" i="3"/>
  <c r="I1474" i="3"/>
  <c r="I1475" i="3"/>
  <c r="I1476" i="3"/>
  <c r="I1477" i="3"/>
  <c r="I1478" i="3"/>
  <c r="I1479" i="3"/>
  <c r="I1480" i="3"/>
  <c r="I1481" i="3"/>
  <c r="I1482" i="3"/>
  <c r="I1483" i="3"/>
  <c r="I1484" i="3"/>
  <c r="I1485" i="3"/>
  <c r="I1486" i="3"/>
  <c r="I1487" i="3"/>
  <c r="I1488" i="3"/>
  <c r="I1489" i="3"/>
  <c r="I1490" i="3"/>
  <c r="I1491" i="3"/>
  <c r="I1492" i="3"/>
  <c r="I1493" i="3"/>
  <c r="I1494" i="3"/>
  <c r="I1495" i="3"/>
  <c r="I1496" i="3"/>
  <c r="I1497" i="3"/>
  <c r="I1498" i="3"/>
  <c r="I1499" i="3"/>
  <c r="I1500" i="3"/>
  <c r="I1501" i="3"/>
  <c r="Q1501" i="3" l="1"/>
  <c r="R1501" i="3"/>
  <c r="Q1500" i="3"/>
  <c r="R1500" i="3"/>
  <c r="Q1499" i="3"/>
  <c r="R1499" i="3"/>
  <c r="Q1498" i="3"/>
  <c r="R1498" i="3"/>
  <c r="Q1497" i="3"/>
  <c r="R1497" i="3"/>
  <c r="Q1496" i="3"/>
  <c r="R1496" i="3"/>
  <c r="Q1495" i="3"/>
  <c r="R1495" i="3"/>
  <c r="Q1494" i="3"/>
  <c r="R1494" i="3"/>
  <c r="Q1493" i="3"/>
  <c r="R1493" i="3"/>
  <c r="Q1492" i="3"/>
  <c r="R1492" i="3"/>
  <c r="Q1491" i="3"/>
  <c r="R1491" i="3"/>
  <c r="Q1490" i="3"/>
  <c r="R1490" i="3"/>
  <c r="Q1489" i="3"/>
  <c r="R1489" i="3"/>
  <c r="Q1488" i="3"/>
  <c r="R1488" i="3"/>
  <c r="Q1487" i="3"/>
  <c r="R1487" i="3"/>
  <c r="Q1486" i="3"/>
  <c r="R1486" i="3"/>
  <c r="Q1485" i="3"/>
  <c r="R1485" i="3"/>
  <c r="Q1484" i="3"/>
  <c r="R1484" i="3"/>
  <c r="Q1483" i="3"/>
  <c r="R1483" i="3"/>
  <c r="Q1482" i="3"/>
  <c r="R1482" i="3"/>
  <c r="Q1481" i="3"/>
  <c r="R1481" i="3"/>
  <c r="Q1480" i="3"/>
  <c r="R1480" i="3"/>
  <c r="Q1479" i="3"/>
  <c r="R1479" i="3"/>
  <c r="Q1478" i="3"/>
  <c r="R1478" i="3"/>
  <c r="Q1477" i="3"/>
  <c r="R1477" i="3"/>
  <c r="Q1476" i="3"/>
  <c r="R1476" i="3"/>
  <c r="Q1475" i="3"/>
  <c r="R1475" i="3"/>
  <c r="Q1474" i="3"/>
  <c r="R1474" i="3"/>
  <c r="Q1473" i="3"/>
  <c r="R1473" i="3"/>
  <c r="Q1472" i="3"/>
  <c r="R1472" i="3"/>
  <c r="Q1471" i="3"/>
  <c r="R1471" i="3"/>
  <c r="Q1470" i="3"/>
  <c r="R1470" i="3"/>
  <c r="Q1469" i="3"/>
  <c r="R1469" i="3"/>
  <c r="Q1468" i="3"/>
  <c r="R1468" i="3"/>
  <c r="Q1467" i="3"/>
  <c r="R1467" i="3"/>
  <c r="Q1466" i="3"/>
  <c r="R1466" i="3"/>
  <c r="Q1465" i="3"/>
  <c r="R1465" i="3"/>
  <c r="Q1464" i="3"/>
  <c r="R1464" i="3"/>
  <c r="Q1463" i="3"/>
  <c r="R1463" i="3"/>
  <c r="Q1462" i="3"/>
  <c r="R1462" i="3"/>
  <c r="Q1461" i="3"/>
  <c r="R1461" i="3"/>
  <c r="Q1460" i="3"/>
  <c r="R1460" i="3"/>
  <c r="Q1459" i="3"/>
  <c r="R1459" i="3"/>
  <c r="Q1458" i="3"/>
  <c r="R1458" i="3"/>
  <c r="Q1457" i="3"/>
  <c r="R1457" i="3"/>
  <c r="Q1456" i="3"/>
  <c r="R1456" i="3"/>
  <c r="Q1455" i="3"/>
  <c r="R1455" i="3"/>
  <c r="Q1454" i="3"/>
  <c r="R1454" i="3"/>
  <c r="Q1453" i="3"/>
  <c r="R1453" i="3"/>
  <c r="Q1452" i="3"/>
  <c r="R1452" i="3"/>
  <c r="Q1451" i="3"/>
  <c r="R1451" i="3"/>
  <c r="Q1450" i="3"/>
  <c r="R1450" i="3"/>
  <c r="Q1449" i="3"/>
  <c r="R1449" i="3"/>
  <c r="Q1448" i="3"/>
  <c r="R1448" i="3"/>
  <c r="Q1447" i="3"/>
  <c r="R1447" i="3"/>
  <c r="Q1446" i="3"/>
  <c r="R1446" i="3"/>
  <c r="Q1445" i="3"/>
  <c r="R1445" i="3"/>
  <c r="Q1444" i="3"/>
  <c r="R1444" i="3"/>
  <c r="Q1443" i="3"/>
  <c r="R1443" i="3"/>
  <c r="Q1442" i="3"/>
  <c r="R1442" i="3"/>
  <c r="Q1441" i="3"/>
  <c r="R1441" i="3"/>
  <c r="Q1440" i="3"/>
  <c r="R1440" i="3"/>
  <c r="Q1439" i="3"/>
  <c r="R1439" i="3"/>
  <c r="Q1438" i="3"/>
  <c r="R1438" i="3"/>
  <c r="Q1437" i="3"/>
  <c r="R1437" i="3"/>
  <c r="Q1436" i="3"/>
  <c r="R1436" i="3"/>
  <c r="Q1435" i="3"/>
  <c r="R1435" i="3"/>
  <c r="Q1434" i="3"/>
  <c r="R1434" i="3"/>
  <c r="Q1433" i="3"/>
  <c r="R1433" i="3"/>
  <c r="Q1432" i="3"/>
  <c r="R1432" i="3"/>
  <c r="Q1431" i="3"/>
  <c r="R1431" i="3"/>
  <c r="Q1430" i="3"/>
  <c r="R1430" i="3"/>
  <c r="Q1429" i="3"/>
  <c r="R1429" i="3"/>
  <c r="Q1428" i="3"/>
  <c r="R1428" i="3"/>
  <c r="Q1427" i="3"/>
  <c r="R1427" i="3"/>
  <c r="Q1426" i="3"/>
  <c r="R1426" i="3"/>
  <c r="Q1425" i="3"/>
  <c r="R1425" i="3"/>
  <c r="Q1424" i="3"/>
  <c r="R1424" i="3"/>
  <c r="Q1423" i="3"/>
  <c r="R1423" i="3"/>
  <c r="Q1422" i="3"/>
  <c r="R1422" i="3"/>
  <c r="Q1421" i="3"/>
  <c r="R1421" i="3"/>
  <c r="Q1420" i="3"/>
  <c r="R1420" i="3"/>
  <c r="Q1419" i="3"/>
  <c r="R1419" i="3"/>
  <c r="Q1418" i="3"/>
  <c r="R1418" i="3"/>
  <c r="Q1417" i="3"/>
  <c r="R1417" i="3"/>
  <c r="Q1416" i="3"/>
  <c r="R1416" i="3"/>
  <c r="Q1415" i="3"/>
  <c r="R1415" i="3"/>
  <c r="Q1414" i="3"/>
  <c r="R1414" i="3"/>
  <c r="Q1413" i="3"/>
  <c r="R1413" i="3"/>
  <c r="Q1412" i="3"/>
  <c r="R1412" i="3"/>
  <c r="Q1411" i="3"/>
  <c r="R1411" i="3"/>
  <c r="Q1410" i="3"/>
  <c r="R1410" i="3"/>
  <c r="Q1409" i="3"/>
  <c r="R1409" i="3"/>
  <c r="Q1408" i="3"/>
  <c r="R1408" i="3"/>
  <c r="Q1407" i="3"/>
  <c r="R1407" i="3"/>
  <c r="Q1406" i="3"/>
  <c r="R1406" i="3"/>
  <c r="Q1405" i="3"/>
  <c r="R1405" i="3"/>
  <c r="Q1404" i="3"/>
  <c r="R1404" i="3"/>
  <c r="Q1403" i="3"/>
  <c r="R1403" i="3"/>
  <c r="Q1402" i="3"/>
  <c r="R1402" i="3"/>
  <c r="Q1401" i="3"/>
  <c r="R1401" i="3"/>
  <c r="Q1400" i="3"/>
  <c r="R1400" i="3"/>
  <c r="Q1399" i="3"/>
  <c r="R1399" i="3"/>
  <c r="Q1398" i="3"/>
  <c r="R1398" i="3"/>
  <c r="Q1397" i="3"/>
  <c r="R1397" i="3"/>
  <c r="Q1396" i="3"/>
  <c r="R1396" i="3"/>
  <c r="Q1395" i="3"/>
  <c r="R1395" i="3"/>
  <c r="Q1394" i="3"/>
  <c r="R1394" i="3"/>
  <c r="Q1393" i="3"/>
  <c r="R1393" i="3"/>
  <c r="Q1392" i="3"/>
  <c r="R1392" i="3"/>
  <c r="Q1391" i="3"/>
  <c r="R1391" i="3"/>
  <c r="Q1390" i="3"/>
  <c r="R1390" i="3"/>
  <c r="Q1389" i="3"/>
  <c r="R1389" i="3"/>
  <c r="Q1388" i="3"/>
  <c r="R1388" i="3"/>
  <c r="Q1387" i="3"/>
  <c r="R1387" i="3"/>
  <c r="Q1386" i="3"/>
  <c r="R1386" i="3"/>
  <c r="Q1385" i="3"/>
  <c r="R1385" i="3"/>
  <c r="Q1384" i="3"/>
  <c r="R1384" i="3"/>
  <c r="Q1383" i="3"/>
  <c r="R1383" i="3"/>
  <c r="Q1382" i="3"/>
  <c r="R1382" i="3"/>
  <c r="Q1381" i="3"/>
  <c r="R1381" i="3"/>
  <c r="Q1380" i="3"/>
  <c r="R1380" i="3"/>
  <c r="Q1379" i="3"/>
  <c r="R1379" i="3"/>
  <c r="Q1378" i="3"/>
  <c r="R1378" i="3"/>
  <c r="Q1377" i="3"/>
  <c r="R1377" i="3"/>
  <c r="Q1376" i="3"/>
  <c r="R1376" i="3"/>
  <c r="Q1375" i="3"/>
  <c r="R1375" i="3"/>
  <c r="Q1374" i="3"/>
  <c r="R1374" i="3"/>
  <c r="Q1373" i="3"/>
  <c r="R1373" i="3"/>
  <c r="Q1372" i="3"/>
  <c r="R1372" i="3"/>
  <c r="Q1371" i="3"/>
  <c r="R1371" i="3"/>
  <c r="Q1370" i="3"/>
  <c r="R1370" i="3"/>
  <c r="Q1369" i="3"/>
  <c r="R1369" i="3"/>
  <c r="Q1368" i="3"/>
  <c r="R1368" i="3"/>
  <c r="Q1367" i="3"/>
  <c r="R1367" i="3"/>
  <c r="Q1366" i="3"/>
  <c r="R1366" i="3"/>
  <c r="Q1365" i="3"/>
  <c r="R1365" i="3"/>
  <c r="Q1364" i="3"/>
  <c r="R1364" i="3"/>
  <c r="Q1363" i="3"/>
  <c r="R1363" i="3"/>
  <c r="Q1362" i="3"/>
  <c r="R1362" i="3"/>
  <c r="Q1361" i="3"/>
  <c r="R1361" i="3"/>
  <c r="Q1360" i="3"/>
  <c r="R1360" i="3"/>
  <c r="Q1359" i="3"/>
  <c r="R1359" i="3"/>
  <c r="Q1358" i="3"/>
  <c r="R1358" i="3"/>
  <c r="Q1357" i="3"/>
  <c r="R1357" i="3"/>
  <c r="Q1356" i="3"/>
  <c r="R1356" i="3"/>
  <c r="Q1355" i="3"/>
  <c r="R1355" i="3"/>
  <c r="Q1354" i="3"/>
  <c r="R1354" i="3"/>
  <c r="Q1353" i="3"/>
  <c r="R1353" i="3"/>
  <c r="Q1352" i="3"/>
  <c r="R1352" i="3"/>
  <c r="Q1351" i="3"/>
  <c r="R1351" i="3"/>
  <c r="Q1350" i="3"/>
  <c r="R1350" i="3"/>
  <c r="Q1349" i="3"/>
  <c r="R1349" i="3"/>
  <c r="Q1348" i="3"/>
  <c r="R1348" i="3"/>
  <c r="Q1347" i="3"/>
  <c r="R1347" i="3"/>
  <c r="Q1346" i="3"/>
  <c r="R1346" i="3"/>
  <c r="Q1345" i="3"/>
  <c r="R1345" i="3"/>
  <c r="Q1344" i="3"/>
  <c r="R1344" i="3"/>
  <c r="Q1343" i="3"/>
  <c r="R1343" i="3"/>
  <c r="Q1342" i="3"/>
  <c r="R1342" i="3"/>
  <c r="Q1341" i="3"/>
  <c r="R1341" i="3"/>
  <c r="Q1340" i="3"/>
  <c r="R1340" i="3"/>
  <c r="Q1339" i="3"/>
  <c r="R1339" i="3"/>
  <c r="Q1338" i="3"/>
  <c r="R1338" i="3"/>
  <c r="Q1337" i="3"/>
  <c r="R1337" i="3"/>
  <c r="Q1336" i="3"/>
  <c r="R1336" i="3"/>
  <c r="Q1335" i="3"/>
  <c r="R1335" i="3"/>
  <c r="Q1334" i="3"/>
  <c r="R1334" i="3"/>
  <c r="Q1333" i="3"/>
  <c r="R1333" i="3"/>
  <c r="Q1332" i="3"/>
  <c r="R1332" i="3"/>
  <c r="Q1331" i="3"/>
  <c r="R1331" i="3"/>
  <c r="Q1330" i="3"/>
  <c r="R1330" i="3"/>
  <c r="Q1329" i="3"/>
  <c r="R1329" i="3"/>
  <c r="Q1328" i="3"/>
  <c r="R1328" i="3"/>
  <c r="Q1327" i="3"/>
  <c r="R1327" i="3"/>
  <c r="Q1326" i="3"/>
  <c r="R1326" i="3"/>
  <c r="Q1325" i="3"/>
  <c r="R1325" i="3"/>
  <c r="Q1324" i="3"/>
  <c r="R1324" i="3"/>
  <c r="Q1323" i="3"/>
  <c r="R1323" i="3"/>
  <c r="Q1322" i="3"/>
  <c r="R1322" i="3"/>
  <c r="Q1321" i="3"/>
  <c r="R1321" i="3"/>
  <c r="Q1320" i="3"/>
  <c r="R1320" i="3"/>
  <c r="Q1319" i="3"/>
  <c r="R1319" i="3"/>
  <c r="Q1318" i="3"/>
  <c r="R1318" i="3"/>
  <c r="Q1317" i="3"/>
  <c r="R1317" i="3"/>
  <c r="Q1316" i="3"/>
  <c r="R1316" i="3"/>
  <c r="Q1315" i="3"/>
  <c r="R1315" i="3"/>
  <c r="Q1314" i="3"/>
  <c r="R1314" i="3"/>
  <c r="Q1313" i="3"/>
  <c r="R1313" i="3"/>
  <c r="Q1312" i="3"/>
  <c r="R1312" i="3"/>
  <c r="Q1311" i="3"/>
  <c r="R1311" i="3"/>
  <c r="Q1310" i="3"/>
  <c r="R1310" i="3"/>
  <c r="Q1309" i="3"/>
  <c r="R1309" i="3"/>
  <c r="Q1308" i="3"/>
  <c r="R1308" i="3"/>
  <c r="Q1307" i="3"/>
  <c r="R1307" i="3"/>
  <c r="Q1306" i="3"/>
  <c r="R1306" i="3"/>
  <c r="Q1305" i="3"/>
  <c r="R1305" i="3"/>
  <c r="Q1304" i="3"/>
  <c r="R1304" i="3"/>
  <c r="Q1303" i="3"/>
  <c r="R1303" i="3"/>
  <c r="Q1302" i="3"/>
  <c r="R1302" i="3"/>
  <c r="Q1301" i="3"/>
  <c r="R1301" i="3"/>
  <c r="Q1300" i="3"/>
  <c r="R1300" i="3"/>
  <c r="Q1299" i="3"/>
  <c r="R1299" i="3"/>
  <c r="Q1298" i="3"/>
  <c r="R1298" i="3"/>
  <c r="Q1297" i="3"/>
  <c r="R1297" i="3"/>
  <c r="Q1296" i="3"/>
  <c r="R1296" i="3"/>
  <c r="Q1295" i="3"/>
  <c r="R1295" i="3"/>
  <c r="Q1294" i="3"/>
  <c r="R1294" i="3"/>
  <c r="Q1293" i="3"/>
  <c r="R1293" i="3"/>
  <c r="Q1292" i="3"/>
  <c r="R1292" i="3"/>
  <c r="Q1291" i="3"/>
  <c r="R1291" i="3"/>
  <c r="Q1290" i="3"/>
  <c r="R1290" i="3"/>
  <c r="Q1289" i="3"/>
  <c r="R1289" i="3"/>
  <c r="Q1288" i="3"/>
  <c r="R1288" i="3"/>
  <c r="Q1287" i="3"/>
  <c r="R1287" i="3"/>
  <c r="Q1286" i="3"/>
  <c r="R1286" i="3"/>
  <c r="Q1285" i="3"/>
  <c r="R1285" i="3"/>
  <c r="Q1284" i="3"/>
  <c r="R1284" i="3"/>
  <c r="Q1283" i="3"/>
  <c r="R1283" i="3"/>
  <c r="Q1282" i="3"/>
  <c r="R1282" i="3"/>
  <c r="Q1281" i="3"/>
  <c r="R1281" i="3"/>
  <c r="Q1280" i="3"/>
  <c r="R1280" i="3"/>
  <c r="Q1279" i="3"/>
  <c r="R1279" i="3"/>
  <c r="Q1278" i="3"/>
  <c r="R1278" i="3"/>
  <c r="Q1277" i="3"/>
  <c r="R1277" i="3"/>
  <c r="Q1276" i="3"/>
  <c r="R1276" i="3"/>
  <c r="Q1275" i="3"/>
  <c r="R1275" i="3"/>
  <c r="Q1274" i="3"/>
  <c r="R1274" i="3"/>
  <c r="Q1273" i="3"/>
  <c r="R1273" i="3"/>
  <c r="Q1272" i="3"/>
  <c r="R1272" i="3"/>
  <c r="Q1271" i="3"/>
  <c r="R1271" i="3"/>
  <c r="Q1270" i="3"/>
  <c r="R1270" i="3"/>
  <c r="Q1269" i="3"/>
  <c r="R1269" i="3"/>
  <c r="Q1268" i="3"/>
  <c r="R1268" i="3"/>
  <c r="Q1267" i="3"/>
  <c r="R1267" i="3"/>
  <c r="Q1266" i="3"/>
  <c r="R1266" i="3"/>
  <c r="Q1265" i="3"/>
  <c r="R1265" i="3"/>
  <c r="Q1264" i="3"/>
  <c r="R1264" i="3"/>
  <c r="Q1263" i="3"/>
  <c r="R1263" i="3"/>
  <c r="Q1262" i="3"/>
  <c r="R1262" i="3"/>
  <c r="Q1261" i="3"/>
  <c r="R1261" i="3"/>
  <c r="Q1260" i="3"/>
  <c r="R1260" i="3"/>
  <c r="Q1259" i="3"/>
  <c r="R1259" i="3"/>
  <c r="Q1258" i="3"/>
  <c r="R1258" i="3"/>
  <c r="Q1257" i="3"/>
  <c r="R1257" i="3"/>
  <c r="Q1256" i="3"/>
  <c r="R1256" i="3"/>
  <c r="Q1255" i="3"/>
  <c r="R1255" i="3"/>
  <c r="Q1254" i="3"/>
  <c r="R1254" i="3"/>
  <c r="Q1253" i="3"/>
  <c r="R1253" i="3"/>
  <c r="Q1252" i="3"/>
  <c r="R1252" i="3"/>
  <c r="Q1251" i="3"/>
  <c r="R1251" i="3"/>
  <c r="Q1250" i="3"/>
  <c r="R1250" i="3"/>
  <c r="Q1249" i="3"/>
  <c r="R1249" i="3"/>
  <c r="Q1248" i="3"/>
  <c r="R1248" i="3"/>
  <c r="Q1247" i="3"/>
  <c r="R1247" i="3"/>
  <c r="Q1246" i="3"/>
  <c r="R1246" i="3"/>
  <c r="Q1245" i="3"/>
  <c r="R1245" i="3"/>
  <c r="Q1244" i="3"/>
  <c r="R1244" i="3"/>
  <c r="Q1243" i="3"/>
  <c r="R1243" i="3"/>
  <c r="Q1242" i="3"/>
  <c r="R1242" i="3"/>
  <c r="Q1241" i="3"/>
  <c r="R1241" i="3"/>
  <c r="Q1240" i="3"/>
  <c r="R1240" i="3"/>
  <c r="Q1239" i="3"/>
  <c r="R1239" i="3"/>
  <c r="Q1238" i="3"/>
  <c r="R1238" i="3"/>
  <c r="Q1237" i="3"/>
  <c r="R1237" i="3"/>
  <c r="Q1236" i="3"/>
  <c r="R1236" i="3"/>
  <c r="Q1235" i="3"/>
  <c r="R1235" i="3"/>
  <c r="Q1234" i="3"/>
  <c r="R1234" i="3"/>
  <c r="Q1233" i="3"/>
  <c r="R1233" i="3"/>
  <c r="Q1232" i="3"/>
  <c r="R1232" i="3"/>
  <c r="Q1231" i="3"/>
  <c r="R1231" i="3"/>
  <c r="Q1230" i="3"/>
  <c r="R1230" i="3"/>
  <c r="Q1229" i="3"/>
  <c r="R1229" i="3"/>
  <c r="Q1228" i="3"/>
  <c r="R1228" i="3"/>
  <c r="Q1227" i="3"/>
  <c r="R1227" i="3"/>
  <c r="Q1226" i="3"/>
  <c r="R1226" i="3"/>
  <c r="Q1225" i="3"/>
  <c r="R1225" i="3"/>
  <c r="Q1224" i="3"/>
  <c r="R1224" i="3"/>
  <c r="Q1223" i="3"/>
  <c r="R1223" i="3"/>
  <c r="Q1222" i="3"/>
  <c r="R1222" i="3"/>
  <c r="Q1221" i="3"/>
  <c r="R1221" i="3"/>
  <c r="Q1220" i="3"/>
  <c r="R1220" i="3"/>
  <c r="Q1219" i="3"/>
  <c r="R1219" i="3"/>
  <c r="Q1218" i="3"/>
  <c r="R1218" i="3"/>
  <c r="Q1217" i="3"/>
  <c r="R1217" i="3"/>
  <c r="Q1216" i="3"/>
  <c r="R1216" i="3"/>
  <c r="Q1215" i="3"/>
  <c r="R1215" i="3"/>
  <c r="Q1214" i="3"/>
  <c r="R1214" i="3"/>
  <c r="Q1213" i="3"/>
  <c r="R1213" i="3"/>
  <c r="Q1212" i="3"/>
  <c r="R1212" i="3"/>
  <c r="Q1211" i="3"/>
  <c r="R1211" i="3"/>
  <c r="Q1210" i="3"/>
  <c r="R1210" i="3"/>
  <c r="Q1209" i="3"/>
  <c r="R1209" i="3"/>
  <c r="Q1208" i="3"/>
  <c r="R1208" i="3"/>
  <c r="Q1207" i="3"/>
  <c r="R1207" i="3"/>
  <c r="Q1206" i="3"/>
  <c r="R1206" i="3"/>
  <c r="Q1205" i="3"/>
  <c r="R1205" i="3"/>
  <c r="Q1204" i="3"/>
  <c r="R1204" i="3"/>
  <c r="Q1203" i="3"/>
  <c r="R1203" i="3"/>
  <c r="Q1202" i="3"/>
  <c r="R1202" i="3"/>
  <c r="Q1201" i="3"/>
  <c r="R1201" i="3"/>
  <c r="Q1200" i="3"/>
  <c r="R1200" i="3"/>
  <c r="Q1199" i="3"/>
  <c r="R1199" i="3"/>
  <c r="Q1198" i="3"/>
  <c r="R1198" i="3"/>
  <c r="Q1197" i="3"/>
  <c r="R1197" i="3"/>
  <c r="Q1196" i="3"/>
  <c r="R1196" i="3"/>
  <c r="Q1195" i="3"/>
  <c r="R1195" i="3"/>
  <c r="Q1194" i="3"/>
  <c r="R1194" i="3"/>
  <c r="Q1193" i="3"/>
  <c r="R1193" i="3"/>
  <c r="Q1192" i="3"/>
  <c r="R1192" i="3"/>
  <c r="Q1191" i="3"/>
  <c r="R1191" i="3"/>
  <c r="Q1190" i="3"/>
  <c r="R1190" i="3"/>
  <c r="Q1189" i="3"/>
  <c r="R1189" i="3"/>
  <c r="Q1188" i="3"/>
  <c r="R1188" i="3"/>
  <c r="Q1187" i="3"/>
  <c r="R1187" i="3"/>
  <c r="Q1186" i="3"/>
  <c r="R1186" i="3"/>
  <c r="Q1185" i="3"/>
  <c r="R1185" i="3"/>
  <c r="Q1184" i="3"/>
  <c r="R1184" i="3"/>
  <c r="Q1183" i="3"/>
  <c r="R1183" i="3"/>
  <c r="Q1182" i="3"/>
  <c r="R1182" i="3"/>
  <c r="Q1181" i="3"/>
  <c r="R1181" i="3"/>
  <c r="Q1180" i="3"/>
  <c r="R1180" i="3"/>
  <c r="Q1179" i="3"/>
  <c r="R1179" i="3"/>
  <c r="Q1178" i="3"/>
  <c r="R1178" i="3"/>
  <c r="Q1177" i="3"/>
  <c r="R1177" i="3"/>
  <c r="Q1176" i="3"/>
  <c r="R1176" i="3"/>
  <c r="Q1175" i="3"/>
  <c r="R1175" i="3"/>
  <c r="Q1174" i="3"/>
  <c r="R1174" i="3"/>
  <c r="Q1173" i="3"/>
  <c r="R1173" i="3"/>
  <c r="Q1172" i="3"/>
  <c r="R1172" i="3"/>
  <c r="Q1171" i="3"/>
  <c r="R1171" i="3"/>
  <c r="Q1170" i="3"/>
  <c r="R1170" i="3"/>
  <c r="Q1169" i="3"/>
  <c r="R1169" i="3"/>
  <c r="Q1168" i="3"/>
  <c r="R1168" i="3"/>
  <c r="Q1167" i="3"/>
  <c r="R1167" i="3"/>
  <c r="Q1166" i="3"/>
  <c r="R1166" i="3"/>
  <c r="Q1165" i="3"/>
  <c r="R1165" i="3"/>
  <c r="Q1164" i="3"/>
  <c r="R1164" i="3"/>
  <c r="Q1163" i="3"/>
  <c r="R1163" i="3"/>
  <c r="Q1162" i="3"/>
  <c r="R1162" i="3"/>
  <c r="Q1161" i="3"/>
  <c r="R1161" i="3"/>
  <c r="Q1160" i="3"/>
  <c r="R1160" i="3"/>
  <c r="Q1159" i="3"/>
  <c r="R1159" i="3"/>
  <c r="Q1158" i="3"/>
  <c r="R1158" i="3"/>
  <c r="Q1157" i="3"/>
  <c r="R1157" i="3"/>
  <c r="Q1156" i="3"/>
  <c r="R1156" i="3"/>
  <c r="Q1155" i="3"/>
  <c r="R1155" i="3"/>
  <c r="Q1154" i="3"/>
  <c r="R1154" i="3"/>
  <c r="Q1153" i="3"/>
  <c r="R1153" i="3"/>
  <c r="Q1152" i="3"/>
  <c r="R1152" i="3"/>
  <c r="Q1151" i="3"/>
  <c r="R1151" i="3"/>
  <c r="Q1150" i="3"/>
  <c r="R1150" i="3"/>
  <c r="Q1149" i="3"/>
  <c r="R1149" i="3"/>
  <c r="Q1148" i="3"/>
  <c r="R1148" i="3"/>
  <c r="Q1147" i="3"/>
  <c r="R1147" i="3"/>
  <c r="Q1146" i="3"/>
  <c r="R1146" i="3"/>
  <c r="Q1145" i="3"/>
  <c r="R1145" i="3"/>
  <c r="Q1144" i="3"/>
  <c r="R1144" i="3"/>
  <c r="Q1143" i="3"/>
  <c r="R1143" i="3"/>
  <c r="Q1142" i="3"/>
  <c r="R1142" i="3"/>
  <c r="Q1141" i="3"/>
  <c r="R1141" i="3"/>
  <c r="Q1140" i="3"/>
  <c r="R1140" i="3"/>
  <c r="Q1139" i="3"/>
  <c r="R1139" i="3"/>
  <c r="Q1138" i="3"/>
  <c r="R1138" i="3"/>
  <c r="Q1137" i="3"/>
  <c r="R1137" i="3"/>
  <c r="Q1136" i="3"/>
  <c r="R1136" i="3"/>
  <c r="Q1135" i="3"/>
  <c r="R1135" i="3"/>
  <c r="Q1134" i="3"/>
  <c r="R1134" i="3"/>
  <c r="Q1133" i="3"/>
  <c r="R1133" i="3"/>
  <c r="Q1132" i="3"/>
  <c r="R1132" i="3"/>
  <c r="Q1131" i="3"/>
  <c r="R1131" i="3"/>
  <c r="Q1130" i="3"/>
  <c r="R1130" i="3"/>
  <c r="Q1129" i="3"/>
  <c r="R1129" i="3"/>
  <c r="Q1128" i="3"/>
  <c r="R1128" i="3"/>
  <c r="Q1127" i="3"/>
  <c r="R1127" i="3"/>
  <c r="Q1126" i="3"/>
  <c r="R1126" i="3"/>
  <c r="Q1125" i="3"/>
  <c r="R1125" i="3"/>
  <c r="Q1124" i="3"/>
  <c r="R1124" i="3"/>
  <c r="Q1123" i="3"/>
  <c r="R1123" i="3"/>
  <c r="Q1122" i="3"/>
  <c r="R1122" i="3"/>
  <c r="Q1121" i="3"/>
  <c r="R1121" i="3"/>
  <c r="Q1120" i="3"/>
  <c r="R1120" i="3"/>
  <c r="Q1119" i="3"/>
  <c r="R1119" i="3"/>
  <c r="Q1118" i="3"/>
  <c r="R1118" i="3"/>
  <c r="Q1117" i="3"/>
  <c r="R1117" i="3"/>
  <c r="Q1116" i="3"/>
  <c r="R1116" i="3"/>
  <c r="Q1115" i="3"/>
  <c r="R1115" i="3"/>
  <c r="Q1114" i="3"/>
  <c r="R1114" i="3"/>
  <c r="Q1113" i="3"/>
  <c r="R1113" i="3"/>
  <c r="Q1112" i="3"/>
  <c r="R1112" i="3"/>
  <c r="Q1111" i="3"/>
  <c r="R1111" i="3"/>
  <c r="Q1110" i="3"/>
  <c r="R1110" i="3"/>
  <c r="Q1109" i="3"/>
  <c r="R1109" i="3"/>
  <c r="Q1108" i="3"/>
  <c r="R1108" i="3"/>
  <c r="Q1107" i="3"/>
  <c r="R1107" i="3"/>
  <c r="Q1106" i="3"/>
  <c r="R1106" i="3"/>
  <c r="Q1105" i="3"/>
  <c r="R1105" i="3"/>
  <c r="Q1104" i="3"/>
  <c r="R1104" i="3"/>
  <c r="Q1103" i="3"/>
  <c r="R1103" i="3"/>
  <c r="Q1102" i="3"/>
  <c r="R1102" i="3"/>
  <c r="Q1101" i="3"/>
  <c r="R1101" i="3"/>
  <c r="Q1100" i="3"/>
  <c r="R1100" i="3"/>
  <c r="Q1099" i="3"/>
  <c r="R1099" i="3"/>
  <c r="Q1098" i="3"/>
  <c r="R1098" i="3"/>
  <c r="Q1097" i="3"/>
  <c r="R1097" i="3"/>
  <c r="Q1096" i="3"/>
  <c r="R1096" i="3"/>
  <c r="Q1095" i="3"/>
  <c r="R1095" i="3"/>
  <c r="Q1094" i="3"/>
  <c r="R1094" i="3"/>
  <c r="Q1093" i="3"/>
  <c r="R1093" i="3"/>
  <c r="Q1092" i="3"/>
  <c r="R1092" i="3"/>
  <c r="Q1091" i="3"/>
  <c r="R1091" i="3"/>
  <c r="Q1090" i="3"/>
  <c r="R1090" i="3"/>
  <c r="Q1089" i="3"/>
  <c r="R1089" i="3"/>
  <c r="Q1088" i="3"/>
  <c r="R1088" i="3"/>
  <c r="Q1087" i="3"/>
  <c r="R1087" i="3"/>
  <c r="Q1086" i="3"/>
  <c r="R1086" i="3"/>
  <c r="Q1085" i="3"/>
  <c r="R1085" i="3"/>
  <c r="Q1084" i="3"/>
  <c r="R1084" i="3"/>
  <c r="Q1083" i="3"/>
  <c r="R1083" i="3"/>
  <c r="Q1082" i="3"/>
  <c r="R1082" i="3"/>
  <c r="Q1081" i="3"/>
  <c r="R1081" i="3"/>
  <c r="Q1080" i="3"/>
  <c r="R1080" i="3"/>
  <c r="Q1079" i="3"/>
  <c r="R1079" i="3"/>
  <c r="Q1078" i="3"/>
  <c r="R1078" i="3"/>
  <c r="Q1077" i="3"/>
  <c r="R1077" i="3"/>
  <c r="Q1076" i="3"/>
  <c r="R1076" i="3"/>
  <c r="Q1075" i="3"/>
  <c r="R1075" i="3"/>
  <c r="Q1074" i="3"/>
  <c r="R1074" i="3"/>
  <c r="Q1073" i="3"/>
  <c r="R1073" i="3"/>
  <c r="Q1072" i="3"/>
  <c r="R1072" i="3"/>
  <c r="Q1071" i="3"/>
  <c r="R1071" i="3"/>
  <c r="Q1070" i="3"/>
  <c r="R1070" i="3"/>
  <c r="Q1069" i="3"/>
  <c r="R1069" i="3"/>
  <c r="Q1068" i="3"/>
  <c r="R1068" i="3"/>
  <c r="Q1067" i="3"/>
  <c r="R1067" i="3"/>
  <c r="Q1066" i="3"/>
  <c r="R1066" i="3"/>
  <c r="Q1065" i="3"/>
  <c r="R1065" i="3"/>
  <c r="Q1064" i="3"/>
  <c r="R1064" i="3"/>
  <c r="Q1063" i="3"/>
  <c r="R1063" i="3"/>
  <c r="Q1062" i="3"/>
  <c r="R1062" i="3"/>
  <c r="Q1061" i="3"/>
  <c r="R1061" i="3"/>
  <c r="Q1060" i="3"/>
  <c r="R1060" i="3"/>
  <c r="Q1059" i="3"/>
  <c r="R1059" i="3"/>
  <c r="Q1058" i="3"/>
  <c r="R1058" i="3"/>
  <c r="Q1057" i="3"/>
  <c r="R1057" i="3"/>
  <c r="Q1056" i="3"/>
  <c r="R1056" i="3"/>
  <c r="Q1055" i="3"/>
  <c r="R1055" i="3"/>
  <c r="Q1054" i="3"/>
  <c r="R1054" i="3"/>
  <c r="Q1053" i="3"/>
  <c r="R1053" i="3"/>
  <c r="Q1052" i="3"/>
  <c r="R1052" i="3"/>
  <c r="Q1051" i="3"/>
  <c r="R1051" i="3"/>
  <c r="Q1050" i="3"/>
  <c r="R1050" i="3"/>
  <c r="Q1049" i="3"/>
  <c r="R1049" i="3"/>
  <c r="Q1048" i="3"/>
  <c r="R1048" i="3"/>
  <c r="Q1047" i="3"/>
  <c r="R1047" i="3"/>
  <c r="Q1046" i="3"/>
  <c r="R1046" i="3"/>
  <c r="Q1045" i="3"/>
  <c r="R1045" i="3"/>
  <c r="Q1044" i="3"/>
  <c r="R1044" i="3"/>
  <c r="Q1043" i="3"/>
  <c r="R1043" i="3"/>
  <c r="Q1042" i="3"/>
  <c r="R1042" i="3"/>
  <c r="Q1041" i="3"/>
  <c r="R1041" i="3"/>
  <c r="Q1040" i="3"/>
  <c r="R1040" i="3"/>
  <c r="Q1039" i="3"/>
  <c r="R1039" i="3"/>
  <c r="Q1038" i="3"/>
  <c r="R1038" i="3"/>
  <c r="Q1037" i="3"/>
  <c r="R1037" i="3"/>
  <c r="Q1036" i="3"/>
  <c r="R1036" i="3"/>
  <c r="Q1035" i="3"/>
  <c r="R1035" i="3"/>
  <c r="Q1034" i="3"/>
  <c r="R1034" i="3"/>
  <c r="Q1033" i="3"/>
  <c r="R1033" i="3"/>
  <c r="Q1032" i="3"/>
  <c r="R1032" i="3"/>
  <c r="Q1031" i="3"/>
  <c r="R1031" i="3"/>
  <c r="Q1030" i="3"/>
  <c r="R1030" i="3"/>
  <c r="Q1029" i="3"/>
  <c r="R1029" i="3"/>
  <c r="Q1028" i="3"/>
  <c r="R1028" i="3"/>
  <c r="Q1027" i="3"/>
  <c r="R1027" i="3"/>
  <c r="Q1026" i="3"/>
  <c r="R1026" i="3"/>
  <c r="Q1025" i="3"/>
  <c r="R1025" i="3"/>
  <c r="Q1024" i="3"/>
  <c r="R1024" i="3"/>
  <c r="Q1023" i="3"/>
  <c r="R1023" i="3"/>
  <c r="Q1022" i="3"/>
  <c r="R1022" i="3"/>
  <c r="Q1021" i="3"/>
  <c r="R1021" i="3"/>
  <c r="Q1020" i="3"/>
  <c r="R1020" i="3"/>
  <c r="Q1019" i="3"/>
  <c r="R1019" i="3"/>
  <c r="Q1018" i="3"/>
  <c r="R1018" i="3"/>
  <c r="Q1017" i="3"/>
  <c r="R1017" i="3"/>
  <c r="Q1016" i="3"/>
  <c r="R1016" i="3"/>
  <c r="Q1015" i="3"/>
  <c r="R1015" i="3"/>
  <c r="Q1014" i="3"/>
  <c r="R1014" i="3"/>
  <c r="Q1013" i="3"/>
  <c r="R1013" i="3"/>
  <c r="Q1012" i="3"/>
  <c r="R1012" i="3"/>
  <c r="Q1011" i="3"/>
  <c r="R1011" i="3"/>
  <c r="Q1010" i="3"/>
  <c r="R1010" i="3"/>
  <c r="Q1009" i="3"/>
  <c r="R1009" i="3"/>
  <c r="Q1008" i="3"/>
  <c r="R1008" i="3"/>
  <c r="Q1007" i="3"/>
  <c r="R1007" i="3"/>
  <c r="Q1006" i="3"/>
  <c r="R1006" i="3"/>
  <c r="Q1005" i="3"/>
  <c r="R1005" i="3"/>
  <c r="Q1004" i="3"/>
  <c r="R1004" i="3"/>
  <c r="Q1003" i="3"/>
  <c r="R1003" i="3"/>
  <c r="Q1002" i="3"/>
  <c r="R1002" i="3"/>
  <c r="Q1001" i="3"/>
  <c r="R1001" i="3"/>
  <c r="Q1000" i="3"/>
  <c r="R1000" i="3"/>
  <c r="Q999" i="3"/>
  <c r="R999" i="3"/>
  <c r="Q998" i="3"/>
  <c r="R998" i="3"/>
  <c r="Q997" i="3"/>
  <c r="R997" i="3"/>
  <c r="Q996" i="3"/>
  <c r="R996" i="3"/>
  <c r="Q995" i="3"/>
  <c r="R995" i="3"/>
  <c r="Q994" i="3"/>
  <c r="R994" i="3"/>
  <c r="Q993" i="3"/>
  <c r="R993" i="3"/>
  <c r="Q992" i="3"/>
  <c r="R992" i="3"/>
  <c r="Q991" i="3"/>
  <c r="R991" i="3"/>
  <c r="Q990" i="3"/>
  <c r="R990" i="3"/>
  <c r="Q989" i="3"/>
  <c r="R989" i="3"/>
  <c r="Q988" i="3"/>
  <c r="R988" i="3"/>
  <c r="Q987" i="3"/>
  <c r="R987" i="3"/>
  <c r="Q986" i="3"/>
  <c r="R986" i="3"/>
  <c r="Q985" i="3"/>
  <c r="R985" i="3"/>
  <c r="Q984" i="3"/>
  <c r="R984" i="3"/>
  <c r="Q983" i="3"/>
  <c r="R983" i="3"/>
  <c r="Q982" i="3"/>
  <c r="R982" i="3"/>
  <c r="Q981" i="3"/>
  <c r="R981" i="3"/>
  <c r="Q980" i="3"/>
  <c r="R980" i="3"/>
  <c r="Q979" i="3"/>
  <c r="R979" i="3"/>
  <c r="Q978" i="3"/>
  <c r="R978" i="3"/>
  <c r="Q977" i="3"/>
  <c r="R977" i="3"/>
  <c r="Q976" i="3"/>
  <c r="R976" i="3"/>
  <c r="Q975" i="3"/>
  <c r="R975" i="3"/>
  <c r="Q974" i="3"/>
  <c r="R974" i="3"/>
  <c r="Q973" i="3"/>
  <c r="R973" i="3"/>
  <c r="Q972" i="3"/>
  <c r="R972" i="3"/>
  <c r="Q971" i="3"/>
  <c r="R971" i="3"/>
  <c r="Q970" i="3"/>
  <c r="R970" i="3"/>
  <c r="Q969" i="3"/>
  <c r="R969" i="3"/>
  <c r="Q968" i="3"/>
  <c r="R968" i="3"/>
  <c r="Q967" i="3"/>
  <c r="R967" i="3"/>
  <c r="Q966" i="3"/>
  <c r="R966" i="3"/>
  <c r="Q965" i="3"/>
  <c r="R965" i="3"/>
  <c r="Q964" i="3"/>
  <c r="R964" i="3"/>
  <c r="Q963" i="3"/>
  <c r="R963" i="3"/>
  <c r="Q962" i="3"/>
  <c r="R962" i="3"/>
  <c r="Q961" i="3"/>
  <c r="R961" i="3"/>
  <c r="Q960" i="3"/>
  <c r="R960" i="3"/>
  <c r="Q959" i="3"/>
  <c r="R959" i="3"/>
  <c r="Q958" i="3"/>
  <c r="R958" i="3"/>
  <c r="Q957" i="3"/>
  <c r="R957" i="3"/>
  <c r="Q956" i="3"/>
  <c r="R956" i="3"/>
  <c r="Q955" i="3"/>
  <c r="R955" i="3"/>
  <c r="Q954" i="3"/>
  <c r="R954" i="3"/>
  <c r="Q953" i="3"/>
  <c r="R953" i="3"/>
  <c r="Q952" i="3"/>
  <c r="R952" i="3"/>
  <c r="Q951" i="3"/>
  <c r="R951" i="3"/>
  <c r="Q950" i="3"/>
  <c r="R950" i="3"/>
  <c r="Q949" i="3"/>
  <c r="R949" i="3"/>
  <c r="Q948" i="3"/>
  <c r="R948" i="3"/>
  <c r="Q947" i="3"/>
  <c r="R947" i="3"/>
  <c r="Q946" i="3"/>
  <c r="R946" i="3"/>
  <c r="Q945" i="3"/>
  <c r="R945" i="3"/>
  <c r="Q944" i="3"/>
  <c r="R944" i="3"/>
  <c r="Q943" i="3"/>
  <c r="R943" i="3"/>
  <c r="Q942" i="3"/>
  <c r="R942" i="3"/>
  <c r="Q941" i="3"/>
  <c r="R941" i="3"/>
  <c r="Q940" i="3"/>
  <c r="R940" i="3"/>
  <c r="Q939" i="3"/>
  <c r="R939" i="3"/>
  <c r="Q938" i="3"/>
  <c r="R938" i="3"/>
  <c r="Q937" i="3"/>
  <c r="R937" i="3"/>
  <c r="Q936" i="3"/>
  <c r="R936" i="3"/>
  <c r="Q935" i="3"/>
  <c r="R935" i="3"/>
  <c r="Q934" i="3"/>
  <c r="R934" i="3"/>
  <c r="Q933" i="3"/>
  <c r="R933" i="3"/>
  <c r="Q932" i="3"/>
  <c r="R932" i="3"/>
  <c r="Q931" i="3"/>
  <c r="R931" i="3"/>
  <c r="Q930" i="3"/>
  <c r="R930" i="3"/>
  <c r="Q929" i="3"/>
  <c r="R929" i="3"/>
  <c r="Q928" i="3"/>
  <c r="R928" i="3"/>
  <c r="Q927" i="3"/>
  <c r="R927" i="3"/>
  <c r="Q926" i="3"/>
  <c r="R926" i="3"/>
  <c r="Q925" i="3"/>
  <c r="R925" i="3"/>
  <c r="Q924" i="3"/>
  <c r="R924" i="3"/>
  <c r="Q923" i="3"/>
  <c r="R923" i="3"/>
  <c r="Q922" i="3"/>
  <c r="R922" i="3"/>
  <c r="Q921" i="3"/>
  <c r="R921" i="3"/>
  <c r="Q920" i="3"/>
  <c r="R920" i="3"/>
  <c r="Q919" i="3"/>
  <c r="R919" i="3"/>
  <c r="Q918" i="3"/>
  <c r="R918" i="3"/>
  <c r="Q917" i="3"/>
  <c r="R917" i="3"/>
  <c r="Q916" i="3"/>
  <c r="R916" i="3"/>
  <c r="Q915" i="3"/>
  <c r="R915" i="3"/>
  <c r="Q914" i="3"/>
  <c r="R914" i="3"/>
  <c r="Q913" i="3"/>
  <c r="R913" i="3"/>
  <c r="Q912" i="3"/>
  <c r="R912" i="3"/>
  <c r="Q911" i="3"/>
  <c r="R911" i="3"/>
  <c r="Q910" i="3"/>
  <c r="R910" i="3"/>
  <c r="Q909" i="3"/>
  <c r="R909" i="3"/>
  <c r="Q908" i="3"/>
  <c r="R908" i="3"/>
  <c r="Q907" i="3"/>
  <c r="R907" i="3"/>
  <c r="Q906" i="3"/>
  <c r="R906" i="3"/>
  <c r="Q905" i="3"/>
  <c r="R905" i="3"/>
  <c r="Q904" i="3"/>
  <c r="R904" i="3"/>
  <c r="Q903" i="3"/>
  <c r="R903" i="3"/>
  <c r="Q902" i="3"/>
  <c r="R902" i="3"/>
  <c r="Q901" i="3"/>
  <c r="R901" i="3"/>
  <c r="Q900" i="3"/>
  <c r="R900" i="3"/>
  <c r="Q899" i="3"/>
  <c r="R899" i="3"/>
  <c r="Q898" i="3"/>
  <c r="R898" i="3"/>
  <c r="Q897" i="3"/>
  <c r="R897" i="3"/>
  <c r="Q896" i="3"/>
  <c r="R896" i="3"/>
  <c r="Q895" i="3"/>
  <c r="R895" i="3"/>
  <c r="Q894" i="3"/>
  <c r="R894" i="3"/>
  <c r="Q893" i="3"/>
  <c r="R893" i="3"/>
  <c r="Q892" i="3"/>
  <c r="R892" i="3"/>
  <c r="Q891" i="3"/>
  <c r="R891" i="3"/>
  <c r="Q890" i="3"/>
  <c r="R890" i="3"/>
  <c r="Q889" i="3"/>
  <c r="R889" i="3"/>
  <c r="Q888" i="3"/>
  <c r="R888" i="3"/>
  <c r="Q887" i="3"/>
  <c r="R887" i="3"/>
  <c r="Q886" i="3"/>
  <c r="R886" i="3"/>
  <c r="Q885" i="3"/>
  <c r="R885" i="3"/>
  <c r="Q884" i="3"/>
  <c r="R884" i="3"/>
  <c r="Q883" i="3"/>
  <c r="R883" i="3"/>
  <c r="Q882" i="3"/>
  <c r="R882" i="3"/>
  <c r="Q881" i="3"/>
  <c r="R881" i="3"/>
  <c r="Q880" i="3"/>
  <c r="R880" i="3"/>
  <c r="Q879" i="3"/>
  <c r="R879" i="3"/>
  <c r="Q878" i="3"/>
  <c r="R878" i="3"/>
  <c r="Q877" i="3"/>
  <c r="R877" i="3"/>
  <c r="Q876" i="3"/>
  <c r="R876" i="3"/>
  <c r="Q875" i="3"/>
  <c r="R875" i="3"/>
  <c r="Q874" i="3"/>
  <c r="R874" i="3"/>
  <c r="Q873" i="3"/>
  <c r="R873" i="3"/>
  <c r="Q872" i="3"/>
  <c r="R872" i="3"/>
  <c r="Q871" i="3"/>
  <c r="R871" i="3"/>
  <c r="Q870" i="3"/>
  <c r="R870" i="3"/>
  <c r="Q869" i="3"/>
  <c r="R869" i="3"/>
  <c r="Q868" i="3"/>
  <c r="R868" i="3"/>
  <c r="Q867" i="3"/>
  <c r="R867" i="3"/>
  <c r="Q866" i="3"/>
  <c r="R866" i="3"/>
  <c r="Q865" i="3"/>
  <c r="R865" i="3"/>
  <c r="Q864" i="3"/>
  <c r="R864" i="3"/>
  <c r="Q863" i="3"/>
  <c r="R863" i="3"/>
  <c r="Q862" i="3"/>
  <c r="R862" i="3"/>
  <c r="Q861" i="3"/>
  <c r="R861" i="3"/>
  <c r="Q860" i="3"/>
  <c r="R860" i="3"/>
  <c r="Q859" i="3"/>
  <c r="R859" i="3"/>
  <c r="Q858" i="3"/>
  <c r="R858" i="3"/>
  <c r="Q857" i="3"/>
  <c r="R857" i="3"/>
  <c r="Q856" i="3"/>
  <c r="R856" i="3"/>
  <c r="Q855" i="3"/>
  <c r="R855" i="3"/>
  <c r="Q854" i="3"/>
  <c r="R854" i="3"/>
  <c r="Q853" i="3"/>
  <c r="R853" i="3"/>
  <c r="Q852" i="3"/>
  <c r="R852" i="3"/>
  <c r="Q851" i="3"/>
  <c r="R851" i="3"/>
  <c r="Q850" i="3"/>
  <c r="R850" i="3"/>
  <c r="Q849" i="3"/>
  <c r="R849" i="3"/>
  <c r="Q848" i="3"/>
  <c r="R848" i="3"/>
  <c r="Q847" i="3"/>
  <c r="R847" i="3"/>
  <c r="Q846" i="3"/>
  <c r="R846" i="3"/>
  <c r="Q845" i="3"/>
  <c r="R845" i="3"/>
  <c r="Q844" i="3"/>
  <c r="R844" i="3"/>
  <c r="Q843" i="3"/>
  <c r="R843" i="3"/>
  <c r="Q842" i="3"/>
  <c r="R842" i="3"/>
  <c r="Q841" i="3"/>
  <c r="R841" i="3"/>
  <c r="Q840" i="3"/>
  <c r="R840" i="3"/>
  <c r="Q839" i="3"/>
  <c r="R839" i="3"/>
  <c r="Q838" i="3"/>
  <c r="R838" i="3"/>
  <c r="Q837" i="3"/>
  <c r="R837" i="3"/>
  <c r="Q836" i="3"/>
  <c r="R836" i="3"/>
  <c r="Q835" i="3"/>
  <c r="R835" i="3"/>
  <c r="Q834" i="3"/>
  <c r="R834" i="3"/>
  <c r="Q833" i="3"/>
  <c r="R833" i="3"/>
  <c r="Q832" i="3"/>
  <c r="R832" i="3"/>
  <c r="Q831" i="3"/>
  <c r="R831" i="3"/>
  <c r="Q830" i="3"/>
  <c r="R830" i="3"/>
  <c r="Q829" i="3"/>
  <c r="R829" i="3"/>
  <c r="Q828" i="3"/>
  <c r="R828" i="3"/>
  <c r="Q827" i="3"/>
  <c r="R827" i="3"/>
  <c r="Q826" i="3"/>
  <c r="R826" i="3"/>
  <c r="Q825" i="3"/>
  <c r="R825" i="3"/>
  <c r="Q824" i="3"/>
  <c r="R824" i="3"/>
  <c r="Q823" i="3"/>
  <c r="R823" i="3"/>
  <c r="Q822" i="3"/>
  <c r="R822" i="3"/>
  <c r="Q821" i="3"/>
  <c r="R821" i="3"/>
  <c r="Q820" i="3"/>
  <c r="R820" i="3"/>
  <c r="Q819" i="3"/>
  <c r="R819" i="3"/>
  <c r="Q818" i="3"/>
  <c r="R818" i="3"/>
  <c r="Q817" i="3"/>
  <c r="R817" i="3"/>
  <c r="Q816" i="3"/>
  <c r="R816" i="3"/>
  <c r="Q815" i="3"/>
  <c r="R815" i="3"/>
  <c r="Q814" i="3"/>
  <c r="R814" i="3"/>
  <c r="Q813" i="3"/>
  <c r="R813" i="3"/>
  <c r="Q812" i="3"/>
  <c r="R812" i="3"/>
  <c r="Q811" i="3"/>
  <c r="R811" i="3"/>
  <c r="Q810" i="3"/>
  <c r="R810" i="3"/>
  <c r="Q809" i="3"/>
  <c r="R809" i="3"/>
  <c r="Q808" i="3"/>
  <c r="R808" i="3"/>
  <c r="Q807" i="3"/>
  <c r="R807" i="3"/>
  <c r="Q806" i="3"/>
  <c r="R806" i="3"/>
  <c r="Q805" i="3"/>
  <c r="R805" i="3"/>
  <c r="Q804" i="3"/>
  <c r="R804" i="3"/>
  <c r="Q803" i="3"/>
  <c r="R803" i="3"/>
  <c r="Q802" i="3"/>
  <c r="R802" i="3"/>
  <c r="Q801" i="3"/>
  <c r="R801" i="3"/>
  <c r="Q800" i="3"/>
  <c r="R800" i="3"/>
  <c r="Q799" i="3"/>
  <c r="R799" i="3"/>
  <c r="Q798" i="3"/>
  <c r="R798" i="3"/>
  <c r="Q797" i="3"/>
  <c r="R797" i="3"/>
  <c r="Q796" i="3"/>
  <c r="R796" i="3"/>
  <c r="Q795" i="3"/>
  <c r="R795" i="3"/>
  <c r="Q794" i="3"/>
  <c r="R794" i="3"/>
  <c r="Q793" i="3"/>
  <c r="R793" i="3"/>
  <c r="Q792" i="3"/>
  <c r="R792" i="3"/>
  <c r="Q791" i="3"/>
  <c r="R791" i="3"/>
  <c r="Q790" i="3"/>
  <c r="R790" i="3"/>
  <c r="Q789" i="3"/>
  <c r="R789" i="3"/>
  <c r="Q788" i="3"/>
  <c r="R788" i="3"/>
  <c r="Q787" i="3"/>
  <c r="R787" i="3"/>
  <c r="Q786" i="3"/>
  <c r="R786" i="3"/>
  <c r="Q785" i="3"/>
  <c r="R785" i="3"/>
  <c r="Q784" i="3"/>
  <c r="R784" i="3"/>
  <c r="Q783" i="3"/>
  <c r="R783" i="3"/>
  <c r="Q782" i="3"/>
  <c r="R782" i="3"/>
  <c r="Q781" i="3"/>
  <c r="R781" i="3"/>
  <c r="Q780" i="3"/>
  <c r="R780" i="3"/>
  <c r="Q779" i="3"/>
  <c r="R779" i="3"/>
  <c r="Q778" i="3"/>
  <c r="R778" i="3"/>
  <c r="Q777" i="3"/>
  <c r="R777" i="3"/>
  <c r="Q776" i="3"/>
  <c r="R776" i="3"/>
  <c r="Q775" i="3"/>
  <c r="R775" i="3"/>
  <c r="Q774" i="3"/>
  <c r="R774" i="3"/>
  <c r="Q773" i="3"/>
  <c r="R773" i="3"/>
  <c r="Q772" i="3"/>
  <c r="R772" i="3"/>
  <c r="Q771" i="3"/>
  <c r="R771" i="3"/>
  <c r="Q770" i="3"/>
  <c r="R770" i="3"/>
  <c r="Q769" i="3"/>
  <c r="R769" i="3"/>
  <c r="Q768" i="3"/>
  <c r="R768" i="3"/>
  <c r="Q767" i="3"/>
  <c r="R767" i="3"/>
  <c r="Q766" i="3"/>
  <c r="R766" i="3"/>
  <c r="Q765" i="3"/>
  <c r="R765" i="3"/>
  <c r="Q764" i="3"/>
  <c r="R764" i="3"/>
  <c r="Q763" i="3"/>
  <c r="R763" i="3"/>
  <c r="Q762" i="3"/>
  <c r="R762" i="3"/>
  <c r="Q761" i="3"/>
  <c r="R761" i="3"/>
  <c r="Q760" i="3"/>
  <c r="R760" i="3"/>
  <c r="Q759" i="3"/>
  <c r="R759" i="3"/>
  <c r="Q758" i="3"/>
  <c r="R758" i="3"/>
  <c r="Q757" i="3"/>
  <c r="R757" i="3"/>
  <c r="Q756" i="3"/>
  <c r="R756" i="3"/>
  <c r="Q755" i="3"/>
  <c r="R755" i="3"/>
  <c r="Q754" i="3"/>
  <c r="R754" i="3"/>
  <c r="Q753" i="3"/>
  <c r="R753" i="3"/>
  <c r="Q752" i="3"/>
  <c r="R752" i="3"/>
  <c r="Q751" i="3"/>
  <c r="R751" i="3"/>
  <c r="Q750" i="3"/>
  <c r="R750" i="3"/>
  <c r="Q749" i="3"/>
  <c r="R749" i="3"/>
  <c r="Q748" i="3"/>
  <c r="R748" i="3"/>
  <c r="Q747" i="3"/>
  <c r="R747" i="3"/>
  <c r="Q746" i="3"/>
  <c r="R746" i="3"/>
  <c r="Q745" i="3"/>
  <c r="R745" i="3"/>
  <c r="Q744" i="3"/>
  <c r="R744" i="3"/>
  <c r="Q743" i="3"/>
  <c r="R743" i="3"/>
  <c r="Q742" i="3"/>
  <c r="R742" i="3"/>
  <c r="Q741" i="3"/>
  <c r="R741" i="3"/>
  <c r="Q740" i="3"/>
  <c r="R740" i="3"/>
  <c r="Q739" i="3"/>
  <c r="R739" i="3"/>
  <c r="Q738" i="3"/>
  <c r="R738" i="3"/>
  <c r="Q737" i="3"/>
  <c r="R737" i="3"/>
  <c r="Q736" i="3"/>
  <c r="R736" i="3"/>
  <c r="Q735" i="3"/>
  <c r="R735" i="3"/>
  <c r="Q734" i="3"/>
  <c r="R734" i="3"/>
  <c r="Q733" i="3"/>
  <c r="R733" i="3"/>
  <c r="Q732" i="3"/>
  <c r="R732" i="3"/>
  <c r="Q731" i="3"/>
  <c r="R731" i="3"/>
  <c r="Q730" i="3"/>
  <c r="R730" i="3"/>
  <c r="Q729" i="3"/>
  <c r="R729" i="3"/>
  <c r="Q728" i="3"/>
  <c r="R728" i="3"/>
  <c r="Q727" i="3"/>
  <c r="R727" i="3"/>
  <c r="Q726" i="3"/>
  <c r="R726" i="3"/>
  <c r="Q725" i="3"/>
  <c r="R725" i="3"/>
  <c r="Q724" i="3"/>
  <c r="R724" i="3"/>
  <c r="Q723" i="3"/>
  <c r="R723" i="3"/>
  <c r="Q722" i="3"/>
  <c r="R722" i="3"/>
  <c r="Q721" i="3"/>
  <c r="R721" i="3"/>
  <c r="Q720" i="3"/>
  <c r="R720" i="3"/>
  <c r="Q719" i="3"/>
  <c r="R719" i="3"/>
  <c r="Q718" i="3"/>
  <c r="R718" i="3"/>
  <c r="Q717" i="3"/>
  <c r="R717" i="3"/>
  <c r="Q716" i="3"/>
  <c r="R716" i="3"/>
  <c r="Q715" i="3"/>
  <c r="R715" i="3"/>
  <c r="Q714" i="3"/>
  <c r="R714" i="3"/>
  <c r="Q713" i="3"/>
  <c r="R713" i="3"/>
  <c r="Q712" i="3"/>
  <c r="R712" i="3"/>
  <c r="Q711" i="3"/>
  <c r="R711" i="3"/>
  <c r="Q710" i="3"/>
  <c r="R710" i="3"/>
  <c r="Q709" i="3"/>
  <c r="R709" i="3"/>
  <c r="Q708" i="3"/>
  <c r="R708" i="3"/>
  <c r="Q707" i="3"/>
  <c r="R707" i="3"/>
  <c r="Q706" i="3"/>
  <c r="R706" i="3"/>
  <c r="Q705" i="3"/>
  <c r="R705" i="3"/>
  <c r="Q704" i="3"/>
  <c r="R704" i="3"/>
  <c r="Q703" i="3"/>
  <c r="R703" i="3"/>
  <c r="Q702" i="3"/>
  <c r="R702" i="3"/>
  <c r="Q701" i="3"/>
  <c r="R701" i="3"/>
  <c r="Q700" i="3"/>
  <c r="R700" i="3"/>
  <c r="Q699" i="3"/>
  <c r="R699" i="3"/>
  <c r="Q698" i="3"/>
  <c r="R698" i="3"/>
  <c r="Q697" i="3"/>
  <c r="R697" i="3"/>
  <c r="Q696" i="3"/>
  <c r="R696" i="3"/>
  <c r="Q695" i="3"/>
  <c r="R695" i="3"/>
  <c r="Q694" i="3"/>
  <c r="R694" i="3"/>
  <c r="Q693" i="3"/>
  <c r="R693" i="3"/>
  <c r="Q692" i="3"/>
  <c r="R692" i="3"/>
  <c r="Q691" i="3"/>
  <c r="R691" i="3"/>
  <c r="Q690" i="3"/>
  <c r="R690" i="3"/>
  <c r="Q689" i="3"/>
  <c r="R689" i="3"/>
  <c r="Q688" i="3"/>
  <c r="R688" i="3"/>
  <c r="Q687" i="3"/>
  <c r="R687" i="3"/>
  <c r="Q686" i="3"/>
  <c r="R686" i="3"/>
  <c r="Q685" i="3"/>
  <c r="R685" i="3"/>
  <c r="Q684" i="3"/>
  <c r="R684" i="3"/>
  <c r="Q683" i="3"/>
  <c r="R683" i="3"/>
  <c r="Q682" i="3"/>
  <c r="R682" i="3"/>
  <c r="Q681" i="3"/>
  <c r="R681" i="3"/>
  <c r="Q680" i="3"/>
  <c r="R680" i="3"/>
  <c r="Q679" i="3"/>
  <c r="R679" i="3"/>
  <c r="Q678" i="3"/>
  <c r="R678" i="3"/>
  <c r="Q677" i="3"/>
  <c r="R677" i="3"/>
  <c r="Q676" i="3"/>
  <c r="R676" i="3"/>
  <c r="Q675" i="3"/>
  <c r="R675" i="3"/>
  <c r="Q674" i="3"/>
  <c r="R674" i="3"/>
  <c r="Q673" i="3"/>
  <c r="R673" i="3"/>
  <c r="Q672" i="3"/>
  <c r="R672" i="3"/>
  <c r="Q671" i="3"/>
  <c r="R671" i="3"/>
  <c r="Q670" i="3"/>
  <c r="R670" i="3"/>
  <c r="Q669" i="3"/>
  <c r="R669" i="3"/>
  <c r="Q668" i="3"/>
  <c r="R668" i="3"/>
  <c r="Q667" i="3"/>
  <c r="R667" i="3"/>
  <c r="Q666" i="3"/>
  <c r="R666" i="3"/>
  <c r="Q665" i="3"/>
  <c r="R665" i="3"/>
  <c r="Q664" i="3"/>
  <c r="R664" i="3"/>
  <c r="Q663" i="3"/>
  <c r="R663" i="3"/>
  <c r="Q662" i="3"/>
  <c r="R662" i="3"/>
  <c r="Q661" i="3"/>
  <c r="R661" i="3"/>
  <c r="Q660" i="3"/>
  <c r="R660" i="3"/>
  <c r="Q659" i="3"/>
  <c r="R659" i="3"/>
  <c r="Q658" i="3"/>
  <c r="R658" i="3"/>
  <c r="Q657" i="3"/>
  <c r="R657" i="3"/>
  <c r="Q656" i="3"/>
  <c r="R656" i="3"/>
  <c r="Q655" i="3"/>
  <c r="R655" i="3"/>
  <c r="Q654" i="3"/>
  <c r="R654" i="3"/>
  <c r="Q653" i="3"/>
  <c r="R653" i="3"/>
  <c r="Q652" i="3"/>
  <c r="R652" i="3"/>
  <c r="Q651" i="3"/>
  <c r="R651" i="3"/>
  <c r="Q650" i="3"/>
  <c r="R650" i="3"/>
  <c r="Q649" i="3"/>
  <c r="R649" i="3"/>
  <c r="Q648" i="3"/>
  <c r="R648" i="3"/>
  <c r="Q647" i="3"/>
  <c r="R647" i="3"/>
  <c r="Q646" i="3"/>
  <c r="R646" i="3"/>
  <c r="Q645" i="3"/>
  <c r="R645" i="3"/>
  <c r="Q644" i="3"/>
  <c r="R644" i="3"/>
  <c r="Q643" i="3"/>
  <c r="R643" i="3"/>
  <c r="Q642" i="3"/>
  <c r="R642" i="3"/>
  <c r="Q641" i="3"/>
  <c r="R641" i="3"/>
  <c r="Q640" i="3"/>
  <c r="R640" i="3"/>
  <c r="Q639" i="3"/>
  <c r="R639" i="3"/>
  <c r="Q638" i="3"/>
  <c r="R638" i="3"/>
  <c r="Q637" i="3"/>
  <c r="R637" i="3"/>
  <c r="Q636" i="3"/>
  <c r="R636" i="3"/>
  <c r="Q635" i="3"/>
  <c r="R635" i="3"/>
  <c r="Q634" i="3"/>
  <c r="R634" i="3"/>
  <c r="Q633" i="3"/>
  <c r="R633" i="3"/>
  <c r="Q632" i="3"/>
  <c r="R632" i="3"/>
  <c r="Q631" i="3"/>
  <c r="R631" i="3"/>
  <c r="Q630" i="3"/>
  <c r="R630" i="3"/>
  <c r="Q629" i="3"/>
  <c r="R629" i="3"/>
  <c r="Q628" i="3"/>
  <c r="R628" i="3"/>
  <c r="Q627" i="3"/>
  <c r="R627" i="3"/>
  <c r="Q626" i="3"/>
  <c r="R626" i="3"/>
  <c r="Q625" i="3"/>
  <c r="R625" i="3"/>
  <c r="Q624" i="3"/>
  <c r="R624" i="3"/>
  <c r="Q623" i="3"/>
  <c r="R623" i="3"/>
  <c r="Q622" i="3"/>
  <c r="R622" i="3"/>
  <c r="Q621" i="3"/>
  <c r="R621" i="3"/>
  <c r="Q620" i="3"/>
  <c r="R620" i="3"/>
  <c r="Q619" i="3"/>
  <c r="R619" i="3"/>
  <c r="Q618" i="3"/>
  <c r="R618" i="3"/>
  <c r="Q617" i="3"/>
  <c r="R617" i="3"/>
  <c r="Q616" i="3"/>
  <c r="R616" i="3"/>
  <c r="Q615" i="3"/>
  <c r="R615" i="3"/>
  <c r="Q614" i="3"/>
  <c r="R614" i="3"/>
  <c r="Q613" i="3"/>
  <c r="R613" i="3"/>
  <c r="Q612" i="3"/>
  <c r="R612" i="3"/>
  <c r="Q611" i="3"/>
  <c r="R611" i="3"/>
  <c r="Q610" i="3"/>
  <c r="R610" i="3"/>
  <c r="Q609" i="3"/>
  <c r="R609" i="3"/>
  <c r="Q608" i="3"/>
  <c r="R608" i="3"/>
  <c r="Q607" i="3"/>
  <c r="R607" i="3"/>
  <c r="Q606" i="3"/>
  <c r="R606" i="3"/>
  <c r="Q605" i="3"/>
  <c r="R605" i="3"/>
  <c r="Q604" i="3"/>
  <c r="R604" i="3"/>
  <c r="Q603" i="3"/>
  <c r="R603" i="3"/>
  <c r="Q602" i="3"/>
  <c r="R602" i="3"/>
  <c r="Q601" i="3"/>
  <c r="R601" i="3"/>
  <c r="Q600" i="3"/>
  <c r="R600" i="3"/>
  <c r="Q599" i="3"/>
  <c r="R599" i="3"/>
  <c r="Q598" i="3"/>
  <c r="R598" i="3"/>
  <c r="Q597" i="3"/>
  <c r="R597" i="3"/>
  <c r="Q596" i="3"/>
  <c r="R596" i="3"/>
  <c r="Q595" i="3"/>
  <c r="R595" i="3"/>
  <c r="Q594" i="3"/>
  <c r="R594" i="3"/>
  <c r="Q593" i="3"/>
  <c r="R593" i="3"/>
  <c r="Q592" i="3"/>
  <c r="R592" i="3"/>
  <c r="Q591" i="3"/>
  <c r="R591" i="3"/>
  <c r="Q590" i="3"/>
  <c r="R590" i="3"/>
  <c r="Q589" i="3"/>
  <c r="R589" i="3"/>
  <c r="Q588" i="3"/>
  <c r="R588" i="3"/>
  <c r="Q587" i="3"/>
  <c r="R587" i="3"/>
  <c r="Q586" i="3"/>
  <c r="R586" i="3"/>
  <c r="Q585" i="3"/>
  <c r="R585" i="3"/>
  <c r="Q584" i="3"/>
  <c r="R584" i="3"/>
  <c r="Q583" i="3"/>
  <c r="R583" i="3"/>
  <c r="Q582" i="3"/>
  <c r="R582" i="3"/>
  <c r="Q581" i="3"/>
  <c r="R581" i="3"/>
  <c r="Q580" i="3"/>
  <c r="R580" i="3"/>
  <c r="Q579" i="3"/>
  <c r="R579" i="3"/>
  <c r="Q578" i="3"/>
  <c r="R578" i="3"/>
  <c r="Q577" i="3"/>
  <c r="R577" i="3"/>
  <c r="Q576" i="3"/>
  <c r="R576" i="3"/>
  <c r="Q575" i="3"/>
  <c r="R575" i="3"/>
  <c r="Q574" i="3"/>
  <c r="R574" i="3"/>
  <c r="Q573" i="3"/>
  <c r="R573" i="3"/>
  <c r="Q572" i="3"/>
  <c r="R572" i="3"/>
  <c r="Q571" i="3"/>
  <c r="R571" i="3"/>
  <c r="Q570" i="3"/>
  <c r="R570" i="3"/>
  <c r="Q569" i="3"/>
  <c r="R569" i="3"/>
  <c r="Q568" i="3"/>
  <c r="R568" i="3"/>
  <c r="Q567" i="3"/>
  <c r="R567" i="3"/>
  <c r="Q566" i="3"/>
  <c r="R566" i="3"/>
  <c r="Q565" i="3"/>
  <c r="R565" i="3"/>
  <c r="Q564" i="3"/>
  <c r="R564" i="3"/>
  <c r="Q563" i="3"/>
  <c r="R563" i="3"/>
  <c r="Q562" i="3"/>
  <c r="R562" i="3"/>
  <c r="Q561" i="3"/>
  <c r="R561" i="3"/>
  <c r="Q560" i="3"/>
  <c r="R560" i="3"/>
  <c r="Q559" i="3"/>
  <c r="R559" i="3"/>
  <c r="Q558" i="3"/>
  <c r="R558" i="3"/>
  <c r="Q557" i="3"/>
  <c r="R557" i="3"/>
  <c r="Q556" i="3"/>
  <c r="R556" i="3"/>
  <c r="Q555" i="3"/>
  <c r="R555" i="3"/>
  <c r="Q554" i="3"/>
  <c r="R554" i="3"/>
  <c r="Q553" i="3"/>
  <c r="R553" i="3"/>
  <c r="Q552" i="3"/>
  <c r="R552" i="3"/>
  <c r="Q551" i="3"/>
  <c r="R551" i="3"/>
  <c r="Q550" i="3"/>
  <c r="R550" i="3"/>
  <c r="Q549" i="3"/>
  <c r="R549" i="3"/>
  <c r="Q548" i="3"/>
  <c r="R548" i="3"/>
  <c r="Q547" i="3"/>
  <c r="R547" i="3"/>
  <c r="Q546" i="3"/>
  <c r="R546" i="3"/>
  <c r="Q545" i="3"/>
  <c r="R545" i="3"/>
  <c r="Q544" i="3"/>
  <c r="R544" i="3"/>
  <c r="Q543" i="3"/>
  <c r="R543" i="3"/>
  <c r="Q542" i="3"/>
  <c r="R542" i="3"/>
  <c r="Q541" i="3"/>
  <c r="R541" i="3"/>
  <c r="Q540" i="3"/>
  <c r="R540" i="3"/>
  <c r="Q539" i="3"/>
  <c r="R539" i="3"/>
  <c r="Q538" i="3"/>
  <c r="R538" i="3"/>
  <c r="Q537" i="3"/>
  <c r="R537" i="3"/>
  <c r="Q536" i="3"/>
  <c r="R536" i="3"/>
  <c r="Q535" i="3"/>
  <c r="R535" i="3"/>
  <c r="Q534" i="3"/>
  <c r="R534" i="3"/>
  <c r="Q533" i="3"/>
  <c r="R533" i="3"/>
  <c r="Q532" i="3"/>
  <c r="R532" i="3"/>
  <c r="Q531" i="3"/>
  <c r="R531" i="3"/>
  <c r="Q530" i="3"/>
  <c r="R530" i="3"/>
  <c r="Q529" i="3"/>
  <c r="R529" i="3"/>
  <c r="Q528" i="3"/>
  <c r="R528" i="3"/>
  <c r="Q527" i="3"/>
  <c r="R527" i="3"/>
  <c r="Q526" i="3"/>
  <c r="R526" i="3"/>
  <c r="Q525" i="3"/>
  <c r="R525" i="3"/>
  <c r="Q524" i="3"/>
  <c r="R524" i="3"/>
  <c r="Q523" i="3"/>
  <c r="R523" i="3"/>
  <c r="Q522" i="3"/>
  <c r="R522" i="3"/>
  <c r="Q521" i="3"/>
  <c r="R521" i="3"/>
  <c r="Q520" i="3"/>
  <c r="R520" i="3"/>
  <c r="Q519" i="3"/>
  <c r="R519" i="3"/>
  <c r="Q518" i="3"/>
  <c r="R518" i="3"/>
  <c r="Q517" i="3"/>
  <c r="R517" i="3"/>
  <c r="Q516" i="3"/>
  <c r="R516" i="3"/>
  <c r="Q515" i="3"/>
  <c r="R515" i="3"/>
  <c r="Q514" i="3"/>
  <c r="R514" i="3"/>
  <c r="Q513" i="3"/>
  <c r="R513" i="3"/>
  <c r="Q512" i="3"/>
  <c r="R512" i="3"/>
  <c r="Q511" i="3"/>
  <c r="R511" i="3"/>
  <c r="Q510" i="3"/>
  <c r="R510" i="3"/>
  <c r="Q509" i="3"/>
  <c r="R509" i="3"/>
  <c r="Q508" i="3"/>
  <c r="R508" i="3"/>
  <c r="Q507" i="3"/>
  <c r="R507" i="3"/>
  <c r="Q506" i="3"/>
  <c r="R506" i="3"/>
  <c r="Q505" i="3"/>
  <c r="R505" i="3"/>
  <c r="Q504" i="3"/>
  <c r="R504" i="3"/>
  <c r="Q503" i="3"/>
  <c r="R503" i="3"/>
  <c r="Q502" i="3"/>
  <c r="R502" i="3"/>
  <c r="Q501" i="3"/>
  <c r="R501" i="3"/>
  <c r="Q500" i="3"/>
  <c r="R500" i="3"/>
  <c r="Q499" i="3"/>
  <c r="R499" i="3"/>
  <c r="Q498" i="3"/>
  <c r="R498" i="3"/>
  <c r="Q497" i="3"/>
  <c r="R497" i="3"/>
  <c r="Q496" i="3"/>
  <c r="R496" i="3"/>
  <c r="Q495" i="3"/>
  <c r="R495" i="3"/>
  <c r="Q494" i="3"/>
  <c r="R494" i="3"/>
  <c r="Q493" i="3"/>
  <c r="R493" i="3"/>
  <c r="Q492" i="3"/>
  <c r="R492" i="3"/>
  <c r="Q491" i="3"/>
  <c r="R491" i="3"/>
  <c r="Q490" i="3"/>
  <c r="R490" i="3"/>
  <c r="Q489" i="3"/>
  <c r="R489" i="3"/>
  <c r="Q488" i="3"/>
  <c r="R488" i="3"/>
  <c r="Q487" i="3"/>
  <c r="R487" i="3"/>
  <c r="Q486" i="3"/>
  <c r="R486" i="3"/>
  <c r="Q485" i="3"/>
  <c r="R485" i="3"/>
  <c r="Q484" i="3"/>
  <c r="R484" i="3"/>
  <c r="Q483" i="3"/>
  <c r="R483" i="3"/>
  <c r="Q482" i="3"/>
  <c r="R482" i="3"/>
  <c r="Q481" i="3"/>
  <c r="R481" i="3"/>
  <c r="Q480" i="3"/>
  <c r="R480" i="3"/>
  <c r="Q479" i="3"/>
  <c r="R479" i="3"/>
  <c r="Q478" i="3"/>
  <c r="R478" i="3"/>
  <c r="Q477" i="3"/>
  <c r="R477" i="3"/>
  <c r="Q476" i="3"/>
  <c r="R476" i="3"/>
  <c r="Q475" i="3"/>
  <c r="R475" i="3"/>
  <c r="Q474" i="3"/>
  <c r="R474" i="3"/>
  <c r="Q473" i="3"/>
  <c r="R473" i="3"/>
  <c r="Q472" i="3"/>
  <c r="R472" i="3"/>
  <c r="Q471" i="3"/>
  <c r="R471" i="3"/>
  <c r="Q470" i="3"/>
  <c r="R470" i="3"/>
  <c r="Q469" i="3"/>
  <c r="R469" i="3"/>
  <c r="Q468" i="3"/>
  <c r="R468" i="3"/>
  <c r="Q467" i="3"/>
  <c r="R467" i="3"/>
  <c r="Q466" i="3"/>
  <c r="R466" i="3"/>
  <c r="Q465" i="3"/>
  <c r="R465" i="3"/>
  <c r="Q464" i="3"/>
  <c r="R464" i="3"/>
  <c r="Q463" i="3"/>
  <c r="R463" i="3"/>
  <c r="Q462" i="3"/>
  <c r="R462" i="3"/>
  <c r="Q461" i="3"/>
  <c r="R461" i="3"/>
  <c r="Q460" i="3"/>
  <c r="R460" i="3"/>
  <c r="Q459" i="3"/>
  <c r="R459" i="3"/>
  <c r="Q458" i="3"/>
  <c r="R458" i="3"/>
  <c r="Q457" i="3"/>
  <c r="R457" i="3"/>
  <c r="Q456" i="3"/>
  <c r="R456" i="3"/>
  <c r="Q455" i="3"/>
  <c r="R455" i="3"/>
  <c r="Q454" i="3"/>
  <c r="R454" i="3"/>
  <c r="Q453" i="3"/>
  <c r="R453" i="3"/>
  <c r="Q452" i="3"/>
  <c r="R452" i="3"/>
  <c r="Q451" i="3"/>
  <c r="R451" i="3"/>
  <c r="Q450" i="3"/>
  <c r="R450" i="3"/>
  <c r="Q449" i="3"/>
  <c r="R449" i="3"/>
  <c r="Q448" i="3"/>
  <c r="R448" i="3"/>
  <c r="Q447" i="3"/>
  <c r="R447" i="3"/>
  <c r="Q446" i="3"/>
  <c r="R446" i="3"/>
  <c r="Q445" i="3"/>
  <c r="R445" i="3"/>
  <c r="Q444" i="3"/>
  <c r="R444" i="3"/>
  <c r="Q443" i="3"/>
  <c r="R443" i="3"/>
  <c r="Q442" i="3"/>
  <c r="R442" i="3"/>
  <c r="Q441" i="3"/>
  <c r="R441" i="3"/>
  <c r="Q440" i="3"/>
  <c r="R440" i="3"/>
  <c r="Q439" i="3"/>
  <c r="R439" i="3"/>
  <c r="Q438" i="3"/>
  <c r="R438" i="3"/>
  <c r="Q437" i="3"/>
  <c r="R437" i="3"/>
  <c r="Q436" i="3"/>
  <c r="R436" i="3"/>
  <c r="Q435" i="3"/>
  <c r="R435" i="3"/>
  <c r="Q434" i="3"/>
  <c r="R434" i="3"/>
  <c r="Q433" i="3"/>
  <c r="R433" i="3"/>
  <c r="Q432" i="3"/>
  <c r="R432" i="3"/>
  <c r="Q431" i="3"/>
  <c r="R431" i="3"/>
  <c r="Q430" i="3"/>
  <c r="R430" i="3"/>
  <c r="Q429" i="3"/>
  <c r="R429" i="3"/>
  <c r="Q428" i="3"/>
  <c r="R428" i="3"/>
  <c r="Q427" i="3"/>
  <c r="R427" i="3"/>
  <c r="Q426" i="3"/>
  <c r="R426" i="3"/>
  <c r="Q425" i="3"/>
  <c r="R425" i="3"/>
  <c r="Q424" i="3"/>
  <c r="R424" i="3"/>
  <c r="Q423" i="3"/>
  <c r="R423" i="3"/>
  <c r="Q422" i="3"/>
  <c r="R422" i="3"/>
  <c r="Q421" i="3"/>
  <c r="R421" i="3"/>
  <c r="Q420" i="3"/>
  <c r="R420" i="3"/>
  <c r="Q419" i="3"/>
  <c r="R419" i="3"/>
  <c r="Q418" i="3"/>
  <c r="R418" i="3"/>
  <c r="Q417" i="3"/>
  <c r="R417" i="3"/>
  <c r="Q416" i="3"/>
  <c r="R416" i="3"/>
  <c r="Q415" i="3"/>
  <c r="R415" i="3"/>
  <c r="Q414" i="3"/>
  <c r="R414" i="3"/>
  <c r="Q413" i="3"/>
  <c r="R413" i="3"/>
  <c r="Q412" i="3"/>
  <c r="R412" i="3"/>
  <c r="Q411" i="3"/>
  <c r="R411" i="3"/>
  <c r="Q410" i="3"/>
  <c r="R410" i="3"/>
  <c r="Q409" i="3"/>
  <c r="R409" i="3"/>
  <c r="Q408" i="3"/>
  <c r="R408" i="3"/>
  <c r="Q407" i="3"/>
  <c r="R407" i="3"/>
  <c r="Q406" i="3"/>
  <c r="R406" i="3"/>
  <c r="Q405" i="3"/>
  <c r="R405" i="3"/>
  <c r="Q404" i="3"/>
  <c r="R404" i="3"/>
  <c r="Q403" i="3"/>
  <c r="R403" i="3"/>
  <c r="Q402" i="3"/>
  <c r="R402" i="3"/>
  <c r="Q401" i="3"/>
  <c r="R401" i="3"/>
  <c r="Q400" i="3"/>
  <c r="R400" i="3"/>
  <c r="Q399" i="3"/>
  <c r="R399" i="3"/>
  <c r="Q398" i="3"/>
  <c r="R398" i="3"/>
  <c r="Q397" i="3"/>
  <c r="R397" i="3"/>
  <c r="Q396" i="3"/>
  <c r="R396" i="3"/>
  <c r="Q395" i="3"/>
  <c r="R395" i="3"/>
  <c r="Q394" i="3"/>
  <c r="R394" i="3"/>
  <c r="Q393" i="3"/>
  <c r="R393" i="3"/>
  <c r="Q392" i="3"/>
  <c r="R392" i="3"/>
  <c r="Q391" i="3"/>
  <c r="R391" i="3"/>
  <c r="Q390" i="3"/>
  <c r="R390" i="3"/>
  <c r="Q389" i="3"/>
  <c r="R389" i="3"/>
  <c r="Q388" i="3"/>
  <c r="R388" i="3"/>
  <c r="Q387" i="3"/>
  <c r="R387" i="3"/>
  <c r="Q386" i="3"/>
  <c r="R386" i="3"/>
  <c r="Q385" i="3"/>
  <c r="R385" i="3"/>
  <c r="Q384" i="3"/>
  <c r="R384" i="3"/>
  <c r="Q383" i="3"/>
  <c r="R383" i="3"/>
  <c r="Q382" i="3"/>
  <c r="R382" i="3"/>
  <c r="Q381" i="3"/>
  <c r="R381" i="3"/>
  <c r="Q380" i="3"/>
  <c r="R380" i="3"/>
  <c r="Q379" i="3"/>
  <c r="R379" i="3"/>
  <c r="Q378" i="3"/>
  <c r="R378" i="3"/>
  <c r="Q377" i="3"/>
  <c r="R377" i="3"/>
  <c r="Q376" i="3"/>
  <c r="R376" i="3"/>
  <c r="Q375" i="3"/>
  <c r="R375" i="3"/>
  <c r="Q374" i="3"/>
  <c r="R374" i="3"/>
  <c r="Q373" i="3"/>
  <c r="R373" i="3"/>
  <c r="Q372" i="3"/>
  <c r="R372" i="3"/>
  <c r="Q371" i="3"/>
  <c r="R371" i="3"/>
  <c r="Q370" i="3"/>
  <c r="R370" i="3"/>
  <c r="Q369" i="3"/>
  <c r="R369" i="3"/>
  <c r="Q368" i="3"/>
  <c r="R368" i="3"/>
  <c r="Q367" i="3"/>
  <c r="R367" i="3"/>
  <c r="Q366" i="3"/>
  <c r="R366" i="3"/>
  <c r="Q365" i="3"/>
  <c r="R365" i="3"/>
  <c r="Q364" i="3"/>
  <c r="R364" i="3"/>
  <c r="Q363" i="3"/>
  <c r="R363" i="3"/>
  <c r="Q362" i="3"/>
  <c r="R362" i="3"/>
  <c r="Q361" i="3"/>
  <c r="R361" i="3"/>
  <c r="Q360" i="3"/>
  <c r="R360" i="3"/>
  <c r="Q359" i="3"/>
  <c r="R359" i="3"/>
  <c r="Q358" i="3"/>
  <c r="R358" i="3"/>
  <c r="Q357" i="3"/>
  <c r="R357" i="3"/>
  <c r="Q356" i="3"/>
  <c r="R356" i="3"/>
  <c r="Q355" i="3"/>
  <c r="R355" i="3"/>
  <c r="Q354" i="3"/>
  <c r="R354" i="3"/>
  <c r="Q353" i="3"/>
  <c r="R353" i="3"/>
  <c r="Q352" i="3"/>
  <c r="R352" i="3"/>
  <c r="Q351" i="3"/>
  <c r="R351" i="3"/>
  <c r="Q350" i="3"/>
  <c r="R350" i="3"/>
  <c r="Q349" i="3"/>
  <c r="R349" i="3"/>
  <c r="Q348" i="3"/>
  <c r="R348" i="3"/>
  <c r="Q347" i="3"/>
  <c r="R347" i="3"/>
  <c r="Q346" i="3"/>
  <c r="R346" i="3"/>
  <c r="Q345" i="3"/>
  <c r="R345" i="3"/>
  <c r="Q344" i="3"/>
  <c r="R344" i="3"/>
  <c r="Q343" i="3"/>
  <c r="R343" i="3"/>
  <c r="Q342" i="3"/>
  <c r="R342" i="3"/>
  <c r="Q341" i="3"/>
  <c r="R341" i="3"/>
  <c r="Q340" i="3"/>
  <c r="R340" i="3"/>
  <c r="Q339" i="3"/>
  <c r="R339" i="3"/>
  <c r="Q338" i="3"/>
  <c r="R338" i="3"/>
  <c r="Q337" i="3"/>
  <c r="R337" i="3"/>
  <c r="Q336" i="3"/>
  <c r="R336" i="3"/>
  <c r="Q335" i="3"/>
  <c r="R335" i="3"/>
  <c r="Q334" i="3"/>
  <c r="R334" i="3"/>
  <c r="Q333" i="3"/>
  <c r="R333" i="3"/>
  <c r="Q332" i="3"/>
  <c r="R332" i="3"/>
  <c r="Q331" i="3"/>
  <c r="R331" i="3"/>
  <c r="Q330" i="3"/>
  <c r="R330" i="3"/>
  <c r="Q329" i="3"/>
  <c r="R329" i="3"/>
  <c r="Q328" i="3"/>
  <c r="R328" i="3"/>
  <c r="Q327" i="3"/>
  <c r="R327" i="3"/>
  <c r="Q326" i="3"/>
  <c r="R326" i="3"/>
  <c r="Q325" i="3"/>
  <c r="R325" i="3"/>
  <c r="Q324" i="3"/>
  <c r="R324" i="3"/>
  <c r="Q323" i="3"/>
  <c r="R323" i="3"/>
  <c r="Q322" i="3"/>
  <c r="R322" i="3"/>
  <c r="Q321" i="3"/>
  <c r="R321" i="3"/>
  <c r="Q320" i="3"/>
  <c r="R320" i="3"/>
  <c r="Q319" i="3"/>
  <c r="R319" i="3"/>
  <c r="Q318" i="3"/>
  <c r="R318" i="3"/>
  <c r="Q317" i="3"/>
  <c r="R317" i="3"/>
  <c r="Q316" i="3"/>
  <c r="R316" i="3"/>
  <c r="Q315" i="3"/>
  <c r="R315" i="3"/>
  <c r="Q314" i="3"/>
  <c r="R314" i="3"/>
  <c r="Q313" i="3"/>
  <c r="R313" i="3"/>
  <c r="Q312" i="3"/>
  <c r="R312" i="3"/>
  <c r="Q311" i="3"/>
  <c r="R311" i="3"/>
  <c r="Q310" i="3"/>
  <c r="R310" i="3"/>
  <c r="Q309" i="3"/>
  <c r="R309" i="3"/>
  <c r="Q308" i="3"/>
  <c r="R308" i="3"/>
  <c r="Q307" i="3"/>
  <c r="R307" i="3"/>
  <c r="Q306" i="3"/>
  <c r="R306" i="3"/>
  <c r="Q305" i="3"/>
  <c r="R305" i="3"/>
  <c r="Q304" i="3"/>
  <c r="R304" i="3"/>
  <c r="Q303" i="3"/>
  <c r="R303" i="3"/>
  <c r="Q302" i="3"/>
  <c r="R302" i="3"/>
  <c r="Q301" i="3"/>
  <c r="R301" i="3"/>
  <c r="Q300" i="3"/>
  <c r="R300" i="3"/>
  <c r="Q299" i="3"/>
  <c r="R299" i="3"/>
  <c r="Q298" i="3"/>
  <c r="R298" i="3"/>
  <c r="Q297" i="3"/>
  <c r="R297" i="3"/>
  <c r="Q296" i="3"/>
  <c r="R296" i="3"/>
  <c r="Q295" i="3"/>
  <c r="R295" i="3"/>
  <c r="Q294" i="3"/>
  <c r="R294" i="3"/>
  <c r="Q293" i="3"/>
  <c r="R293" i="3"/>
  <c r="Q292" i="3"/>
  <c r="R292" i="3"/>
  <c r="Q291" i="3"/>
  <c r="R291" i="3"/>
  <c r="Q290" i="3"/>
  <c r="R290" i="3"/>
  <c r="Q289" i="3"/>
  <c r="R289" i="3"/>
  <c r="Q288" i="3"/>
  <c r="R288" i="3"/>
  <c r="Q287" i="3"/>
  <c r="R287" i="3"/>
  <c r="Q286" i="3"/>
  <c r="R286" i="3"/>
  <c r="Q285" i="3"/>
  <c r="R285" i="3"/>
  <c r="Q284" i="3"/>
  <c r="R284" i="3"/>
  <c r="Q283" i="3"/>
  <c r="R283" i="3"/>
  <c r="Q282" i="3"/>
  <c r="R282" i="3"/>
  <c r="Q281" i="3"/>
  <c r="R281" i="3"/>
  <c r="Q280" i="3"/>
  <c r="R280" i="3"/>
  <c r="Q279" i="3"/>
  <c r="R279" i="3"/>
  <c r="Q278" i="3"/>
  <c r="R278" i="3"/>
  <c r="Q277" i="3"/>
  <c r="R277" i="3"/>
  <c r="Q276" i="3"/>
  <c r="R276" i="3"/>
  <c r="Q275" i="3"/>
  <c r="R275" i="3"/>
  <c r="Q274" i="3"/>
  <c r="R274" i="3"/>
  <c r="Q273" i="3"/>
  <c r="R273" i="3"/>
  <c r="Q272" i="3"/>
  <c r="R272" i="3"/>
  <c r="Q271" i="3"/>
  <c r="R271" i="3"/>
  <c r="Q270" i="3"/>
  <c r="R270" i="3"/>
  <c r="Q269" i="3"/>
  <c r="R269" i="3"/>
  <c r="Q268" i="3"/>
  <c r="R268" i="3"/>
  <c r="Q267" i="3"/>
  <c r="R267" i="3"/>
  <c r="Q266" i="3"/>
  <c r="R266" i="3"/>
  <c r="Q265" i="3"/>
  <c r="R265" i="3"/>
  <c r="Q264" i="3"/>
  <c r="R264" i="3"/>
  <c r="Q263" i="3"/>
  <c r="R263" i="3"/>
  <c r="Q262" i="3"/>
  <c r="R262" i="3"/>
  <c r="Q261" i="3"/>
  <c r="R261" i="3"/>
  <c r="Q260" i="3"/>
  <c r="R260" i="3"/>
  <c r="Q259" i="3"/>
  <c r="R259" i="3"/>
  <c r="Q258" i="3"/>
  <c r="R258" i="3"/>
  <c r="Q257" i="3"/>
  <c r="R257" i="3"/>
  <c r="Q256" i="3"/>
  <c r="R256" i="3"/>
  <c r="Q255" i="3"/>
  <c r="R255" i="3"/>
  <c r="Q254" i="3"/>
  <c r="R254" i="3"/>
  <c r="Q253" i="3"/>
  <c r="R253" i="3"/>
  <c r="Q252" i="3"/>
  <c r="R252" i="3"/>
  <c r="Q251" i="3"/>
  <c r="R251" i="3"/>
  <c r="Q250" i="3"/>
  <c r="R250" i="3"/>
  <c r="Q249" i="3"/>
  <c r="R249" i="3"/>
  <c r="Q248" i="3"/>
  <c r="R248" i="3"/>
  <c r="Q247" i="3"/>
  <c r="R247" i="3"/>
  <c r="Q246" i="3"/>
  <c r="R246" i="3"/>
  <c r="Q245" i="3"/>
  <c r="R245" i="3"/>
  <c r="Q244" i="3"/>
  <c r="R244" i="3"/>
  <c r="Q243" i="3"/>
  <c r="R243" i="3"/>
  <c r="Q242" i="3"/>
  <c r="R242" i="3"/>
  <c r="Q241" i="3"/>
  <c r="R241" i="3"/>
  <c r="Q240" i="3"/>
  <c r="R240" i="3"/>
  <c r="Q239" i="3"/>
  <c r="R239" i="3"/>
  <c r="Q238" i="3"/>
  <c r="R238" i="3"/>
  <c r="Q237" i="3"/>
  <c r="R237" i="3"/>
  <c r="Q236" i="3"/>
  <c r="R236" i="3"/>
  <c r="Q235" i="3"/>
  <c r="R235" i="3"/>
  <c r="Q234" i="3"/>
  <c r="R234" i="3"/>
  <c r="Q233" i="3"/>
  <c r="R233" i="3"/>
  <c r="Q232" i="3"/>
  <c r="R232" i="3"/>
  <c r="Q231" i="3"/>
  <c r="R231" i="3"/>
  <c r="Q230" i="3"/>
  <c r="R230" i="3"/>
  <c r="Q229" i="3"/>
  <c r="R229" i="3"/>
  <c r="Q228" i="3"/>
  <c r="R228" i="3"/>
  <c r="Q227" i="3"/>
  <c r="R227" i="3"/>
  <c r="Q226" i="3"/>
  <c r="R226" i="3"/>
  <c r="Q225" i="3"/>
  <c r="R225" i="3"/>
  <c r="Q224" i="3"/>
  <c r="R224" i="3"/>
  <c r="Q223" i="3"/>
  <c r="R223" i="3"/>
  <c r="Q222" i="3"/>
  <c r="R222" i="3"/>
  <c r="Q221" i="3"/>
  <c r="R221" i="3"/>
  <c r="Q220" i="3"/>
  <c r="R220" i="3"/>
  <c r="Q219" i="3"/>
  <c r="R219" i="3"/>
  <c r="Q218" i="3"/>
  <c r="R218" i="3"/>
  <c r="Q217" i="3"/>
  <c r="R217" i="3"/>
  <c r="Q216" i="3"/>
  <c r="R216" i="3"/>
  <c r="Q215" i="3"/>
  <c r="R215" i="3"/>
  <c r="Q214" i="3"/>
  <c r="R214" i="3"/>
  <c r="Q213" i="3"/>
  <c r="R213" i="3"/>
  <c r="Q212" i="3"/>
  <c r="R212" i="3"/>
  <c r="Q211" i="3"/>
  <c r="R211" i="3"/>
  <c r="Q210" i="3"/>
  <c r="R210" i="3"/>
  <c r="Q209" i="3"/>
  <c r="R209" i="3"/>
  <c r="Q208" i="3"/>
  <c r="R208" i="3"/>
  <c r="Q207" i="3"/>
  <c r="R207" i="3"/>
  <c r="Q206" i="3"/>
  <c r="R206" i="3"/>
  <c r="Q205" i="3"/>
  <c r="R205" i="3"/>
  <c r="Q204" i="3"/>
  <c r="R204" i="3"/>
  <c r="Q203" i="3"/>
  <c r="R203" i="3"/>
  <c r="Q202" i="3"/>
  <c r="R202" i="3"/>
  <c r="Q201" i="3"/>
  <c r="R201" i="3"/>
  <c r="Q200" i="3"/>
  <c r="R200" i="3"/>
  <c r="Q199" i="3"/>
  <c r="R199" i="3"/>
  <c r="Q198" i="3"/>
  <c r="R198" i="3"/>
  <c r="Q197" i="3"/>
  <c r="R197" i="3"/>
  <c r="Q196" i="3"/>
  <c r="R196" i="3"/>
  <c r="Q195" i="3"/>
  <c r="R195" i="3"/>
  <c r="Q194" i="3"/>
  <c r="R194" i="3"/>
  <c r="Q193" i="3"/>
  <c r="R193" i="3"/>
  <c r="Q192" i="3"/>
  <c r="R192" i="3"/>
  <c r="Q191" i="3"/>
  <c r="R191" i="3"/>
  <c r="Q190" i="3"/>
  <c r="R190" i="3"/>
  <c r="Q189" i="3"/>
  <c r="R189" i="3"/>
  <c r="Q188" i="3"/>
  <c r="R188" i="3"/>
  <c r="Q187" i="3"/>
  <c r="R187" i="3"/>
  <c r="Q186" i="3"/>
  <c r="R186" i="3"/>
  <c r="Q185" i="3"/>
  <c r="R185" i="3"/>
  <c r="Q184" i="3"/>
  <c r="R184" i="3"/>
  <c r="Q183" i="3"/>
  <c r="R183" i="3"/>
  <c r="Q182" i="3"/>
  <c r="R182" i="3"/>
  <c r="Q181" i="3"/>
  <c r="R181" i="3"/>
  <c r="Q180" i="3"/>
  <c r="R180" i="3"/>
  <c r="Q179" i="3"/>
  <c r="R179" i="3"/>
  <c r="Q178" i="3"/>
  <c r="R178" i="3"/>
  <c r="Q177" i="3"/>
  <c r="R177" i="3"/>
  <c r="Q176" i="3"/>
  <c r="R176" i="3"/>
  <c r="Q175" i="3"/>
  <c r="R175" i="3"/>
  <c r="Q174" i="3"/>
  <c r="R174" i="3"/>
  <c r="Q173" i="3"/>
  <c r="R173" i="3"/>
  <c r="Q172" i="3"/>
  <c r="R172" i="3"/>
  <c r="Q171" i="3"/>
  <c r="R171" i="3"/>
  <c r="Q170" i="3"/>
  <c r="R170" i="3"/>
  <c r="Q169" i="3"/>
  <c r="R169" i="3"/>
  <c r="Q168" i="3"/>
  <c r="R168" i="3"/>
  <c r="Q167" i="3"/>
  <c r="R167" i="3"/>
  <c r="Q166" i="3"/>
  <c r="R166" i="3"/>
  <c r="Q165" i="3"/>
  <c r="R165" i="3"/>
  <c r="Q164" i="3"/>
  <c r="R164" i="3"/>
  <c r="Q163" i="3"/>
  <c r="R163" i="3"/>
  <c r="Q162" i="3"/>
  <c r="R162" i="3"/>
  <c r="Q161" i="3"/>
  <c r="R161" i="3"/>
  <c r="Q160" i="3"/>
  <c r="R160" i="3"/>
  <c r="Q159" i="3"/>
  <c r="R159" i="3"/>
  <c r="Q158" i="3"/>
  <c r="R158" i="3"/>
  <c r="Q157" i="3"/>
  <c r="R157" i="3"/>
  <c r="Q156" i="3"/>
  <c r="R156" i="3"/>
  <c r="Q155" i="3"/>
  <c r="R155" i="3"/>
  <c r="Q154" i="3"/>
  <c r="R154" i="3"/>
  <c r="Q153" i="3"/>
  <c r="R153" i="3"/>
  <c r="Q152" i="3"/>
  <c r="R152" i="3"/>
  <c r="Q151" i="3"/>
  <c r="R151" i="3"/>
  <c r="Q150" i="3"/>
  <c r="R150" i="3"/>
  <c r="Q149" i="3"/>
  <c r="R149" i="3"/>
  <c r="Q148" i="3"/>
  <c r="R148" i="3"/>
  <c r="Q147" i="3"/>
  <c r="R147" i="3"/>
  <c r="Q146" i="3"/>
  <c r="R146" i="3"/>
  <c r="Q145" i="3"/>
  <c r="R145" i="3"/>
  <c r="Q144" i="3"/>
  <c r="R144" i="3"/>
  <c r="Q143" i="3"/>
  <c r="R143" i="3"/>
  <c r="Q142" i="3"/>
  <c r="R142" i="3"/>
  <c r="Q141" i="3"/>
  <c r="R141" i="3"/>
  <c r="Q140" i="3"/>
  <c r="R140" i="3"/>
  <c r="Q139" i="3"/>
  <c r="R139" i="3"/>
  <c r="Q138" i="3"/>
  <c r="R138" i="3"/>
  <c r="Q137" i="3"/>
  <c r="R137" i="3"/>
  <c r="Q136" i="3"/>
  <c r="R136" i="3"/>
  <c r="Q135" i="3"/>
  <c r="R135" i="3"/>
  <c r="Q134" i="3"/>
  <c r="R134" i="3"/>
  <c r="Q133" i="3"/>
  <c r="R133" i="3"/>
  <c r="Q132" i="3"/>
  <c r="R132" i="3"/>
  <c r="Q131" i="3"/>
  <c r="R131" i="3"/>
  <c r="Q130" i="3"/>
  <c r="R130" i="3"/>
  <c r="Q129" i="3"/>
  <c r="R129" i="3"/>
  <c r="Q128" i="3"/>
  <c r="R128" i="3"/>
  <c r="Q127" i="3"/>
  <c r="R127" i="3"/>
  <c r="Q126" i="3"/>
  <c r="R126" i="3"/>
  <c r="Q125" i="3"/>
  <c r="R125" i="3"/>
  <c r="Q124" i="3"/>
  <c r="R124" i="3"/>
  <c r="Q123" i="3"/>
  <c r="R123" i="3"/>
  <c r="Q122" i="3"/>
  <c r="R122" i="3"/>
  <c r="Q121" i="3"/>
  <c r="R121" i="3"/>
  <c r="Q120" i="3"/>
  <c r="R120" i="3"/>
  <c r="Q119" i="3"/>
  <c r="R119" i="3"/>
  <c r="Q118" i="3"/>
  <c r="R118" i="3"/>
  <c r="Q117" i="3"/>
  <c r="R117" i="3"/>
  <c r="Q116" i="3"/>
  <c r="R116" i="3"/>
  <c r="Q115" i="3"/>
  <c r="R115" i="3"/>
  <c r="Q114" i="3"/>
  <c r="R114" i="3"/>
  <c r="Q113" i="3"/>
  <c r="R113" i="3"/>
  <c r="Q112" i="3"/>
  <c r="R112" i="3"/>
  <c r="Q111" i="3"/>
  <c r="R111" i="3"/>
  <c r="Q110" i="3"/>
  <c r="R110" i="3"/>
  <c r="Q109" i="3"/>
  <c r="R109" i="3"/>
  <c r="Q108" i="3"/>
  <c r="R108" i="3"/>
  <c r="Q107" i="3"/>
  <c r="R107" i="3"/>
  <c r="Q106" i="3"/>
  <c r="R106" i="3"/>
  <c r="Q105" i="3"/>
  <c r="R105" i="3"/>
  <c r="Q104" i="3"/>
  <c r="R104" i="3"/>
  <c r="Q103" i="3"/>
  <c r="R103" i="3"/>
  <c r="Q102" i="3"/>
  <c r="R102" i="3"/>
  <c r="Q101" i="3"/>
  <c r="R101" i="3"/>
  <c r="Q100" i="3"/>
  <c r="R100" i="3"/>
  <c r="Q99" i="3"/>
  <c r="R99" i="3"/>
  <c r="Q98" i="3"/>
  <c r="R98" i="3"/>
  <c r="Q97" i="3"/>
  <c r="R97" i="3"/>
  <c r="Q96" i="3"/>
  <c r="R96" i="3"/>
  <c r="Q95" i="3"/>
  <c r="R95" i="3"/>
  <c r="Q94" i="3"/>
  <c r="R94" i="3"/>
  <c r="Q93" i="3"/>
  <c r="R93" i="3"/>
  <c r="Q92" i="3"/>
  <c r="R92" i="3"/>
  <c r="Q91" i="3"/>
  <c r="R91" i="3"/>
  <c r="Q90" i="3"/>
  <c r="R90" i="3"/>
  <c r="Q89" i="3"/>
  <c r="R89" i="3"/>
  <c r="Q88" i="3"/>
  <c r="R88" i="3"/>
  <c r="Q87" i="3"/>
  <c r="R87" i="3"/>
  <c r="Q86" i="3"/>
  <c r="R86" i="3"/>
  <c r="Q85" i="3"/>
  <c r="R85" i="3"/>
  <c r="Q84" i="3"/>
  <c r="R84" i="3"/>
  <c r="Q83" i="3"/>
  <c r="R83" i="3"/>
  <c r="Q82" i="3"/>
  <c r="R82" i="3"/>
  <c r="Q81" i="3"/>
  <c r="R81" i="3"/>
  <c r="Q80" i="3"/>
  <c r="R80" i="3"/>
  <c r="Q79" i="3"/>
  <c r="R79" i="3"/>
  <c r="Q78" i="3"/>
  <c r="R78" i="3"/>
  <c r="Q77" i="3"/>
  <c r="R77" i="3"/>
  <c r="Q76" i="3"/>
  <c r="R76" i="3"/>
  <c r="Q75" i="3"/>
  <c r="R75" i="3"/>
  <c r="Q74" i="3"/>
  <c r="R74" i="3"/>
  <c r="Q73" i="3"/>
  <c r="R73" i="3"/>
  <c r="Q72" i="3"/>
  <c r="R72" i="3"/>
  <c r="Q71" i="3"/>
  <c r="R71" i="3"/>
  <c r="Q70" i="3"/>
  <c r="R70" i="3"/>
  <c r="Q69" i="3"/>
  <c r="R69" i="3"/>
  <c r="Q68" i="3"/>
  <c r="R68" i="3"/>
  <c r="Q67" i="3"/>
  <c r="R67" i="3"/>
  <c r="Q66" i="3"/>
  <c r="R66" i="3"/>
  <c r="Q65" i="3"/>
  <c r="R65" i="3"/>
  <c r="Q64" i="3"/>
  <c r="R64" i="3"/>
  <c r="Q63" i="3"/>
  <c r="R63" i="3"/>
  <c r="Q62" i="3"/>
  <c r="R62" i="3"/>
  <c r="Q61" i="3"/>
  <c r="R61" i="3"/>
  <c r="Q60" i="3"/>
  <c r="R60" i="3"/>
  <c r="Q59" i="3"/>
  <c r="R59" i="3"/>
  <c r="Q58" i="3"/>
  <c r="R58" i="3"/>
  <c r="Q57" i="3"/>
  <c r="R57" i="3"/>
  <c r="Q56" i="3"/>
  <c r="R56" i="3"/>
  <c r="Q55" i="3"/>
  <c r="R55" i="3"/>
  <c r="Q54" i="3"/>
  <c r="R54" i="3"/>
  <c r="Q53" i="3"/>
  <c r="R53" i="3"/>
  <c r="Q52" i="3"/>
  <c r="R52" i="3"/>
  <c r="Q51" i="3"/>
  <c r="R51" i="3"/>
  <c r="Q50" i="3"/>
  <c r="R50" i="3"/>
  <c r="Q49" i="3"/>
  <c r="R49" i="3"/>
  <c r="Q48" i="3"/>
  <c r="R48" i="3"/>
  <c r="Q47" i="3"/>
  <c r="R47" i="3"/>
  <c r="Q46" i="3"/>
  <c r="R46" i="3"/>
  <c r="Q45" i="3"/>
  <c r="R45" i="3"/>
  <c r="Q44" i="3"/>
  <c r="R44" i="3"/>
  <c r="Q43" i="3"/>
  <c r="R43" i="3"/>
  <c r="Q42" i="3"/>
  <c r="R42" i="3"/>
  <c r="Q41" i="3"/>
  <c r="R41" i="3"/>
  <c r="Q40" i="3"/>
  <c r="R40" i="3"/>
  <c r="Q39" i="3"/>
  <c r="R39" i="3"/>
  <c r="Q38" i="3"/>
  <c r="R38" i="3"/>
  <c r="Q37" i="3"/>
  <c r="R37" i="3"/>
  <c r="Q36" i="3"/>
  <c r="R36" i="3"/>
  <c r="Q35" i="3"/>
  <c r="R35" i="3"/>
  <c r="Q34" i="3"/>
  <c r="R34" i="3"/>
  <c r="Q33" i="3"/>
  <c r="R33" i="3"/>
  <c r="Q32" i="3"/>
  <c r="R32" i="3"/>
  <c r="Q31" i="3"/>
  <c r="R31" i="3"/>
  <c r="Q30" i="3"/>
  <c r="R30" i="3"/>
  <c r="Q29" i="3"/>
  <c r="R29" i="3"/>
  <c r="Q28" i="3"/>
  <c r="R28" i="3"/>
  <c r="Q27" i="3"/>
  <c r="R27" i="3"/>
  <c r="Q26" i="3"/>
  <c r="R26" i="3"/>
  <c r="Q25" i="3"/>
  <c r="R25" i="3"/>
  <c r="Q24" i="3"/>
  <c r="R24" i="3"/>
  <c r="Q23" i="3"/>
  <c r="R23" i="3"/>
  <c r="Q22" i="3"/>
  <c r="R22" i="3"/>
  <c r="Q21" i="3"/>
  <c r="R21" i="3"/>
  <c r="Q20" i="3"/>
  <c r="R20" i="3"/>
  <c r="Q19" i="3"/>
  <c r="R19" i="3"/>
  <c r="Q18" i="3"/>
  <c r="R18" i="3"/>
  <c r="Q17" i="3"/>
  <c r="R17" i="3"/>
  <c r="Q16" i="3"/>
  <c r="R16" i="3"/>
  <c r="Q15" i="3"/>
  <c r="R15" i="3"/>
  <c r="Q14" i="3"/>
  <c r="R14" i="3"/>
  <c r="Q13" i="3"/>
  <c r="R13" i="3"/>
  <c r="Q12" i="3"/>
  <c r="R12" i="3"/>
  <c r="Q11" i="3"/>
  <c r="R11" i="3"/>
  <c r="Q10" i="3"/>
  <c r="R10" i="3"/>
  <c r="Q9" i="3"/>
  <c r="R9" i="3"/>
  <c r="Q8" i="3"/>
  <c r="R8" i="3"/>
  <c r="Q7" i="3"/>
  <c r="R7" i="3"/>
  <c r="Q6" i="3"/>
  <c r="R6" i="3"/>
  <c r="Q5" i="3"/>
  <c r="R5" i="3"/>
  <c r="Q4" i="3"/>
  <c r="R4" i="3"/>
  <c r="Q3" i="3"/>
  <c r="R3" i="3"/>
  <c r="Q2" i="3"/>
  <c r="R2" i="3"/>
  <c r="N1501" i="3"/>
  <c r="O1501" i="3"/>
  <c r="N1500" i="3"/>
  <c r="O1500" i="3"/>
  <c r="N1499" i="3"/>
  <c r="O1499" i="3"/>
  <c r="N1498" i="3"/>
  <c r="O1498" i="3"/>
  <c r="N1497" i="3"/>
  <c r="O1497" i="3"/>
  <c r="N1496" i="3"/>
  <c r="O1496" i="3"/>
  <c r="N1495" i="3"/>
  <c r="O1495" i="3"/>
  <c r="N1494" i="3"/>
  <c r="O1494" i="3"/>
  <c r="N1493" i="3"/>
  <c r="O1493" i="3"/>
  <c r="N1492" i="3"/>
  <c r="O1492" i="3"/>
  <c r="N1491" i="3"/>
  <c r="O1491" i="3"/>
  <c r="N1490" i="3"/>
  <c r="O1490" i="3"/>
  <c r="N1489" i="3"/>
  <c r="O1489" i="3"/>
  <c r="N1488" i="3"/>
  <c r="O1488" i="3"/>
  <c r="N1487" i="3"/>
  <c r="O1487" i="3"/>
  <c r="N1486" i="3"/>
  <c r="O1486" i="3"/>
  <c r="N1485" i="3"/>
  <c r="O1485" i="3"/>
  <c r="N1484" i="3"/>
  <c r="O1484" i="3"/>
  <c r="N1483" i="3"/>
  <c r="O1483" i="3"/>
  <c r="N1482" i="3"/>
  <c r="O1482" i="3"/>
  <c r="N1481" i="3"/>
  <c r="O1481" i="3"/>
  <c r="N1480" i="3"/>
  <c r="O1480" i="3"/>
  <c r="N1479" i="3"/>
  <c r="O1479" i="3"/>
  <c r="N1478" i="3"/>
  <c r="O1478" i="3"/>
  <c r="N1477" i="3"/>
  <c r="O1477" i="3"/>
  <c r="N1476" i="3"/>
  <c r="O1476" i="3"/>
  <c r="N1475" i="3"/>
  <c r="O1475" i="3"/>
  <c r="N1474" i="3"/>
  <c r="O1474" i="3"/>
  <c r="N1473" i="3"/>
  <c r="O1473" i="3"/>
  <c r="N1472" i="3"/>
  <c r="O1472" i="3"/>
  <c r="N1471" i="3"/>
  <c r="O1471" i="3"/>
  <c r="N1470" i="3"/>
  <c r="O1470" i="3"/>
  <c r="N1469" i="3"/>
  <c r="O1469" i="3"/>
  <c r="N1468" i="3"/>
  <c r="O1468" i="3"/>
  <c r="N1467" i="3"/>
  <c r="O1467" i="3"/>
  <c r="N1466" i="3"/>
  <c r="O1466" i="3"/>
  <c r="N1465" i="3"/>
  <c r="O1465" i="3"/>
  <c r="N1464" i="3"/>
  <c r="O1464" i="3"/>
  <c r="N1463" i="3"/>
  <c r="O1463" i="3"/>
  <c r="N1462" i="3"/>
  <c r="O1462" i="3"/>
  <c r="N1461" i="3"/>
  <c r="O1461" i="3"/>
  <c r="N1460" i="3"/>
  <c r="O1460" i="3"/>
  <c r="N1459" i="3"/>
  <c r="O1459" i="3"/>
  <c r="N1458" i="3"/>
  <c r="O1458" i="3"/>
  <c r="N1457" i="3"/>
  <c r="O1457" i="3"/>
  <c r="N1456" i="3"/>
  <c r="O1456" i="3"/>
  <c r="N1455" i="3"/>
  <c r="O1455" i="3"/>
  <c r="N1454" i="3"/>
  <c r="O1454" i="3"/>
  <c r="N1453" i="3"/>
  <c r="O1453" i="3"/>
  <c r="N1452" i="3"/>
  <c r="O1452" i="3"/>
  <c r="N1451" i="3"/>
  <c r="O1451" i="3"/>
  <c r="N1450" i="3"/>
  <c r="O1450" i="3"/>
  <c r="N1449" i="3"/>
  <c r="O1449" i="3"/>
  <c r="N1448" i="3"/>
  <c r="O1448" i="3"/>
  <c r="N1447" i="3"/>
  <c r="O1447" i="3"/>
  <c r="N1446" i="3"/>
  <c r="O1446" i="3"/>
  <c r="N1445" i="3"/>
  <c r="O1445" i="3"/>
  <c r="N1444" i="3"/>
  <c r="O1444" i="3"/>
  <c r="N1443" i="3"/>
  <c r="O1443" i="3"/>
  <c r="N1442" i="3"/>
  <c r="O1442" i="3"/>
  <c r="N1441" i="3"/>
  <c r="O1441" i="3"/>
  <c r="N1440" i="3"/>
  <c r="O1440" i="3"/>
  <c r="N1439" i="3"/>
  <c r="O1439" i="3"/>
  <c r="N1438" i="3"/>
  <c r="O1438" i="3"/>
  <c r="N1437" i="3"/>
  <c r="O1437" i="3"/>
  <c r="N1436" i="3"/>
  <c r="O1436" i="3"/>
  <c r="N1435" i="3"/>
  <c r="O1435" i="3"/>
  <c r="N1434" i="3"/>
  <c r="O1434" i="3"/>
  <c r="N1433" i="3"/>
  <c r="O1433" i="3"/>
  <c r="N1432" i="3"/>
  <c r="O1432" i="3"/>
  <c r="N1431" i="3"/>
  <c r="O1431" i="3"/>
  <c r="N1430" i="3"/>
  <c r="O1430" i="3"/>
  <c r="N1429" i="3"/>
  <c r="O1429" i="3"/>
  <c r="N1428" i="3"/>
  <c r="O1428" i="3"/>
  <c r="N1427" i="3"/>
  <c r="O1427" i="3"/>
  <c r="N1426" i="3"/>
  <c r="O1426" i="3"/>
  <c r="N1425" i="3"/>
  <c r="O1425" i="3"/>
  <c r="N1424" i="3"/>
  <c r="O1424" i="3"/>
  <c r="N1423" i="3"/>
  <c r="O1423" i="3"/>
  <c r="N1422" i="3"/>
  <c r="O1422" i="3"/>
  <c r="N1421" i="3"/>
  <c r="O1421" i="3"/>
  <c r="N1420" i="3"/>
  <c r="O1420" i="3"/>
  <c r="N1419" i="3"/>
  <c r="O1419" i="3"/>
  <c r="N1418" i="3"/>
  <c r="O1418" i="3"/>
  <c r="N1417" i="3"/>
  <c r="O1417" i="3"/>
  <c r="N1416" i="3"/>
  <c r="O1416" i="3"/>
  <c r="N1415" i="3"/>
  <c r="O1415" i="3"/>
  <c r="N1414" i="3"/>
  <c r="O1414" i="3"/>
  <c r="N1413" i="3"/>
  <c r="O1413" i="3"/>
  <c r="N1412" i="3"/>
  <c r="O1412" i="3"/>
  <c r="N1411" i="3"/>
  <c r="O1411" i="3"/>
  <c r="N1410" i="3"/>
  <c r="O1410" i="3"/>
  <c r="N1409" i="3"/>
  <c r="O1409" i="3"/>
  <c r="N1408" i="3"/>
  <c r="O1408" i="3"/>
  <c r="N1407" i="3"/>
  <c r="O1407" i="3"/>
  <c r="N1406" i="3"/>
  <c r="O1406" i="3"/>
  <c r="N1405" i="3"/>
  <c r="O1405" i="3"/>
  <c r="N1404" i="3"/>
  <c r="O1404" i="3"/>
  <c r="N1403" i="3"/>
  <c r="O1403" i="3"/>
  <c r="N1402" i="3"/>
  <c r="O1402" i="3"/>
  <c r="N1401" i="3"/>
  <c r="O1401" i="3"/>
  <c r="N1400" i="3"/>
  <c r="O1400" i="3"/>
  <c r="N1399" i="3"/>
  <c r="O1399" i="3"/>
  <c r="N1398" i="3"/>
  <c r="O1398" i="3"/>
  <c r="N1397" i="3"/>
  <c r="O1397" i="3"/>
  <c r="N1396" i="3"/>
  <c r="O1396" i="3"/>
  <c r="N1395" i="3"/>
  <c r="O1395" i="3"/>
  <c r="N1394" i="3"/>
  <c r="O1394" i="3"/>
  <c r="N1393" i="3"/>
  <c r="O1393" i="3"/>
  <c r="N1392" i="3"/>
  <c r="O1392" i="3"/>
  <c r="N1391" i="3"/>
  <c r="O1391" i="3"/>
  <c r="N1390" i="3"/>
  <c r="O1390" i="3"/>
  <c r="N1389" i="3"/>
  <c r="O1389" i="3"/>
  <c r="N1388" i="3"/>
  <c r="O1388" i="3"/>
  <c r="N1387" i="3"/>
  <c r="O1387" i="3"/>
  <c r="N1386" i="3"/>
  <c r="O1386" i="3"/>
  <c r="N1385" i="3"/>
  <c r="O1385" i="3"/>
  <c r="N1384" i="3"/>
  <c r="O1384" i="3"/>
  <c r="N1383" i="3"/>
  <c r="O1383" i="3"/>
  <c r="N1382" i="3"/>
  <c r="O1382" i="3"/>
  <c r="N1381" i="3"/>
  <c r="O1381" i="3"/>
  <c r="N1380" i="3"/>
  <c r="O1380" i="3"/>
  <c r="N1379" i="3"/>
  <c r="O1379" i="3"/>
  <c r="N1378" i="3"/>
  <c r="O1378" i="3"/>
  <c r="N1377" i="3"/>
  <c r="O1377" i="3"/>
  <c r="N1376" i="3"/>
  <c r="O1376" i="3"/>
  <c r="N1375" i="3"/>
  <c r="O1375" i="3"/>
  <c r="N1374" i="3"/>
  <c r="O1374" i="3"/>
  <c r="N1373" i="3"/>
  <c r="O1373" i="3"/>
  <c r="N1372" i="3"/>
  <c r="O1372" i="3"/>
  <c r="N1371" i="3"/>
  <c r="O1371" i="3"/>
  <c r="N1370" i="3"/>
  <c r="O1370" i="3"/>
  <c r="N1369" i="3"/>
  <c r="O1369" i="3"/>
  <c r="N1368" i="3"/>
  <c r="O1368" i="3"/>
  <c r="N1367" i="3"/>
  <c r="O1367" i="3"/>
  <c r="N1366" i="3"/>
  <c r="O1366" i="3"/>
  <c r="N1365" i="3"/>
  <c r="O1365" i="3"/>
  <c r="N1364" i="3"/>
  <c r="O1364" i="3"/>
  <c r="N1363" i="3"/>
  <c r="O1363" i="3"/>
  <c r="N1362" i="3"/>
  <c r="O1362" i="3"/>
  <c r="N1361" i="3"/>
  <c r="O1361" i="3"/>
  <c r="N1360" i="3"/>
  <c r="O1360" i="3"/>
  <c r="N1359" i="3"/>
  <c r="O1359" i="3"/>
  <c r="N1358" i="3"/>
  <c r="O1358" i="3"/>
  <c r="N1357" i="3"/>
  <c r="O1357" i="3"/>
  <c r="N1356" i="3"/>
  <c r="O1356" i="3"/>
  <c r="N1355" i="3"/>
  <c r="O1355" i="3"/>
  <c r="N1354" i="3"/>
  <c r="O1354" i="3"/>
  <c r="N1353" i="3"/>
  <c r="O1353" i="3"/>
  <c r="N1352" i="3"/>
  <c r="O1352" i="3"/>
  <c r="N1351" i="3"/>
  <c r="O1351" i="3"/>
  <c r="N1350" i="3"/>
  <c r="O1350" i="3"/>
  <c r="N1349" i="3"/>
  <c r="O1349" i="3"/>
  <c r="N1348" i="3"/>
  <c r="O1348" i="3"/>
  <c r="N1347" i="3"/>
  <c r="O1347" i="3"/>
  <c r="N1346" i="3"/>
  <c r="O1346" i="3"/>
  <c r="N1345" i="3"/>
  <c r="O1345" i="3"/>
  <c r="N1344" i="3"/>
  <c r="O1344" i="3"/>
  <c r="N1343" i="3"/>
  <c r="O1343" i="3"/>
  <c r="N1342" i="3"/>
  <c r="O1342" i="3"/>
  <c r="N1341" i="3"/>
  <c r="O1341" i="3"/>
  <c r="N1340" i="3"/>
  <c r="O1340" i="3"/>
  <c r="N1339" i="3"/>
  <c r="O1339" i="3"/>
  <c r="N1338" i="3"/>
  <c r="O1338" i="3"/>
  <c r="N1337" i="3"/>
  <c r="O1337" i="3"/>
  <c r="N1336" i="3"/>
  <c r="O1336" i="3"/>
  <c r="N1335" i="3"/>
  <c r="O1335" i="3"/>
  <c r="N1334" i="3"/>
  <c r="O1334" i="3"/>
  <c r="N1333" i="3"/>
  <c r="O1333" i="3"/>
  <c r="N1332" i="3"/>
  <c r="O1332" i="3"/>
  <c r="N1331" i="3"/>
  <c r="O1331" i="3"/>
  <c r="N1330" i="3"/>
  <c r="O1330" i="3"/>
  <c r="N1329" i="3"/>
  <c r="O1329" i="3"/>
  <c r="N1328" i="3"/>
  <c r="O1328" i="3"/>
  <c r="N1327" i="3"/>
  <c r="O1327" i="3"/>
  <c r="N1326" i="3"/>
  <c r="O1326" i="3"/>
  <c r="N1325" i="3"/>
  <c r="O1325" i="3"/>
  <c r="N1324" i="3"/>
  <c r="O1324" i="3"/>
  <c r="N1323" i="3"/>
  <c r="O1323" i="3"/>
  <c r="N1322" i="3"/>
  <c r="O1322" i="3"/>
  <c r="N1321" i="3"/>
  <c r="O1321" i="3"/>
  <c r="N1320" i="3"/>
  <c r="O1320" i="3"/>
  <c r="N1319" i="3"/>
  <c r="O1319" i="3"/>
  <c r="N1318" i="3"/>
  <c r="O1318" i="3"/>
  <c r="N1317" i="3"/>
  <c r="O1317" i="3"/>
  <c r="N1316" i="3"/>
  <c r="O1316" i="3"/>
  <c r="N1315" i="3"/>
  <c r="O1315" i="3"/>
  <c r="N1314" i="3"/>
  <c r="O1314" i="3"/>
  <c r="N1313" i="3"/>
  <c r="O1313" i="3"/>
  <c r="N1312" i="3"/>
  <c r="O1312" i="3"/>
  <c r="N1311" i="3"/>
  <c r="O1311" i="3"/>
  <c r="N1310" i="3"/>
  <c r="O1310" i="3"/>
  <c r="N1309" i="3"/>
  <c r="O1309" i="3"/>
  <c r="N1308" i="3"/>
  <c r="O1308" i="3"/>
  <c r="N1307" i="3"/>
  <c r="O1307" i="3"/>
  <c r="N1306" i="3"/>
  <c r="O1306" i="3"/>
  <c r="N1305" i="3"/>
  <c r="O1305" i="3"/>
  <c r="N1304" i="3"/>
  <c r="O1304" i="3"/>
  <c r="N1303" i="3"/>
  <c r="O1303" i="3"/>
  <c r="N1302" i="3"/>
  <c r="O1302" i="3"/>
  <c r="N1301" i="3"/>
  <c r="O1301" i="3"/>
  <c r="N1300" i="3"/>
  <c r="O1300" i="3"/>
  <c r="N1299" i="3"/>
  <c r="O1299" i="3"/>
  <c r="N1298" i="3"/>
  <c r="O1298" i="3"/>
  <c r="N1297" i="3"/>
  <c r="O1297" i="3"/>
  <c r="N1296" i="3"/>
  <c r="O1296" i="3"/>
  <c r="N1295" i="3"/>
  <c r="O1295" i="3"/>
  <c r="N1294" i="3"/>
  <c r="O1294" i="3"/>
  <c r="N1293" i="3"/>
  <c r="O1293" i="3"/>
  <c r="N1292" i="3"/>
  <c r="O1292" i="3"/>
  <c r="N1291" i="3"/>
  <c r="O1291" i="3"/>
  <c r="N1290" i="3"/>
  <c r="O1290" i="3"/>
  <c r="N1289" i="3"/>
  <c r="O1289" i="3"/>
  <c r="N1288" i="3"/>
  <c r="O1288" i="3"/>
  <c r="N1287" i="3"/>
  <c r="O1287" i="3"/>
  <c r="N1286" i="3"/>
  <c r="O1286" i="3"/>
  <c r="N1285" i="3"/>
  <c r="O1285" i="3"/>
  <c r="N1284" i="3"/>
  <c r="O1284" i="3"/>
  <c r="N1283" i="3"/>
  <c r="O1283" i="3"/>
  <c r="N1282" i="3"/>
  <c r="O1282" i="3"/>
  <c r="N1281" i="3"/>
  <c r="O1281" i="3"/>
  <c r="N1280" i="3"/>
  <c r="O1280" i="3"/>
  <c r="N1279" i="3"/>
  <c r="O1279" i="3"/>
  <c r="N1278" i="3"/>
  <c r="O1278" i="3"/>
  <c r="N1277" i="3"/>
  <c r="O1277" i="3"/>
  <c r="N1276" i="3"/>
  <c r="O1276" i="3"/>
  <c r="N1275" i="3"/>
  <c r="O1275" i="3"/>
  <c r="N1274" i="3"/>
  <c r="O1274" i="3"/>
  <c r="N1273" i="3"/>
  <c r="O1273" i="3"/>
  <c r="N1272" i="3"/>
  <c r="O1272" i="3"/>
  <c r="N1271" i="3"/>
  <c r="O1271" i="3"/>
  <c r="N1270" i="3"/>
  <c r="O1270" i="3"/>
  <c r="N1269" i="3"/>
  <c r="O1269" i="3"/>
  <c r="N1268" i="3"/>
  <c r="O1268" i="3"/>
  <c r="N1267" i="3"/>
  <c r="O1267" i="3"/>
  <c r="N1266" i="3"/>
  <c r="O1266" i="3"/>
  <c r="N1265" i="3"/>
  <c r="O1265" i="3"/>
  <c r="N1264" i="3"/>
  <c r="O1264" i="3"/>
  <c r="N1263" i="3"/>
  <c r="O1263" i="3"/>
  <c r="N1262" i="3"/>
  <c r="O1262" i="3"/>
  <c r="N1261" i="3"/>
  <c r="O1261" i="3"/>
  <c r="N1260" i="3"/>
  <c r="O1260" i="3"/>
  <c r="N1259" i="3"/>
  <c r="O1259" i="3"/>
  <c r="N1258" i="3"/>
  <c r="O1258" i="3"/>
  <c r="N1257" i="3"/>
  <c r="O1257" i="3"/>
  <c r="N1256" i="3"/>
  <c r="O1256" i="3"/>
  <c r="N1255" i="3"/>
  <c r="O1255" i="3"/>
  <c r="N1254" i="3"/>
  <c r="O1254" i="3"/>
  <c r="N1253" i="3"/>
  <c r="O1253" i="3"/>
  <c r="N1252" i="3"/>
  <c r="O1252" i="3"/>
  <c r="N1251" i="3"/>
  <c r="O1251" i="3"/>
  <c r="N1250" i="3"/>
  <c r="O1250" i="3"/>
  <c r="N1249" i="3"/>
  <c r="O1249" i="3"/>
  <c r="N1248" i="3"/>
  <c r="O1248" i="3"/>
  <c r="N1247" i="3"/>
  <c r="O1247" i="3"/>
  <c r="N1246" i="3"/>
  <c r="O1246" i="3"/>
  <c r="N1245" i="3"/>
  <c r="O1245" i="3"/>
  <c r="N1244" i="3"/>
  <c r="O1244" i="3"/>
  <c r="N1243" i="3"/>
  <c r="O1243" i="3"/>
  <c r="N1242" i="3"/>
  <c r="O1242" i="3"/>
  <c r="N1241" i="3"/>
  <c r="O1241" i="3"/>
  <c r="N1240" i="3"/>
  <c r="O1240" i="3"/>
  <c r="N1239" i="3"/>
  <c r="O1239" i="3"/>
  <c r="N1238" i="3"/>
  <c r="O1238" i="3"/>
  <c r="N1237" i="3"/>
  <c r="O1237" i="3"/>
  <c r="N1236" i="3"/>
  <c r="O1236" i="3"/>
  <c r="N1235" i="3"/>
  <c r="O1235" i="3"/>
  <c r="N1234" i="3"/>
  <c r="O1234" i="3"/>
  <c r="N1233" i="3"/>
  <c r="O1233" i="3"/>
  <c r="N1232" i="3"/>
  <c r="O1232" i="3"/>
  <c r="N1231" i="3"/>
  <c r="O1231" i="3"/>
  <c r="N1230" i="3"/>
  <c r="O1230" i="3"/>
  <c r="N1229" i="3"/>
  <c r="O1229" i="3"/>
  <c r="N1228" i="3"/>
  <c r="O1228" i="3"/>
  <c r="N1227" i="3"/>
  <c r="O1227" i="3"/>
  <c r="N1226" i="3"/>
  <c r="O1226" i="3"/>
  <c r="N1225" i="3"/>
  <c r="O1225" i="3"/>
  <c r="N1224" i="3"/>
  <c r="O1224" i="3"/>
  <c r="N1223" i="3"/>
  <c r="O1223" i="3"/>
  <c r="N1222" i="3"/>
  <c r="O1222" i="3"/>
  <c r="N1221" i="3"/>
  <c r="O1221" i="3"/>
  <c r="N1220" i="3"/>
  <c r="O1220" i="3"/>
  <c r="N1219" i="3"/>
  <c r="O1219" i="3"/>
  <c r="N1218" i="3"/>
  <c r="O1218" i="3"/>
  <c r="N1217" i="3"/>
  <c r="O1217" i="3"/>
  <c r="N1216" i="3"/>
  <c r="O1216" i="3"/>
  <c r="N1215" i="3"/>
  <c r="O1215" i="3"/>
  <c r="N1214" i="3"/>
  <c r="O1214" i="3"/>
  <c r="N1213" i="3"/>
  <c r="O1213" i="3"/>
  <c r="N1212" i="3"/>
  <c r="O1212" i="3"/>
  <c r="N1211" i="3"/>
  <c r="O1211" i="3"/>
  <c r="N1210" i="3"/>
  <c r="O1210" i="3"/>
  <c r="N1209" i="3"/>
  <c r="O1209" i="3"/>
  <c r="N1208" i="3"/>
  <c r="O1208" i="3"/>
  <c r="N1207" i="3"/>
  <c r="O1207" i="3"/>
  <c r="N1206" i="3"/>
  <c r="O1206" i="3"/>
  <c r="N1205" i="3"/>
  <c r="O1205" i="3"/>
  <c r="N1204" i="3"/>
  <c r="O1204" i="3"/>
  <c r="N1203" i="3"/>
  <c r="O1203" i="3"/>
  <c r="N1202" i="3"/>
  <c r="O1202" i="3"/>
  <c r="N1201" i="3"/>
  <c r="O1201" i="3"/>
  <c r="N1200" i="3"/>
  <c r="O1200" i="3"/>
  <c r="N1199" i="3"/>
  <c r="O1199" i="3"/>
  <c r="N1198" i="3"/>
  <c r="O1198" i="3"/>
  <c r="N1197" i="3"/>
  <c r="O1197" i="3"/>
  <c r="N1196" i="3"/>
  <c r="O1196" i="3"/>
  <c r="N1195" i="3"/>
  <c r="O1195" i="3"/>
  <c r="N1194" i="3"/>
  <c r="O1194" i="3"/>
  <c r="N1193" i="3"/>
  <c r="O1193" i="3"/>
  <c r="N1192" i="3"/>
  <c r="O1192" i="3"/>
  <c r="N1191" i="3"/>
  <c r="O1191" i="3"/>
  <c r="N1190" i="3"/>
  <c r="O1190" i="3"/>
  <c r="N1189" i="3"/>
  <c r="O1189" i="3"/>
  <c r="N1188" i="3"/>
  <c r="O1188" i="3"/>
  <c r="N1187" i="3"/>
  <c r="O1187" i="3"/>
  <c r="N1186" i="3"/>
  <c r="O1186" i="3"/>
  <c r="N1185" i="3"/>
  <c r="O1185" i="3"/>
  <c r="N1184" i="3"/>
  <c r="O1184" i="3"/>
  <c r="N1183" i="3"/>
  <c r="O1183" i="3"/>
  <c r="N1182" i="3"/>
  <c r="O1182" i="3"/>
  <c r="N1181" i="3"/>
  <c r="O1181" i="3"/>
  <c r="N1180" i="3"/>
  <c r="O1180" i="3"/>
  <c r="N1179" i="3"/>
  <c r="O1179" i="3"/>
  <c r="N1178" i="3"/>
  <c r="O1178" i="3"/>
  <c r="N1177" i="3"/>
  <c r="O1177" i="3"/>
  <c r="N1176" i="3"/>
  <c r="O1176" i="3"/>
  <c r="N1175" i="3"/>
  <c r="O1175" i="3"/>
  <c r="N1174" i="3"/>
  <c r="O1174" i="3"/>
  <c r="N1173" i="3"/>
  <c r="O1173" i="3"/>
  <c r="N1172" i="3"/>
  <c r="O1172" i="3"/>
  <c r="N1171" i="3"/>
  <c r="O1171" i="3"/>
  <c r="N1170" i="3"/>
  <c r="O1170" i="3"/>
  <c r="N1169" i="3"/>
  <c r="O1169" i="3"/>
  <c r="N1168" i="3"/>
  <c r="O1168" i="3"/>
  <c r="N1167" i="3"/>
  <c r="O1167" i="3"/>
  <c r="N1166" i="3"/>
  <c r="O1166" i="3"/>
  <c r="N1165" i="3"/>
  <c r="O1165" i="3"/>
  <c r="N1164" i="3"/>
  <c r="O1164" i="3"/>
  <c r="N1163" i="3"/>
  <c r="O1163" i="3"/>
  <c r="N1162" i="3"/>
  <c r="O1162" i="3"/>
  <c r="N1161" i="3"/>
  <c r="O1161" i="3"/>
  <c r="N1160" i="3"/>
  <c r="O1160" i="3"/>
  <c r="N1159" i="3"/>
  <c r="O1159" i="3"/>
  <c r="N1158" i="3"/>
  <c r="O1158" i="3"/>
  <c r="N1157" i="3"/>
  <c r="O1157" i="3"/>
  <c r="N1156" i="3"/>
  <c r="O1156" i="3"/>
  <c r="N1155" i="3"/>
  <c r="O1155" i="3"/>
  <c r="N1154" i="3"/>
  <c r="O1154" i="3"/>
  <c r="N1153" i="3"/>
  <c r="O1153" i="3"/>
  <c r="N1152" i="3"/>
  <c r="O1152" i="3"/>
  <c r="N1151" i="3"/>
  <c r="O1151" i="3"/>
  <c r="N1150" i="3"/>
  <c r="O1150" i="3"/>
  <c r="N1149" i="3"/>
  <c r="O1149" i="3"/>
  <c r="N1148" i="3"/>
  <c r="O1148" i="3"/>
  <c r="N1147" i="3"/>
  <c r="O1147" i="3"/>
  <c r="N1146" i="3"/>
  <c r="O1146" i="3"/>
  <c r="N1145" i="3"/>
  <c r="O1145" i="3"/>
  <c r="N1144" i="3"/>
  <c r="O1144" i="3"/>
  <c r="N1143" i="3"/>
  <c r="O1143" i="3"/>
  <c r="N1142" i="3"/>
  <c r="O1142" i="3"/>
  <c r="N1141" i="3"/>
  <c r="O1141" i="3"/>
  <c r="N1140" i="3"/>
  <c r="O1140" i="3"/>
  <c r="N1139" i="3"/>
  <c r="O1139" i="3"/>
  <c r="N1138" i="3"/>
  <c r="O1138" i="3"/>
  <c r="N1137" i="3"/>
  <c r="O1137" i="3"/>
  <c r="N1136" i="3"/>
  <c r="O1136" i="3"/>
  <c r="N1135" i="3"/>
  <c r="O1135" i="3"/>
  <c r="N1134" i="3"/>
  <c r="O1134" i="3"/>
  <c r="N1133" i="3"/>
  <c r="O1133" i="3"/>
  <c r="N1132" i="3"/>
  <c r="O1132" i="3"/>
  <c r="N1131" i="3"/>
  <c r="O1131" i="3"/>
  <c r="N1130" i="3"/>
  <c r="O1130" i="3"/>
  <c r="N1129" i="3"/>
  <c r="O1129" i="3"/>
  <c r="N1128" i="3"/>
  <c r="O1128" i="3"/>
  <c r="N1127" i="3"/>
  <c r="O1127" i="3"/>
  <c r="N1126" i="3"/>
  <c r="O1126" i="3"/>
  <c r="N1125" i="3"/>
  <c r="O1125" i="3"/>
  <c r="N1124" i="3"/>
  <c r="O1124" i="3"/>
  <c r="N1123" i="3"/>
  <c r="O1123" i="3"/>
  <c r="N1122" i="3"/>
  <c r="O1122" i="3"/>
  <c r="N1121" i="3"/>
  <c r="O1121" i="3"/>
  <c r="N1120" i="3"/>
  <c r="O1120" i="3"/>
  <c r="N1119" i="3"/>
  <c r="O1119" i="3"/>
  <c r="N1118" i="3"/>
  <c r="O1118" i="3"/>
  <c r="N1117" i="3"/>
  <c r="O1117" i="3"/>
  <c r="N1116" i="3"/>
  <c r="O1116" i="3"/>
  <c r="N1115" i="3"/>
  <c r="O1115" i="3"/>
  <c r="N1114" i="3"/>
  <c r="O1114" i="3"/>
  <c r="N1113" i="3"/>
  <c r="O1113" i="3"/>
  <c r="N1112" i="3"/>
  <c r="O1112" i="3"/>
  <c r="N1111" i="3"/>
  <c r="O1111" i="3"/>
  <c r="N1110" i="3"/>
  <c r="O1110" i="3"/>
  <c r="N1109" i="3"/>
  <c r="O1109" i="3"/>
  <c r="N1108" i="3"/>
  <c r="O1108" i="3"/>
  <c r="N1107" i="3"/>
  <c r="O1107" i="3"/>
  <c r="N1106" i="3"/>
  <c r="O1106" i="3"/>
  <c r="N1105" i="3"/>
  <c r="O1105" i="3"/>
  <c r="N1104" i="3"/>
  <c r="O1104" i="3"/>
  <c r="N1103" i="3"/>
  <c r="O1103" i="3"/>
  <c r="N1102" i="3"/>
  <c r="O1102" i="3"/>
  <c r="N1101" i="3"/>
  <c r="O1101" i="3"/>
  <c r="N1100" i="3"/>
  <c r="O1100" i="3"/>
  <c r="N1099" i="3"/>
  <c r="O1099" i="3"/>
  <c r="N1098" i="3"/>
  <c r="O1098" i="3"/>
  <c r="N1097" i="3"/>
  <c r="O1097" i="3"/>
  <c r="N1096" i="3"/>
  <c r="O1096" i="3"/>
  <c r="N1095" i="3"/>
  <c r="O1095" i="3"/>
  <c r="N1094" i="3"/>
  <c r="O1094" i="3"/>
  <c r="N1093" i="3"/>
  <c r="O1093" i="3"/>
  <c r="N1092" i="3"/>
  <c r="O1092" i="3"/>
  <c r="N1091" i="3"/>
  <c r="O1091" i="3"/>
  <c r="N1090" i="3"/>
  <c r="O1090" i="3"/>
  <c r="N1089" i="3"/>
  <c r="O1089" i="3"/>
  <c r="N1088" i="3"/>
  <c r="O1088" i="3"/>
  <c r="N1087" i="3"/>
  <c r="O1087" i="3"/>
  <c r="N1086" i="3"/>
  <c r="O1086" i="3"/>
  <c r="N1085" i="3"/>
  <c r="O1085" i="3"/>
  <c r="N1084" i="3"/>
  <c r="O1084" i="3"/>
  <c r="N1083" i="3"/>
  <c r="O1083" i="3"/>
  <c r="N1082" i="3"/>
  <c r="O1082" i="3"/>
  <c r="N1081" i="3"/>
  <c r="O1081" i="3"/>
  <c r="N1080" i="3"/>
  <c r="O1080" i="3"/>
  <c r="N1079" i="3"/>
  <c r="O1079" i="3"/>
  <c r="N1078" i="3"/>
  <c r="O1078" i="3"/>
  <c r="N1077" i="3"/>
  <c r="O1077" i="3"/>
  <c r="N1076" i="3"/>
  <c r="O1076" i="3"/>
  <c r="N1075" i="3"/>
  <c r="O1075" i="3"/>
  <c r="N1074" i="3"/>
  <c r="O1074" i="3"/>
  <c r="N1073" i="3"/>
  <c r="O1073" i="3"/>
  <c r="N1072" i="3"/>
  <c r="O1072" i="3"/>
  <c r="N1071" i="3"/>
  <c r="O1071" i="3"/>
  <c r="N1070" i="3"/>
  <c r="O1070" i="3"/>
  <c r="N1069" i="3"/>
  <c r="O1069" i="3"/>
  <c r="N1068" i="3"/>
  <c r="O1068" i="3"/>
  <c r="N1067" i="3"/>
  <c r="O1067" i="3"/>
  <c r="N1066" i="3"/>
  <c r="O1066" i="3"/>
  <c r="N1065" i="3"/>
  <c r="O1065" i="3"/>
  <c r="N1064" i="3"/>
  <c r="O1064" i="3"/>
  <c r="N1063" i="3"/>
  <c r="O1063" i="3"/>
  <c r="N1062" i="3"/>
  <c r="O1062" i="3"/>
  <c r="N1061" i="3"/>
  <c r="O1061" i="3"/>
  <c r="N1060" i="3"/>
  <c r="O1060" i="3"/>
  <c r="N1059" i="3"/>
  <c r="O1059" i="3"/>
  <c r="N1058" i="3"/>
  <c r="O1058" i="3"/>
  <c r="N1057" i="3"/>
  <c r="O1057" i="3"/>
  <c r="N1056" i="3"/>
  <c r="O1056" i="3"/>
  <c r="N1055" i="3"/>
  <c r="O1055" i="3"/>
  <c r="N1054" i="3"/>
  <c r="O1054" i="3"/>
  <c r="N1053" i="3"/>
  <c r="O1053" i="3"/>
  <c r="N1052" i="3"/>
  <c r="O1052" i="3"/>
  <c r="N1051" i="3"/>
  <c r="O1051" i="3"/>
  <c r="N1050" i="3"/>
  <c r="O1050" i="3"/>
  <c r="N1049" i="3"/>
  <c r="O1049" i="3"/>
  <c r="N1048" i="3"/>
  <c r="O1048" i="3"/>
  <c r="N1047" i="3"/>
  <c r="O1047" i="3"/>
  <c r="N1046" i="3"/>
  <c r="O1046" i="3"/>
  <c r="N1045" i="3"/>
  <c r="O1045" i="3"/>
  <c r="N1044" i="3"/>
  <c r="O1044" i="3"/>
  <c r="N1043" i="3"/>
  <c r="O1043" i="3"/>
  <c r="N1042" i="3"/>
  <c r="O1042" i="3"/>
  <c r="N1041" i="3"/>
  <c r="O1041" i="3"/>
  <c r="N1040" i="3"/>
  <c r="O1040" i="3"/>
  <c r="N1039" i="3"/>
  <c r="O1039" i="3"/>
  <c r="N1038" i="3"/>
  <c r="O1038" i="3"/>
  <c r="N1037" i="3"/>
  <c r="O1037" i="3"/>
  <c r="N1036" i="3"/>
  <c r="O1036" i="3"/>
  <c r="N1035" i="3"/>
  <c r="O1035" i="3"/>
  <c r="N1034" i="3"/>
  <c r="O1034" i="3"/>
  <c r="N1033" i="3"/>
  <c r="O1033" i="3"/>
  <c r="N1032" i="3"/>
  <c r="O1032" i="3"/>
  <c r="N1031" i="3"/>
  <c r="O1031" i="3"/>
  <c r="N1030" i="3"/>
  <c r="O1030" i="3"/>
  <c r="N1029" i="3"/>
  <c r="O1029" i="3"/>
  <c r="N1028" i="3"/>
  <c r="O1028" i="3"/>
  <c r="N1027" i="3"/>
  <c r="O1027" i="3"/>
  <c r="N1026" i="3"/>
  <c r="O1026" i="3"/>
  <c r="N1025" i="3"/>
  <c r="O1025" i="3"/>
  <c r="N1024" i="3"/>
  <c r="O1024" i="3"/>
  <c r="N1023" i="3"/>
  <c r="O1023" i="3"/>
  <c r="N1022" i="3"/>
  <c r="O1022" i="3"/>
  <c r="N1021" i="3"/>
  <c r="O1021" i="3"/>
  <c r="N1020" i="3"/>
  <c r="O1020" i="3"/>
  <c r="N1019" i="3"/>
  <c r="O1019" i="3"/>
  <c r="N1018" i="3"/>
  <c r="O1018" i="3"/>
  <c r="N1017" i="3"/>
  <c r="O1017" i="3"/>
  <c r="N1016" i="3"/>
  <c r="O1016" i="3"/>
  <c r="N1015" i="3"/>
  <c r="O1015" i="3"/>
  <c r="N1014" i="3"/>
  <c r="O1014" i="3"/>
  <c r="N1013" i="3"/>
  <c r="O1013" i="3"/>
  <c r="N1012" i="3"/>
  <c r="O1012" i="3"/>
  <c r="N1011" i="3"/>
  <c r="O1011" i="3"/>
  <c r="N1010" i="3"/>
  <c r="O1010" i="3"/>
  <c r="N1009" i="3"/>
  <c r="O1009" i="3"/>
  <c r="N1008" i="3"/>
  <c r="O1008" i="3"/>
  <c r="N1007" i="3"/>
  <c r="O1007" i="3"/>
  <c r="N1006" i="3"/>
  <c r="O1006" i="3"/>
  <c r="N1005" i="3"/>
  <c r="O1005" i="3"/>
  <c r="N1004" i="3"/>
  <c r="O1004" i="3"/>
  <c r="N1003" i="3"/>
  <c r="O1003" i="3"/>
  <c r="N1002" i="3"/>
  <c r="O1002" i="3"/>
  <c r="N1001" i="3"/>
  <c r="O1001" i="3"/>
  <c r="N1000" i="3"/>
  <c r="O1000" i="3"/>
  <c r="N999" i="3"/>
  <c r="O999" i="3"/>
  <c r="N998" i="3"/>
  <c r="O998" i="3"/>
  <c r="N997" i="3"/>
  <c r="O997" i="3"/>
  <c r="N996" i="3"/>
  <c r="O996" i="3"/>
  <c r="N995" i="3"/>
  <c r="O995" i="3"/>
  <c r="N994" i="3"/>
  <c r="O994" i="3"/>
  <c r="N993" i="3"/>
  <c r="O993" i="3"/>
  <c r="N992" i="3"/>
  <c r="O992" i="3"/>
  <c r="N991" i="3"/>
  <c r="O991" i="3"/>
  <c r="N990" i="3"/>
  <c r="O990" i="3"/>
  <c r="N989" i="3"/>
  <c r="O989" i="3"/>
  <c r="N988" i="3"/>
  <c r="O988" i="3"/>
  <c r="N987" i="3"/>
  <c r="O987" i="3"/>
  <c r="N986" i="3"/>
  <c r="O986" i="3"/>
  <c r="N985" i="3"/>
  <c r="O985" i="3"/>
  <c r="N984" i="3"/>
  <c r="O984" i="3"/>
  <c r="N983" i="3"/>
  <c r="O983" i="3"/>
  <c r="N982" i="3"/>
  <c r="O982" i="3"/>
  <c r="N981" i="3"/>
  <c r="O981" i="3"/>
  <c r="N980" i="3"/>
  <c r="O980" i="3"/>
  <c r="N979" i="3"/>
  <c r="O979" i="3"/>
  <c r="N978" i="3"/>
  <c r="O978" i="3"/>
  <c r="N977" i="3"/>
  <c r="O977" i="3"/>
  <c r="N976" i="3"/>
  <c r="O976" i="3"/>
  <c r="N975" i="3"/>
  <c r="O975" i="3"/>
  <c r="N974" i="3"/>
  <c r="O974" i="3"/>
  <c r="N973" i="3"/>
  <c r="O973" i="3"/>
  <c r="N972" i="3"/>
  <c r="O972" i="3"/>
  <c r="N971" i="3"/>
  <c r="O971" i="3"/>
  <c r="N970" i="3"/>
  <c r="O970" i="3"/>
  <c r="N969" i="3"/>
  <c r="O969" i="3"/>
  <c r="N968" i="3"/>
  <c r="O968" i="3"/>
  <c r="N967" i="3"/>
  <c r="O967" i="3"/>
  <c r="N966" i="3"/>
  <c r="O966" i="3"/>
  <c r="N965" i="3"/>
  <c r="O965" i="3"/>
  <c r="N964" i="3"/>
  <c r="O964" i="3"/>
  <c r="N963" i="3"/>
  <c r="O963" i="3"/>
  <c r="N962" i="3"/>
  <c r="O962" i="3"/>
  <c r="N961" i="3"/>
  <c r="O961" i="3"/>
  <c r="N960" i="3"/>
  <c r="O960" i="3"/>
  <c r="N959" i="3"/>
  <c r="O959" i="3"/>
  <c r="N958" i="3"/>
  <c r="O958" i="3"/>
  <c r="N957" i="3"/>
  <c r="O957" i="3"/>
  <c r="N956" i="3"/>
  <c r="O956" i="3"/>
  <c r="N955" i="3"/>
  <c r="O955" i="3"/>
  <c r="N954" i="3"/>
  <c r="O954" i="3"/>
  <c r="N953" i="3"/>
  <c r="O953" i="3"/>
  <c r="N952" i="3"/>
  <c r="O952" i="3"/>
  <c r="N951" i="3"/>
  <c r="O951" i="3"/>
  <c r="N950" i="3"/>
  <c r="O950" i="3"/>
  <c r="N949" i="3"/>
  <c r="O949" i="3"/>
  <c r="N948" i="3"/>
  <c r="O948" i="3"/>
  <c r="N947" i="3"/>
  <c r="O947" i="3"/>
  <c r="N946" i="3"/>
  <c r="O946" i="3"/>
  <c r="N945" i="3"/>
  <c r="O945" i="3"/>
  <c r="N944" i="3"/>
  <c r="O944" i="3"/>
  <c r="N943" i="3"/>
  <c r="O943" i="3"/>
  <c r="N942" i="3"/>
  <c r="O942" i="3"/>
  <c r="N941" i="3"/>
  <c r="O941" i="3"/>
  <c r="N940" i="3"/>
  <c r="O940" i="3"/>
  <c r="N939" i="3"/>
  <c r="O939" i="3"/>
  <c r="N938" i="3"/>
  <c r="O938" i="3"/>
  <c r="N937" i="3"/>
  <c r="O937" i="3"/>
  <c r="N936" i="3"/>
  <c r="O936" i="3"/>
  <c r="N935" i="3"/>
  <c r="O935" i="3"/>
  <c r="N934" i="3"/>
  <c r="O934" i="3"/>
  <c r="N933" i="3"/>
  <c r="O933" i="3"/>
  <c r="N932" i="3"/>
  <c r="O932" i="3"/>
  <c r="N931" i="3"/>
  <c r="O931" i="3"/>
  <c r="N930" i="3"/>
  <c r="O930" i="3"/>
  <c r="N929" i="3"/>
  <c r="O929" i="3"/>
  <c r="N928" i="3"/>
  <c r="O928" i="3"/>
  <c r="N927" i="3"/>
  <c r="O927" i="3"/>
  <c r="N926" i="3"/>
  <c r="O926" i="3"/>
  <c r="N925" i="3"/>
  <c r="O925" i="3"/>
  <c r="N924" i="3"/>
  <c r="O924" i="3"/>
  <c r="N923" i="3"/>
  <c r="O923" i="3"/>
  <c r="N922" i="3"/>
  <c r="O922" i="3"/>
  <c r="N921" i="3"/>
  <c r="O921" i="3"/>
  <c r="N920" i="3"/>
  <c r="O920" i="3"/>
  <c r="N919" i="3"/>
  <c r="O919" i="3"/>
  <c r="N918" i="3"/>
  <c r="O918" i="3"/>
  <c r="N917" i="3"/>
  <c r="O917" i="3"/>
  <c r="N916" i="3"/>
  <c r="O916" i="3"/>
  <c r="N915" i="3"/>
  <c r="O915" i="3"/>
  <c r="N914" i="3"/>
  <c r="O914" i="3"/>
  <c r="N913" i="3"/>
  <c r="O913" i="3"/>
  <c r="N912" i="3"/>
  <c r="O912" i="3"/>
  <c r="N911" i="3"/>
  <c r="O911" i="3"/>
  <c r="N910" i="3"/>
  <c r="O910" i="3"/>
  <c r="N909" i="3"/>
  <c r="O909" i="3"/>
  <c r="N908" i="3"/>
  <c r="O908" i="3"/>
  <c r="N907" i="3"/>
  <c r="O907" i="3"/>
  <c r="N906" i="3"/>
  <c r="O906" i="3"/>
  <c r="N905" i="3"/>
  <c r="O905" i="3"/>
  <c r="N904" i="3"/>
  <c r="O904" i="3"/>
  <c r="N903" i="3"/>
  <c r="O903" i="3"/>
  <c r="N902" i="3"/>
  <c r="O902" i="3"/>
  <c r="N901" i="3"/>
  <c r="O901" i="3"/>
  <c r="N900" i="3"/>
  <c r="O900" i="3"/>
  <c r="N899" i="3"/>
  <c r="O899" i="3"/>
  <c r="N898" i="3"/>
  <c r="O898" i="3"/>
  <c r="N897" i="3"/>
  <c r="O897" i="3"/>
  <c r="N896" i="3"/>
  <c r="O896" i="3"/>
  <c r="N895" i="3"/>
  <c r="O895" i="3"/>
  <c r="N894" i="3"/>
  <c r="O894" i="3"/>
  <c r="N893" i="3"/>
  <c r="O893" i="3"/>
  <c r="N892" i="3"/>
  <c r="O892" i="3"/>
  <c r="N891" i="3"/>
  <c r="O891" i="3"/>
  <c r="N890" i="3"/>
  <c r="O890" i="3"/>
  <c r="N889" i="3"/>
  <c r="O889" i="3"/>
  <c r="N888" i="3"/>
  <c r="O888" i="3"/>
  <c r="N887" i="3"/>
  <c r="O887" i="3"/>
  <c r="N886" i="3"/>
  <c r="O886" i="3"/>
  <c r="N885" i="3"/>
  <c r="O885" i="3"/>
  <c r="N884" i="3"/>
  <c r="O884" i="3"/>
  <c r="N883" i="3"/>
  <c r="O883" i="3"/>
  <c r="N882" i="3"/>
  <c r="O882" i="3"/>
  <c r="N881" i="3"/>
  <c r="O881" i="3"/>
  <c r="N880" i="3"/>
  <c r="O880" i="3"/>
  <c r="N879" i="3"/>
  <c r="O879" i="3"/>
  <c r="N878" i="3"/>
  <c r="O878" i="3"/>
  <c r="N877" i="3"/>
  <c r="O877" i="3"/>
  <c r="N876" i="3"/>
  <c r="O876" i="3"/>
  <c r="N875" i="3"/>
  <c r="O875" i="3"/>
  <c r="N874" i="3"/>
  <c r="O874" i="3"/>
  <c r="N873" i="3"/>
  <c r="O873" i="3"/>
  <c r="N872" i="3"/>
  <c r="O872" i="3"/>
  <c r="N871" i="3"/>
  <c r="O871" i="3"/>
  <c r="N870" i="3"/>
  <c r="O870" i="3"/>
  <c r="N869" i="3"/>
  <c r="O869" i="3"/>
  <c r="N868" i="3"/>
  <c r="O868" i="3"/>
  <c r="N867" i="3"/>
  <c r="O867" i="3"/>
  <c r="N866" i="3"/>
  <c r="O866" i="3"/>
  <c r="N865" i="3"/>
  <c r="O865" i="3"/>
  <c r="N864" i="3"/>
  <c r="O864" i="3"/>
  <c r="N863" i="3"/>
  <c r="O863" i="3"/>
  <c r="N862" i="3"/>
  <c r="O862" i="3"/>
  <c r="N861" i="3"/>
  <c r="O861" i="3"/>
  <c r="N860" i="3"/>
  <c r="O860" i="3"/>
  <c r="N859" i="3"/>
  <c r="O859" i="3"/>
  <c r="N858" i="3"/>
  <c r="O858" i="3"/>
  <c r="N857" i="3"/>
  <c r="O857" i="3"/>
  <c r="N856" i="3"/>
  <c r="O856" i="3"/>
  <c r="N855" i="3"/>
  <c r="O855" i="3"/>
  <c r="N854" i="3"/>
  <c r="O854" i="3"/>
  <c r="N853" i="3"/>
  <c r="O853" i="3"/>
  <c r="N852" i="3"/>
  <c r="O852" i="3"/>
  <c r="N851" i="3"/>
  <c r="O851" i="3"/>
  <c r="N850" i="3"/>
  <c r="O850" i="3"/>
  <c r="N849" i="3"/>
  <c r="O849" i="3"/>
  <c r="N848" i="3"/>
  <c r="O848" i="3"/>
  <c r="N847" i="3"/>
  <c r="O847" i="3"/>
  <c r="N846" i="3"/>
  <c r="O846" i="3"/>
  <c r="N845" i="3"/>
  <c r="O845" i="3"/>
  <c r="N844" i="3"/>
  <c r="O844" i="3"/>
  <c r="N843" i="3"/>
  <c r="O843" i="3"/>
  <c r="N842" i="3"/>
  <c r="O842" i="3"/>
  <c r="N841" i="3"/>
  <c r="O841" i="3"/>
  <c r="N840" i="3"/>
  <c r="O840" i="3"/>
  <c r="N839" i="3"/>
  <c r="O839" i="3"/>
  <c r="N838" i="3"/>
  <c r="O838" i="3"/>
  <c r="N837" i="3"/>
  <c r="O837" i="3"/>
  <c r="N836" i="3"/>
  <c r="O836" i="3"/>
  <c r="N835" i="3"/>
  <c r="O835" i="3"/>
  <c r="N834" i="3"/>
  <c r="O834" i="3"/>
  <c r="N833" i="3"/>
  <c r="O833" i="3"/>
  <c r="N832" i="3"/>
  <c r="O832" i="3"/>
  <c r="N831" i="3"/>
  <c r="O831" i="3"/>
  <c r="N830" i="3"/>
  <c r="O830" i="3"/>
  <c r="N829" i="3"/>
  <c r="O829" i="3"/>
  <c r="N828" i="3"/>
  <c r="O828" i="3"/>
  <c r="N827" i="3"/>
  <c r="O827" i="3"/>
  <c r="N826" i="3"/>
  <c r="O826" i="3"/>
  <c r="N825" i="3"/>
  <c r="O825" i="3"/>
  <c r="N824" i="3"/>
  <c r="O824" i="3"/>
  <c r="N823" i="3"/>
  <c r="O823" i="3"/>
  <c r="N822" i="3"/>
  <c r="O822" i="3"/>
  <c r="N821" i="3"/>
  <c r="O821" i="3"/>
  <c r="N820" i="3"/>
  <c r="O820" i="3"/>
  <c r="N819" i="3"/>
  <c r="O819" i="3"/>
  <c r="N818" i="3"/>
  <c r="O818" i="3"/>
  <c r="N817" i="3"/>
  <c r="O817" i="3"/>
  <c r="N816" i="3"/>
  <c r="O816" i="3"/>
  <c r="N815" i="3"/>
  <c r="O815" i="3"/>
  <c r="N814" i="3"/>
  <c r="O814" i="3"/>
  <c r="N813" i="3"/>
  <c r="O813" i="3"/>
  <c r="N812" i="3"/>
  <c r="O812" i="3"/>
  <c r="N811" i="3"/>
  <c r="O811" i="3"/>
  <c r="N810" i="3"/>
  <c r="O810" i="3"/>
  <c r="N809" i="3"/>
  <c r="O809" i="3"/>
  <c r="N808" i="3"/>
  <c r="O808" i="3"/>
  <c r="N807" i="3"/>
  <c r="O807" i="3"/>
  <c r="N806" i="3"/>
  <c r="O806" i="3"/>
  <c r="N805" i="3"/>
  <c r="O805" i="3"/>
  <c r="N804" i="3"/>
  <c r="O804" i="3"/>
  <c r="N803" i="3"/>
  <c r="O803" i="3"/>
  <c r="N802" i="3"/>
  <c r="O802" i="3"/>
  <c r="N801" i="3"/>
  <c r="O801" i="3"/>
  <c r="N800" i="3"/>
  <c r="O800" i="3"/>
  <c r="N799" i="3"/>
  <c r="O799" i="3"/>
  <c r="N798" i="3"/>
  <c r="O798" i="3"/>
  <c r="N797" i="3"/>
  <c r="O797" i="3"/>
  <c r="N796" i="3"/>
  <c r="O796" i="3"/>
  <c r="N795" i="3"/>
  <c r="O795" i="3"/>
  <c r="N794" i="3"/>
  <c r="O794" i="3"/>
  <c r="N793" i="3"/>
  <c r="O793" i="3"/>
  <c r="N792" i="3"/>
  <c r="O792" i="3"/>
  <c r="N791" i="3"/>
  <c r="O791" i="3"/>
  <c r="N790" i="3"/>
  <c r="O790" i="3"/>
  <c r="N789" i="3"/>
  <c r="O789" i="3"/>
  <c r="N788" i="3"/>
  <c r="O788" i="3"/>
  <c r="N787" i="3"/>
  <c r="O787" i="3"/>
  <c r="N786" i="3"/>
  <c r="O786" i="3"/>
  <c r="N785" i="3"/>
  <c r="O785" i="3"/>
  <c r="N784" i="3"/>
  <c r="O784" i="3"/>
  <c r="N783" i="3"/>
  <c r="O783" i="3"/>
  <c r="N782" i="3"/>
  <c r="O782" i="3"/>
  <c r="N781" i="3"/>
  <c r="O781" i="3"/>
  <c r="N780" i="3"/>
  <c r="O780" i="3"/>
  <c r="N779" i="3"/>
  <c r="O779" i="3"/>
  <c r="N778" i="3"/>
  <c r="O778" i="3"/>
  <c r="N777" i="3"/>
  <c r="O777" i="3"/>
  <c r="N776" i="3"/>
  <c r="O776" i="3"/>
  <c r="N775" i="3"/>
  <c r="O775" i="3"/>
  <c r="N774" i="3"/>
  <c r="O774" i="3"/>
  <c r="N773" i="3"/>
  <c r="O773" i="3"/>
  <c r="N772" i="3"/>
  <c r="O772" i="3"/>
  <c r="N771" i="3"/>
  <c r="O771" i="3"/>
  <c r="N770" i="3"/>
  <c r="O770" i="3"/>
  <c r="N769" i="3"/>
  <c r="O769" i="3"/>
  <c r="N768" i="3"/>
  <c r="O768" i="3"/>
  <c r="N767" i="3"/>
  <c r="O767" i="3"/>
  <c r="N766" i="3"/>
  <c r="O766" i="3"/>
  <c r="N765" i="3"/>
  <c r="O765" i="3"/>
  <c r="N764" i="3"/>
  <c r="O764" i="3"/>
  <c r="N763" i="3"/>
  <c r="O763" i="3"/>
  <c r="N762" i="3"/>
  <c r="O762" i="3"/>
  <c r="N761" i="3"/>
  <c r="O761" i="3"/>
  <c r="N760" i="3"/>
  <c r="O760" i="3"/>
  <c r="N759" i="3"/>
  <c r="O759" i="3"/>
  <c r="N758" i="3"/>
  <c r="O758" i="3"/>
  <c r="N757" i="3"/>
  <c r="O757" i="3"/>
  <c r="N756" i="3"/>
  <c r="O756" i="3"/>
  <c r="N755" i="3"/>
  <c r="O755" i="3"/>
  <c r="N754" i="3"/>
  <c r="O754" i="3"/>
  <c r="N753" i="3"/>
  <c r="O753" i="3"/>
  <c r="N752" i="3"/>
  <c r="O752" i="3"/>
  <c r="N751" i="3"/>
  <c r="O751" i="3"/>
  <c r="N750" i="3"/>
  <c r="O750" i="3"/>
  <c r="N749" i="3"/>
  <c r="O749" i="3"/>
  <c r="N748" i="3"/>
  <c r="O748" i="3"/>
  <c r="N747" i="3"/>
  <c r="O747" i="3"/>
  <c r="N746" i="3"/>
  <c r="O746" i="3"/>
  <c r="N745" i="3"/>
  <c r="O745" i="3"/>
  <c r="N744" i="3"/>
  <c r="O744" i="3"/>
  <c r="N743" i="3"/>
  <c r="O743" i="3"/>
  <c r="N742" i="3"/>
  <c r="O742" i="3"/>
  <c r="N741" i="3"/>
  <c r="O741" i="3"/>
  <c r="N740" i="3"/>
  <c r="O740" i="3"/>
  <c r="N739" i="3"/>
  <c r="O739" i="3"/>
  <c r="N738" i="3"/>
  <c r="O738" i="3"/>
  <c r="N737" i="3"/>
  <c r="O737" i="3"/>
  <c r="N736" i="3"/>
  <c r="O736" i="3"/>
  <c r="N735" i="3"/>
  <c r="O735" i="3"/>
  <c r="N734" i="3"/>
  <c r="O734" i="3"/>
  <c r="N733" i="3"/>
  <c r="O733" i="3"/>
  <c r="N732" i="3"/>
  <c r="O732" i="3"/>
  <c r="N731" i="3"/>
  <c r="O731" i="3"/>
  <c r="N730" i="3"/>
  <c r="O730" i="3"/>
  <c r="N729" i="3"/>
  <c r="O729" i="3"/>
  <c r="N728" i="3"/>
  <c r="O728" i="3"/>
  <c r="N727" i="3"/>
  <c r="O727" i="3"/>
  <c r="N726" i="3"/>
  <c r="O726" i="3"/>
  <c r="N725" i="3"/>
  <c r="O725" i="3"/>
  <c r="N724" i="3"/>
  <c r="O724" i="3"/>
  <c r="N723" i="3"/>
  <c r="O723" i="3"/>
  <c r="N722" i="3"/>
  <c r="O722" i="3"/>
  <c r="N721" i="3"/>
  <c r="O721" i="3"/>
  <c r="N720" i="3"/>
  <c r="O720" i="3"/>
  <c r="N719" i="3"/>
  <c r="O719" i="3"/>
  <c r="N718" i="3"/>
  <c r="O718" i="3"/>
  <c r="N717" i="3"/>
  <c r="O717" i="3"/>
  <c r="N716" i="3"/>
  <c r="O716" i="3"/>
  <c r="N715" i="3"/>
  <c r="O715" i="3"/>
  <c r="N714" i="3"/>
  <c r="O714" i="3"/>
  <c r="N713" i="3"/>
  <c r="O713" i="3"/>
  <c r="N712" i="3"/>
  <c r="O712" i="3"/>
  <c r="N711" i="3"/>
  <c r="O711" i="3"/>
  <c r="N710" i="3"/>
  <c r="O710" i="3"/>
  <c r="N709" i="3"/>
  <c r="O709" i="3"/>
  <c r="N708" i="3"/>
  <c r="O708" i="3"/>
  <c r="N707" i="3"/>
  <c r="O707" i="3"/>
  <c r="N706" i="3"/>
  <c r="O706" i="3"/>
  <c r="N705" i="3"/>
  <c r="O705" i="3"/>
  <c r="N704" i="3"/>
  <c r="O704" i="3"/>
  <c r="N703" i="3"/>
  <c r="O703" i="3"/>
  <c r="N702" i="3"/>
  <c r="O702" i="3"/>
  <c r="N701" i="3"/>
  <c r="O701" i="3"/>
  <c r="N700" i="3"/>
  <c r="O700" i="3"/>
  <c r="N699" i="3"/>
  <c r="O699" i="3"/>
  <c r="N698" i="3"/>
  <c r="O698" i="3"/>
  <c r="N697" i="3"/>
  <c r="O697" i="3"/>
  <c r="N696" i="3"/>
  <c r="O696" i="3"/>
  <c r="N695" i="3"/>
  <c r="O695" i="3"/>
  <c r="N694" i="3"/>
  <c r="O694" i="3"/>
  <c r="N693" i="3"/>
  <c r="O693" i="3"/>
  <c r="N692" i="3"/>
  <c r="O692" i="3"/>
  <c r="N691" i="3"/>
  <c r="O691" i="3"/>
  <c r="N690" i="3"/>
  <c r="O690" i="3"/>
  <c r="N689" i="3"/>
  <c r="O689" i="3"/>
  <c r="N688" i="3"/>
  <c r="O688" i="3"/>
  <c r="N687" i="3"/>
  <c r="O687" i="3"/>
  <c r="N686" i="3"/>
  <c r="O686" i="3"/>
  <c r="N685" i="3"/>
  <c r="O685" i="3"/>
  <c r="N684" i="3"/>
  <c r="O684" i="3"/>
  <c r="N683" i="3"/>
  <c r="O683" i="3"/>
  <c r="N682" i="3"/>
  <c r="O682" i="3"/>
  <c r="N681" i="3"/>
  <c r="O681" i="3"/>
  <c r="N680" i="3"/>
  <c r="O680" i="3"/>
  <c r="N679" i="3"/>
  <c r="O679" i="3"/>
  <c r="N678" i="3"/>
  <c r="O678" i="3"/>
  <c r="N677" i="3"/>
  <c r="O677" i="3"/>
  <c r="N676" i="3"/>
  <c r="O676" i="3"/>
  <c r="N675" i="3"/>
  <c r="O675" i="3"/>
  <c r="N674" i="3"/>
  <c r="O674" i="3"/>
  <c r="N673" i="3"/>
  <c r="O673" i="3"/>
  <c r="N672" i="3"/>
  <c r="O672" i="3"/>
  <c r="N671" i="3"/>
  <c r="O671" i="3"/>
  <c r="N670" i="3"/>
  <c r="O670" i="3"/>
  <c r="N669" i="3"/>
  <c r="O669" i="3"/>
  <c r="N668" i="3"/>
  <c r="O668" i="3"/>
  <c r="N667" i="3"/>
  <c r="O667" i="3"/>
  <c r="N666" i="3"/>
  <c r="O666" i="3"/>
  <c r="N665" i="3"/>
  <c r="O665" i="3"/>
  <c r="N664" i="3"/>
  <c r="O664" i="3"/>
  <c r="N663" i="3"/>
  <c r="O663" i="3"/>
  <c r="N662" i="3"/>
  <c r="O662" i="3"/>
  <c r="N661" i="3"/>
  <c r="O661" i="3"/>
  <c r="N660" i="3"/>
  <c r="O660" i="3"/>
  <c r="N659" i="3"/>
  <c r="O659" i="3"/>
  <c r="N658" i="3"/>
  <c r="O658" i="3"/>
  <c r="N657" i="3"/>
  <c r="O657" i="3"/>
  <c r="N656" i="3"/>
  <c r="O656" i="3"/>
  <c r="N655" i="3"/>
  <c r="O655" i="3"/>
  <c r="N654" i="3"/>
  <c r="O654" i="3"/>
  <c r="N653" i="3"/>
  <c r="O653" i="3"/>
  <c r="N652" i="3"/>
  <c r="O652" i="3"/>
  <c r="N651" i="3"/>
  <c r="O651" i="3"/>
  <c r="N650" i="3"/>
  <c r="O650" i="3"/>
  <c r="N649" i="3"/>
  <c r="O649" i="3"/>
  <c r="N648" i="3"/>
  <c r="O648" i="3"/>
  <c r="N647" i="3"/>
  <c r="O647" i="3"/>
  <c r="N646" i="3"/>
  <c r="O646" i="3"/>
  <c r="N645" i="3"/>
  <c r="O645" i="3"/>
  <c r="N644" i="3"/>
  <c r="O644" i="3"/>
  <c r="N643" i="3"/>
  <c r="O643" i="3"/>
  <c r="N642" i="3"/>
  <c r="O642" i="3"/>
  <c r="N641" i="3"/>
  <c r="O641" i="3"/>
  <c r="N640" i="3"/>
  <c r="O640" i="3"/>
  <c r="N639" i="3"/>
  <c r="O639" i="3"/>
  <c r="N638" i="3"/>
  <c r="O638" i="3"/>
  <c r="N637" i="3"/>
  <c r="O637" i="3"/>
  <c r="N636" i="3"/>
  <c r="O636" i="3"/>
  <c r="N635" i="3"/>
  <c r="O635" i="3"/>
  <c r="N634" i="3"/>
  <c r="O634" i="3"/>
  <c r="N633" i="3"/>
  <c r="O633" i="3"/>
  <c r="N632" i="3"/>
  <c r="O632" i="3"/>
  <c r="N631" i="3"/>
  <c r="O631" i="3"/>
  <c r="N630" i="3"/>
  <c r="O630" i="3"/>
  <c r="N629" i="3"/>
  <c r="O629" i="3"/>
  <c r="N628" i="3"/>
  <c r="O628" i="3"/>
  <c r="N627" i="3"/>
  <c r="O627" i="3"/>
  <c r="N626" i="3"/>
  <c r="O626" i="3"/>
  <c r="N625" i="3"/>
  <c r="O625" i="3"/>
  <c r="N624" i="3"/>
  <c r="O624" i="3"/>
  <c r="N623" i="3"/>
  <c r="O623" i="3"/>
  <c r="N622" i="3"/>
  <c r="O622" i="3"/>
  <c r="N621" i="3"/>
  <c r="O621" i="3"/>
  <c r="N620" i="3"/>
  <c r="O620" i="3"/>
  <c r="N619" i="3"/>
  <c r="O619" i="3"/>
  <c r="N618" i="3"/>
  <c r="O618" i="3"/>
  <c r="N617" i="3"/>
  <c r="O617" i="3"/>
  <c r="N616" i="3"/>
  <c r="O616" i="3"/>
  <c r="N615" i="3"/>
  <c r="O615" i="3"/>
  <c r="N614" i="3"/>
  <c r="O614" i="3"/>
  <c r="N613" i="3"/>
  <c r="O613" i="3"/>
  <c r="N612" i="3"/>
  <c r="O612" i="3"/>
  <c r="N611" i="3"/>
  <c r="O611" i="3"/>
  <c r="N610" i="3"/>
  <c r="O610" i="3"/>
  <c r="N609" i="3"/>
  <c r="O609" i="3"/>
  <c r="N608" i="3"/>
  <c r="O608" i="3"/>
  <c r="N607" i="3"/>
  <c r="O607" i="3"/>
  <c r="N606" i="3"/>
  <c r="O606" i="3"/>
  <c r="N605" i="3"/>
  <c r="O605" i="3"/>
  <c r="N604" i="3"/>
  <c r="O604" i="3"/>
  <c r="N603" i="3"/>
  <c r="O603" i="3"/>
  <c r="N602" i="3"/>
  <c r="O602" i="3"/>
  <c r="N601" i="3"/>
  <c r="O601" i="3"/>
  <c r="N600" i="3"/>
  <c r="O600" i="3"/>
  <c r="N599" i="3"/>
  <c r="O599" i="3"/>
  <c r="N598" i="3"/>
  <c r="O598" i="3"/>
  <c r="N597" i="3"/>
  <c r="O597" i="3"/>
  <c r="N596" i="3"/>
  <c r="O596" i="3"/>
  <c r="N595" i="3"/>
  <c r="O595" i="3"/>
  <c r="N594" i="3"/>
  <c r="O594" i="3"/>
  <c r="N593" i="3"/>
  <c r="O593" i="3"/>
  <c r="N592" i="3"/>
  <c r="O592" i="3"/>
  <c r="N591" i="3"/>
  <c r="O591" i="3"/>
  <c r="N590" i="3"/>
  <c r="O590" i="3"/>
  <c r="N589" i="3"/>
  <c r="O589" i="3"/>
  <c r="N588" i="3"/>
  <c r="O588" i="3"/>
  <c r="N587" i="3"/>
  <c r="O587" i="3"/>
  <c r="N586" i="3"/>
  <c r="O586" i="3"/>
  <c r="N585" i="3"/>
  <c r="O585" i="3"/>
  <c r="N584" i="3"/>
  <c r="O584" i="3"/>
  <c r="N583" i="3"/>
  <c r="O583" i="3"/>
  <c r="N582" i="3"/>
  <c r="O582" i="3"/>
  <c r="N581" i="3"/>
  <c r="O581" i="3"/>
  <c r="N580" i="3"/>
  <c r="O580" i="3"/>
  <c r="N579" i="3"/>
  <c r="O579" i="3"/>
  <c r="N578" i="3"/>
  <c r="O578" i="3"/>
  <c r="N577" i="3"/>
  <c r="O577" i="3"/>
  <c r="N576" i="3"/>
  <c r="O576" i="3"/>
  <c r="N575" i="3"/>
  <c r="O575" i="3"/>
  <c r="N574" i="3"/>
  <c r="O574" i="3"/>
  <c r="N573" i="3"/>
  <c r="O573" i="3"/>
  <c r="N572" i="3"/>
  <c r="O572" i="3"/>
  <c r="N571" i="3"/>
  <c r="O571" i="3"/>
  <c r="N570" i="3"/>
  <c r="O570" i="3"/>
  <c r="N569" i="3"/>
  <c r="O569" i="3"/>
  <c r="N568" i="3"/>
  <c r="O568" i="3"/>
  <c r="N567" i="3"/>
  <c r="O567" i="3"/>
  <c r="N566" i="3"/>
  <c r="O566" i="3"/>
  <c r="N565" i="3"/>
  <c r="O565" i="3"/>
  <c r="N564" i="3"/>
  <c r="O564" i="3"/>
  <c r="N563" i="3"/>
  <c r="O563" i="3"/>
  <c r="N562" i="3"/>
  <c r="O562" i="3"/>
  <c r="N561" i="3"/>
  <c r="O561" i="3"/>
  <c r="N560" i="3"/>
  <c r="O560" i="3"/>
  <c r="N559" i="3"/>
  <c r="O559" i="3"/>
  <c r="N558" i="3"/>
  <c r="O558" i="3"/>
  <c r="N557" i="3"/>
  <c r="O557" i="3"/>
  <c r="N556" i="3"/>
  <c r="O556" i="3"/>
  <c r="N555" i="3"/>
  <c r="O555" i="3"/>
  <c r="N554" i="3"/>
  <c r="O554" i="3"/>
  <c r="N553" i="3"/>
  <c r="O553" i="3"/>
  <c r="N552" i="3"/>
  <c r="O552" i="3"/>
  <c r="N551" i="3"/>
  <c r="O551" i="3"/>
  <c r="N550" i="3"/>
  <c r="O550" i="3"/>
  <c r="N549" i="3"/>
  <c r="O549" i="3"/>
  <c r="N548" i="3"/>
  <c r="O548" i="3"/>
  <c r="N547" i="3"/>
  <c r="O547" i="3"/>
  <c r="N546" i="3"/>
  <c r="O546" i="3"/>
  <c r="N545" i="3"/>
  <c r="O545" i="3"/>
  <c r="N544" i="3"/>
  <c r="O544" i="3"/>
  <c r="N543" i="3"/>
  <c r="O543" i="3"/>
  <c r="N542" i="3"/>
  <c r="O542" i="3"/>
  <c r="N541" i="3"/>
  <c r="O541" i="3"/>
  <c r="N540" i="3"/>
  <c r="O540" i="3"/>
  <c r="N539" i="3"/>
  <c r="O539" i="3"/>
  <c r="N538" i="3"/>
  <c r="O538" i="3"/>
  <c r="N537" i="3"/>
  <c r="O537" i="3"/>
  <c r="N536" i="3"/>
  <c r="O536" i="3"/>
  <c r="N535" i="3"/>
  <c r="O535" i="3"/>
  <c r="N534" i="3"/>
  <c r="O534" i="3"/>
  <c r="N533" i="3"/>
  <c r="O533" i="3"/>
  <c r="N532" i="3"/>
  <c r="O532" i="3"/>
  <c r="N531" i="3"/>
  <c r="O531" i="3"/>
  <c r="N530" i="3"/>
  <c r="O530" i="3"/>
  <c r="N529" i="3"/>
  <c r="O529" i="3"/>
  <c r="N528" i="3"/>
  <c r="O528" i="3"/>
  <c r="N527" i="3"/>
  <c r="O527" i="3"/>
  <c r="N526" i="3"/>
  <c r="O526" i="3"/>
  <c r="N525" i="3"/>
  <c r="O525" i="3"/>
  <c r="N524" i="3"/>
  <c r="O524" i="3"/>
  <c r="N523" i="3"/>
  <c r="O523" i="3"/>
  <c r="N522" i="3"/>
  <c r="O522" i="3"/>
  <c r="N521" i="3"/>
  <c r="O521" i="3"/>
  <c r="N520" i="3"/>
  <c r="O520" i="3"/>
  <c r="N519" i="3"/>
  <c r="O519" i="3"/>
  <c r="N518" i="3"/>
  <c r="O518" i="3"/>
  <c r="N517" i="3"/>
  <c r="O517" i="3"/>
  <c r="N516" i="3"/>
  <c r="O516" i="3"/>
  <c r="N515" i="3"/>
  <c r="O515" i="3"/>
  <c r="N514" i="3"/>
  <c r="O514" i="3"/>
  <c r="N513" i="3"/>
  <c r="O513" i="3"/>
  <c r="N512" i="3"/>
  <c r="O512" i="3"/>
  <c r="N511" i="3"/>
  <c r="O511" i="3"/>
  <c r="N510" i="3"/>
  <c r="O510" i="3"/>
  <c r="N509" i="3"/>
  <c r="O509" i="3"/>
  <c r="N508" i="3"/>
  <c r="O508" i="3"/>
  <c r="N507" i="3"/>
  <c r="O507" i="3"/>
  <c r="N506" i="3"/>
  <c r="O506" i="3"/>
  <c r="N505" i="3"/>
  <c r="O505" i="3"/>
  <c r="N504" i="3"/>
  <c r="O504" i="3"/>
  <c r="N503" i="3"/>
  <c r="O503" i="3"/>
  <c r="N502" i="3"/>
  <c r="O502" i="3"/>
  <c r="N501" i="3"/>
  <c r="O501" i="3"/>
  <c r="N500" i="3"/>
  <c r="O500" i="3"/>
  <c r="N499" i="3"/>
  <c r="O499" i="3"/>
  <c r="N498" i="3"/>
  <c r="O498" i="3"/>
  <c r="N497" i="3"/>
  <c r="O497" i="3"/>
  <c r="N496" i="3"/>
  <c r="O496" i="3"/>
  <c r="N495" i="3"/>
  <c r="O495" i="3"/>
  <c r="N494" i="3"/>
  <c r="O494" i="3"/>
  <c r="N493" i="3"/>
  <c r="O493" i="3"/>
  <c r="N492" i="3"/>
  <c r="O492" i="3"/>
  <c r="N491" i="3"/>
  <c r="O491" i="3"/>
  <c r="N490" i="3"/>
  <c r="O490" i="3"/>
  <c r="N489" i="3"/>
  <c r="O489" i="3"/>
  <c r="N488" i="3"/>
  <c r="O488" i="3"/>
  <c r="N487" i="3"/>
  <c r="O487" i="3"/>
  <c r="N486" i="3"/>
  <c r="O486" i="3"/>
  <c r="N485" i="3"/>
  <c r="O485" i="3"/>
  <c r="N484" i="3"/>
  <c r="O484" i="3"/>
  <c r="N483" i="3"/>
  <c r="O483" i="3"/>
  <c r="N482" i="3"/>
  <c r="O482" i="3"/>
  <c r="N481" i="3"/>
  <c r="O481" i="3"/>
  <c r="N480" i="3"/>
  <c r="O480" i="3"/>
  <c r="N479" i="3"/>
  <c r="O479" i="3"/>
  <c r="N478" i="3"/>
  <c r="O478" i="3"/>
  <c r="N477" i="3"/>
  <c r="O477" i="3"/>
  <c r="N476" i="3"/>
  <c r="O476" i="3"/>
  <c r="N475" i="3"/>
  <c r="O475" i="3"/>
  <c r="N474" i="3"/>
  <c r="O474" i="3"/>
  <c r="N473" i="3"/>
  <c r="O473" i="3"/>
  <c r="N472" i="3"/>
  <c r="O472" i="3"/>
  <c r="N471" i="3"/>
  <c r="O471" i="3"/>
  <c r="N470" i="3"/>
  <c r="O470" i="3"/>
  <c r="N469" i="3"/>
  <c r="O469" i="3"/>
  <c r="N468" i="3"/>
  <c r="O468" i="3"/>
  <c r="N467" i="3"/>
  <c r="O467" i="3"/>
  <c r="N466" i="3"/>
  <c r="O466" i="3"/>
  <c r="N465" i="3"/>
  <c r="O465" i="3"/>
  <c r="N464" i="3"/>
  <c r="O464" i="3"/>
  <c r="N463" i="3"/>
  <c r="O463" i="3"/>
  <c r="N462" i="3"/>
  <c r="O462" i="3"/>
  <c r="N461" i="3"/>
  <c r="O461" i="3"/>
  <c r="N460" i="3"/>
  <c r="O460" i="3"/>
  <c r="N459" i="3"/>
  <c r="O459" i="3"/>
  <c r="N458" i="3"/>
  <c r="O458" i="3"/>
  <c r="N457" i="3"/>
  <c r="O457" i="3"/>
  <c r="N456" i="3"/>
  <c r="O456" i="3"/>
  <c r="N455" i="3"/>
  <c r="O455" i="3"/>
  <c r="N454" i="3"/>
  <c r="O454" i="3"/>
  <c r="N453" i="3"/>
  <c r="O453" i="3"/>
  <c r="N452" i="3"/>
  <c r="O452" i="3"/>
  <c r="N451" i="3"/>
  <c r="O451" i="3"/>
  <c r="N450" i="3"/>
  <c r="O450" i="3"/>
  <c r="N449" i="3"/>
  <c r="O449" i="3"/>
  <c r="N448" i="3"/>
  <c r="O448" i="3"/>
  <c r="N447" i="3"/>
  <c r="O447" i="3"/>
  <c r="N446" i="3"/>
  <c r="O446" i="3"/>
  <c r="N445" i="3"/>
  <c r="O445" i="3"/>
  <c r="N444" i="3"/>
  <c r="O444" i="3"/>
  <c r="N443" i="3"/>
  <c r="O443" i="3"/>
  <c r="N442" i="3"/>
  <c r="O442" i="3"/>
  <c r="N441" i="3"/>
  <c r="O441" i="3"/>
  <c r="N440" i="3"/>
  <c r="O440" i="3"/>
  <c r="N439" i="3"/>
  <c r="O439" i="3"/>
  <c r="N438" i="3"/>
  <c r="O438" i="3"/>
  <c r="N437" i="3"/>
  <c r="O437" i="3"/>
  <c r="N436" i="3"/>
  <c r="O436" i="3"/>
  <c r="N435" i="3"/>
  <c r="O435" i="3"/>
  <c r="N434" i="3"/>
  <c r="O434" i="3"/>
  <c r="N433" i="3"/>
  <c r="O433" i="3"/>
  <c r="N432" i="3"/>
  <c r="O432" i="3"/>
  <c r="N431" i="3"/>
  <c r="O431" i="3"/>
  <c r="N430" i="3"/>
  <c r="O430" i="3"/>
  <c r="N429" i="3"/>
  <c r="O429" i="3"/>
  <c r="N428" i="3"/>
  <c r="O428" i="3"/>
  <c r="N427" i="3"/>
  <c r="O427" i="3"/>
  <c r="N426" i="3"/>
  <c r="O426" i="3"/>
  <c r="N425" i="3"/>
  <c r="O425" i="3"/>
  <c r="N424" i="3"/>
  <c r="O424" i="3"/>
  <c r="N423" i="3"/>
  <c r="O423" i="3"/>
  <c r="N422" i="3"/>
  <c r="O422" i="3"/>
  <c r="N421" i="3"/>
  <c r="O421" i="3"/>
  <c r="N420" i="3"/>
  <c r="O420" i="3"/>
  <c r="N419" i="3"/>
  <c r="O419" i="3"/>
  <c r="N418" i="3"/>
  <c r="O418" i="3"/>
  <c r="N417" i="3"/>
  <c r="O417" i="3"/>
  <c r="N416" i="3"/>
  <c r="O416" i="3"/>
  <c r="N415" i="3"/>
  <c r="O415" i="3"/>
  <c r="N414" i="3"/>
  <c r="O414" i="3"/>
  <c r="N413" i="3"/>
  <c r="O413" i="3"/>
  <c r="N412" i="3"/>
  <c r="O412" i="3"/>
  <c r="N411" i="3"/>
  <c r="O411" i="3"/>
  <c r="N410" i="3"/>
  <c r="O410" i="3"/>
  <c r="N409" i="3"/>
  <c r="O409" i="3"/>
  <c r="N408" i="3"/>
  <c r="O408" i="3"/>
  <c r="N407" i="3"/>
  <c r="O407" i="3"/>
  <c r="N406" i="3"/>
  <c r="O406" i="3"/>
  <c r="N405" i="3"/>
  <c r="O405" i="3"/>
  <c r="N404" i="3"/>
  <c r="O404" i="3"/>
  <c r="N403" i="3"/>
  <c r="O403" i="3"/>
  <c r="N402" i="3"/>
  <c r="O402" i="3"/>
  <c r="N401" i="3"/>
  <c r="O401" i="3"/>
  <c r="N400" i="3"/>
  <c r="O400" i="3"/>
  <c r="N399" i="3"/>
  <c r="O399" i="3"/>
  <c r="N398" i="3"/>
  <c r="O398" i="3"/>
  <c r="N397" i="3"/>
  <c r="O397" i="3"/>
  <c r="N396" i="3"/>
  <c r="O396" i="3"/>
  <c r="N395" i="3"/>
  <c r="O395" i="3"/>
  <c r="N394" i="3"/>
  <c r="O394" i="3"/>
  <c r="N393" i="3"/>
  <c r="O393" i="3"/>
  <c r="N392" i="3"/>
  <c r="O392" i="3"/>
  <c r="N391" i="3"/>
  <c r="O391" i="3"/>
  <c r="N390" i="3"/>
  <c r="O390" i="3"/>
  <c r="N389" i="3"/>
  <c r="O389" i="3"/>
  <c r="N388" i="3"/>
  <c r="O388" i="3"/>
  <c r="N387" i="3"/>
  <c r="O387" i="3"/>
  <c r="N386" i="3"/>
  <c r="O386" i="3"/>
  <c r="N385" i="3"/>
  <c r="O385" i="3"/>
  <c r="N384" i="3"/>
  <c r="O384" i="3"/>
  <c r="N383" i="3"/>
  <c r="O383" i="3"/>
  <c r="N382" i="3"/>
  <c r="O382" i="3"/>
  <c r="N381" i="3"/>
  <c r="O381" i="3"/>
  <c r="N380" i="3"/>
  <c r="O380" i="3"/>
  <c r="N379" i="3"/>
  <c r="O379" i="3"/>
  <c r="N378" i="3"/>
  <c r="O378" i="3"/>
  <c r="N377" i="3"/>
  <c r="O377" i="3"/>
  <c r="N376" i="3"/>
  <c r="O376" i="3"/>
  <c r="N375" i="3"/>
  <c r="O375" i="3"/>
  <c r="N374" i="3"/>
  <c r="O374" i="3"/>
  <c r="N373" i="3"/>
  <c r="O373" i="3"/>
  <c r="N372" i="3"/>
  <c r="O372" i="3"/>
  <c r="N371" i="3"/>
  <c r="O371" i="3"/>
  <c r="N370" i="3"/>
  <c r="O370" i="3"/>
  <c r="N369" i="3"/>
  <c r="O369" i="3"/>
  <c r="N368" i="3"/>
  <c r="O368" i="3"/>
  <c r="N367" i="3"/>
  <c r="O367" i="3"/>
  <c r="N366" i="3"/>
  <c r="O366" i="3"/>
  <c r="N365" i="3"/>
  <c r="O365" i="3"/>
  <c r="N364" i="3"/>
  <c r="O364" i="3"/>
  <c r="N363" i="3"/>
  <c r="O363" i="3"/>
  <c r="N362" i="3"/>
  <c r="O362" i="3"/>
  <c r="N361" i="3"/>
  <c r="O361" i="3"/>
  <c r="N360" i="3"/>
  <c r="O360" i="3"/>
  <c r="N359" i="3"/>
  <c r="O359" i="3"/>
  <c r="N358" i="3"/>
  <c r="O358" i="3"/>
  <c r="N357" i="3"/>
  <c r="O357" i="3"/>
  <c r="N356" i="3"/>
  <c r="O356" i="3"/>
  <c r="N355" i="3"/>
  <c r="O355" i="3"/>
  <c r="N354" i="3"/>
  <c r="O354" i="3"/>
  <c r="N353" i="3"/>
  <c r="O353" i="3"/>
  <c r="N352" i="3"/>
  <c r="O352" i="3"/>
  <c r="N351" i="3"/>
  <c r="O351" i="3"/>
  <c r="N350" i="3"/>
  <c r="O350" i="3"/>
  <c r="N349" i="3"/>
  <c r="O349" i="3"/>
  <c r="N348" i="3"/>
  <c r="O348" i="3"/>
  <c r="N347" i="3"/>
  <c r="O347" i="3"/>
  <c r="N346" i="3"/>
  <c r="O346" i="3"/>
  <c r="N345" i="3"/>
  <c r="O345" i="3"/>
  <c r="N344" i="3"/>
  <c r="O344" i="3"/>
  <c r="N343" i="3"/>
  <c r="O343" i="3"/>
  <c r="N342" i="3"/>
  <c r="O342" i="3"/>
  <c r="N341" i="3"/>
  <c r="O341" i="3"/>
  <c r="N340" i="3"/>
  <c r="O340" i="3"/>
  <c r="N339" i="3"/>
  <c r="O339" i="3"/>
  <c r="N338" i="3"/>
  <c r="O338" i="3"/>
  <c r="N337" i="3"/>
  <c r="O337" i="3"/>
  <c r="N336" i="3"/>
  <c r="O336" i="3"/>
  <c r="N335" i="3"/>
  <c r="O335" i="3"/>
  <c r="N334" i="3"/>
  <c r="O334" i="3"/>
  <c r="N333" i="3"/>
  <c r="O333" i="3"/>
  <c r="N332" i="3"/>
  <c r="O332" i="3"/>
  <c r="N331" i="3"/>
  <c r="O331" i="3"/>
  <c r="N330" i="3"/>
  <c r="O330" i="3"/>
  <c r="N329" i="3"/>
  <c r="O329" i="3"/>
  <c r="N328" i="3"/>
  <c r="O328" i="3"/>
  <c r="N327" i="3"/>
  <c r="O327" i="3"/>
  <c r="N326" i="3"/>
  <c r="O326" i="3"/>
  <c r="N325" i="3"/>
  <c r="O325" i="3"/>
  <c r="N324" i="3"/>
  <c r="O324" i="3"/>
  <c r="N323" i="3"/>
  <c r="O323" i="3"/>
  <c r="N322" i="3"/>
  <c r="O322" i="3"/>
  <c r="N321" i="3"/>
  <c r="O321" i="3"/>
  <c r="N320" i="3"/>
  <c r="O320" i="3"/>
  <c r="N319" i="3"/>
  <c r="O319" i="3"/>
  <c r="N318" i="3"/>
  <c r="O318" i="3"/>
  <c r="N317" i="3"/>
  <c r="O317" i="3"/>
  <c r="N316" i="3"/>
  <c r="O316" i="3"/>
  <c r="N315" i="3"/>
  <c r="O315" i="3"/>
  <c r="N314" i="3"/>
  <c r="O314" i="3"/>
  <c r="N313" i="3"/>
  <c r="O313" i="3"/>
  <c r="N312" i="3"/>
  <c r="O312" i="3"/>
  <c r="N311" i="3"/>
  <c r="O311" i="3"/>
  <c r="N310" i="3"/>
  <c r="O310" i="3"/>
  <c r="N309" i="3"/>
  <c r="O309" i="3"/>
  <c r="N308" i="3"/>
  <c r="O308" i="3"/>
  <c r="N307" i="3"/>
  <c r="O307" i="3"/>
  <c r="N306" i="3"/>
  <c r="O306" i="3"/>
  <c r="N305" i="3"/>
  <c r="O305" i="3"/>
  <c r="N304" i="3"/>
  <c r="O304" i="3"/>
  <c r="N303" i="3"/>
  <c r="O303" i="3"/>
  <c r="N302" i="3"/>
  <c r="O302" i="3"/>
  <c r="N301" i="3"/>
  <c r="O301" i="3"/>
  <c r="N300" i="3"/>
  <c r="O300" i="3"/>
  <c r="N299" i="3"/>
  <c r="O299" i="3"/>
  <c r="N298" i="3"/>
  <c r="O298" i="3"/>
  <c r="N297" i="3"/>
  <c r="O297" i="3"/>
  <c r="N296" i="3"/>
  <c r="O296" i="3"/>
  <c r="N295" i="3"/>
  <c r="O295" i="3"/>
  <c r="N294" i="3"/>
  <c r="O294" i="3"/>
  <c r="N293" i="3"/>
  <c r="O293" i="3"/>
  <c r="N292" i="3"/>
  <c r="O292" i="3"/>
  <c r="N291" i="3"/>
  <c r="O291" i="3"/>
  <c r="N290" i="3"/>
  <c r="O290" i="3"/>
  <c r="N289" i="3"/>
  <c r="O289" i="3"/>
  <c r="N288" i="3"/>
  <c r="O288" i="3"/>
  <c r="N287" i="3"/>
  <c r="O287" i="3"/>
  <c r="N286" i="3"/>
  <c r="O286" i="3"/>
  <c r="N285" i="3"/>
  <c r="O285" i="3"/>
  <c r="N284" i="3"/>
  <c r="O284" i="3"/>
  <c r="N283" i="3"/>
  <c r="O283" i="3"/>
  <c r="N282" i="3"/>
  <c r="O282" i="3"/>
  <c r="N281" i="3"/>
  <c r="O281" i="3"/>
  <c r="N280" i="3"/>
  <c r="O280" i="3"/>
  <c r="N279" i="3"/>
  <c r="O279" i="3"/>
  <c r="N278" i="3"/>
  <c r="O278" i="3"/>
  <c r="N277" i="3"/>
  <c r="O277" i="3"/>
  <c r="N276" i="3"/>
  <c r="O276" i="3"/>
  <c r="N275" i="3"/>
  <c r="O275" i="3"/>
  <c r="N274" i="3"/>
  <c r="O274" i="3"/>
  <c r="N273" i="3"/>
  <c r="O273" i="3"/>
  <c r="N272" i="3"/>
  <c r="O272" i="3"/>
  <c r="N271" i="3"/>
  <c r="O271" i="3"/>
  <c r="N270" i="3"/>
  <c r="O270" i="3"/>
  <c r="N269" i="3"/>
  <c r="O269" i="3"/>
  <c r="N268" i="3"/>
  <c r="O268" i="3"/>
  <c r="N267" i="3"/>
  <c r="O267" i="3"/>
  <c r="N266" i="3"/>
  <c r="O266" i="3"/>
  <c r="N265" i="3"/>
  <c r="O265" i="3"/>
  <c r="N264" i="3"/>
  <c r="O264" i="3"/>
  <c r="N263" i="3"/>
  <c r="O263" i="3"/>
  <c r="N262" i="3"/>
  <c r="O262" i="3"/>
  <c r="N261" i="3"/>
  <c r="O261" i="3"/>
  <c r="N260" i="3"/>
  <c r="O260" i="3"/>
  <c r="N259" i="3"/>
  <c r="O259" i="3"/>
  <c r="N258" i="3"/>
  <c r="O258" i="3"/>
  <c r="N257" i="3"/>
  <c r="O257" i="3"/>
  <c r="N256" i="3"/>
  <c r="O256" i="3"/>
  <c r="N255" i="3"/>
  <c r="O255" i="3"/>
  <c r="N254" i="3"/>
  <c r="O254" i="3"/>
  <c r="N253" i="3"/>
  <c r="O253" i="3"/>
  <c r="N252" i="3"/>
  <c r="O252" i="3"/>
  <c r="N251" i="3"/>
  <c r="O251" i="3"/>
  <c r="N250" i="3"/>
  <c r="O250" i="3"/>
  <c r="N249" i="3"/>
  <c r="O249" i="3"/>
  <c r="N248" i="3"/>
  <c r="O248" i="3"/>
  <c r="N247" i="3"/>
  <c r="O247" i="3"/>
  <c r="N246" i="3"/>
  <c r="O246" i="3"/>
  <c r="N245" i="3"/>
  <c r="O245" i="3"/>
  <c r="N244" i="3"/>
  <c r="O244" i="3"/>
  <c r="N243" i="3"/>
  <c r="O243" i="3"/>
  <c r="N242" i="3"/>
  <c r="O242" i="3"/>
  <c r="N241" i="3"/>
  <c r="O241" i="3"/>
  <c r="N240" i="3"/>
  <c r="O240" i="3"/>
  <c r="N239" i="3"/>
  <c r="O239" i="3"/>
  <c r="N238" i="3"/>
  <c r="O238" i="3"/>
  <c r="N237" i="3"/>
  <c r="O237" i="3"/>
  <c r="N236" i="3"/>
  <c r="O236" i="3"/>
  <c r="N235" i="3"/>
  <c r="O235" i="3"/>
  <c r="N234" i="3"/>
  <c r="O234" i="3"/>
  <c r="N233" i="3"/>
  <c r="O233" i="3"/>
  <c r="N232" i="3"/>
  <c r="O232" i="3"/>
  <c r="N231" i="3"/>
  <c r="O231" i="3"/>
  <c r="N230" i="3"/>
  <c r="O230" i="3"/>
  <c r="N229" i="3"/>
  <c r="O229" i="3"/>
  <c r="N228" i="3"/>
  <c r="O228" i="3"/>
  <c r="N227" i="3"/>
  <c r="O227" i="3"/>
  <c r="N226" i="3"/>
  <c r="O226" i="3"/>
  <c r="N225" i="3"/>
  <c r="O225" i="3"/>
  <c r="N224" i="3"/>
  <c r="O224" i="3"/>
  <c r="N223" i="3"/>
  <c r="O223" i="3"/>
  <c r="N222" i="3"/>
  <c r="O222" i="3"/>
  <c r="N221" i="3"/>
  <c r="O221" i="3"/>
  <c r="N220" i="3"/>
  <c r="O220" i="3"/>
  <c r="N219" i="3"/>
  <c r="O219" i="3"/>
  <c r="N218" i="3"/>
  <c r="O218" i="3"/>
  <c r="N217" i="3"/>
  <c r="O217" i="3"/>
  <c r="N216" i="3"/>
  <c r="O216" i="3"/>
  <c r="N215" i="3"/>
  <c r="O215" i="3"/>
  <c r="N214" i="3"/>
  <c r="O214" i="3"/>
  <c r="N213" i="3"/>
  <c r="O213" i="3"/>
  <c r="N212" i="3"/>
  <c r="O212" i="3"/>
  <c r="N211" i="3"/>
  <c r="O211" i="3"/>
  <c r="N210" i="3"/>
  <c r="O210" i="3"/>
  <c r="N209" i="3"/>
  <c r="O209" i="3"/>
  <c r="N208" i="3"/>
  <c r="O208" i="3"/>
  <c r="N207" i="3"/>
  <c r="O207" i="3"/>
  <c r="N206" i="3"/>
  <c r="O206" i="3"/>
  <c r="N205" i="3"/>
  <c r="O205" i="3"/>
  <c r="N204" i="3"/>
  <c r="O204" i="3"/>
  <c r="N203" i="3"/>
  <c r="O203" i="3"/>
  <c r="N202" i="3"/>
  <c r="O202" i="3"/>
  <c r="N201" i="3"/>
  <c r="O201" i="3"/>
  <c r="N200" i="3"/>
  <c r="O200" i="3"/>
  <c r="N199" i="3"/>
  <c r="O199" i="3"/>
  <c r="N198" i="3"/>
  <c r="O198" i="3"/>
  <c r="N197" i="3"/>
  <c r="O197" i="3"/>
  <c r="N196" i="3"/>
  <c r="O196" i="3"/>
  <c r="N195" i="3"/>
  <c r="O195" i="3"/>
  <c r="N194" i="3"/>
  <c r="O194" i="3"/>
  <c r="N193" i="3"/>
  <c r="O193" i="3"/>
  <c r="N192" i="3"/>
  <c r="O192" i="3"/>
  <c r="N191" i="3"/>
  <c r="O191" i="3"/>
  <c r="N190" i="3"/>
  <c r="O190" i="3"/>
  <c r="N189" i="3"/>
  <c r="O189" i="3"/>
  <c r="N188" i="3"/>
  <c r="O188" i="3"/>
  <c r="N187" i="3"/>
  <c r="O187" i="3"/>
  <c r="N186" i="3"/>
  <c r="O186" i="3"/>
  <c r="N185" i="3"/>
  <c r="O185" i="3"/>
  <c r="N184" i="3"/>
  <c r="O184" i="3"/>
  <c r="N183" i="3"/>
  <c r="O183" i="3"/>
  <c r="N182" i="3"/>
  <c r="O182" i="3"/>
  <c r="N181" i="3"/>
  <c r="O181" i="3"/>
  <c r="N180" i="3"/>
  <c r="O180" i="3"/>
  <c r="N179" i="3"/>
  <c r="O179" i="3"/>
  <c r="N178" i="3"/>
  <c r="O178" i="3"/>
  <c r="N177" i="3"/>
  <c r="O177" i="3"/>
  <c r="N176" i="3"/>
  <c r="O176" i="3"/>
  <c r="N175" i="3"/>
  <c r="O175" i="3"/>
  <c r="N174" i="3"/>
  <c r="O174" i="3"/>
  <c r="N173" i="3"/>
  <c r="O173" i="3"/>
  <c r="N172" i="3"/>
  <c r="O172" i="3"/>
  <c r="N171" i="3"/>
  <c r="O171" i="3"/>
  <c r="N170" i="3"/>
  <c r="O170" i="3"/>
  <c r="N169" i="3"/>
  <c r="O169" i="3"/>
  <c r="N168" i="3"/>
  <c r="O168" i="3"/>
  <c r="N167" i="3"/>
  <c r="O167" i="3"/>
  <c r="N166" i="3"/>
  <c r="O166" i="3"/>
  <c r="N165" i="3"/>
  <c r="O165" i="3"/>
  <c r="N164" i="3"/>
  <c r="O164" i="3"/>
  <c r="N163" i="3"/>
  <c r="O163" i="3"/>
  <c r="N162" i="3"/>
  <c r="O162" i="3"/>
  <c r="N161" i="3"/>
  <c r="O161" i="3"/>
  <c r="N160" i="3"/>
  <c r="O160" i="3"/>
  <c r="N159" i="3"/>
  <c r="O159" i="3"/>
  <c r="N158" i="3"/>
  <c r="O158" i="3"/>
  <c r="N157" i="3"/>
  <c r="O157" i="3"/>
  <c r="N156" i="3"/>
  <c r="O156" i="3"/>
  <c r="N155" i="3"/>
  <c r="O155" i="3"/>
  <c r="N154" i="3"/>
  <c r="O154" i="3"/>
  <c r="N153" i="3"/>
  <c r="O153" i="3"/>
  <c r="N152" i="3"/>
  <c r="O152" i="3"/>
  <c r="N151" i="3"/>
  <c r="O151" i="3"/>
  <c r="N150" i="3"/>
  <c r="O150" i="3"/>
  <c r="N149" i="3"/>
  <c r="O149" i="3"/>
  <c r="N148" i="3"/>
  <c r="O148" i="3"/>
  <c r="N147" i="3"/>
  <c r="O147" i="3"/>
  <c r="N146" i="3"/>
  <c r="O146" i="3"/>
  <c r="N145" i="3"/>
  <c r="O145" i="3"/>
  <c r="N144" i="3"/>
  <c r="O144" i="3"/>
  <c r="N143" i="3"/>
  <c r="O143" i="3"/>
  <c r="N142" i="3"/>
  <c r="O142" i="3"/>
  <c r="N141" i="3"/>
  <c r="O141" i="3"/>
  <c r="N140" i="3"/>
  <c r="O140" i="3"/>
  <c r="N139" i="3"/>
  <c r="O139" i="3"/>
  <c r="N138" i="3"/>
  <c r="O138" i="3"/>
  <c r="N137" i="3"/>
  <c r="O137" i="3"/>
  <c r="N136" i="3"/>
  <c r="O136" i="3"/>
  <c r="N135" i="3"/>
  <c r="O135" i="3"/>
  <c r="N134" i="3"/>
  <c r="O134" i="3"/>
  <c r="N133" i="3"/>
  <c r="O133" i="3"/>
  <c r="N132" i="3"/>
  <c r="O132" i="3"/>
  <c r="N131" i="3"/>
  <c r="O131" i="3"/>
  <c r="N130" i="3"/>
  <c r="O130" i="3"/>
  <c r="N129" i="3"/>
  <c r="O129" i="3"/>
  <c r="N128" i="3"/>
  <c r="O128" i="3"/>
  <c r="N127" i="3"/>
  <c r="O127" i="3"/>
  <c r="N126" i="3"/>
  <c r="O126" i="3"/>
  <c r="N125" i="3"/>
  <c r="O125" i="3"/>
  <c r="N124" i="3"/>
  <c r="O124" i="3"/>
  <c r="N123" i="3"/>
  <c r="O123" i="3"/>
  <c r="N122" i="3"/>
  <c r="O122" i="3"/>
  <c r="N121" i="3"/>
  <c r="O121" i="3"/>
  <c r="N120" i="3"/>
  <c r="O120" i="3"/>
  <c r="N119" i="3"/>
  <c r="O119" i="3"/>
  <c r="N118" i="3"/>
  <c r="O118" i="3"/>
  <c r="N117" i="3"/>
  <c r="O117" i="3"/>
  <c r="N116" i="3"/>
  <c r="O116" i="3"/>
  <c r="N115" i="3"/>
  <c r="O115" i="3"/>
  <c r="N114" i="3"/>
  <c r="O114" i="3"/>
  <c r="N113" i="3"/>
  <c r="O113" i="3"/>
  <c r="N112" i="3"/>
  <c r="O112" i="3"/>
  <c r="N111" i="3"/>
  <c r="O111" i="3"/>
  <c r="N110" i="3"/>
  <c r="O110" i="3"/>
  <c r="N109" i="3"/>
  <c r="O109" i="3"/>
  <c r="N108" i="3"/>
  <c r="O108" i="3"/>
  <c r="N107" i="3"/>
  <c r="O107" i="3"/>
  <c r="N106" i="3"/>
  <c r="O106" i="3"/>
  <c r="N105" i="3"/>
  <c r="O105" i="3"/>
  <c r="N104" i="3"/>
  <c r="O104" i="3"/>
  <c r="N103" i="3"/>
  <c r="O103" i="3"/>
  <c r="N102" i="3"/>
  <c r="O102" i="3"/>
  <c r="N101" i="3"/>
  <c r="O101" i="3"/>
  <c r="N100" i="3"/>
  <c r="O100" i="3"/>
  <c r="N99" i="3"/>
  <c r="O99" i="3"/>
  <c r="N98" i="3"/>
  <c r="O98" i="3"/>
  <c r="N97" i="3"/>
  <c r="O97" i="3"/>
  <c r="N96" i="3"/>
  <c r="O96" i="3"/>
  <c r="N95" i="3"/>
  <c r="O95" i="3"/>
  <c r="N94" i="3"/>
  <c r="O94" i="3"/>
  <c r="N93" i="3"/>
  <c r="O93" i="3"/>
  <c r="N92" i="3"/>
  <c r="O92" i="3"/>
  <c r="N91" i="3"/>
  <c r="O91" i="3"/>
  <c r="N90" i="3"/>
  <c r="O90" i="3"/>
  <c r="N89" i="3"/>
  <c r="O89" i="3"/>
  <c r="N88" i="3"/>
  <c r="O88" i="3"/>
  <c r="N87" i="3"/>
  <c r="O87" i="3"/>
  <c r="N86" i="3"/>
  <c r="O86" i="3"/>
  <c r="N85" i="3"/>
  <c r="O85" i="3"/>
  <c r="N84" i="3"/>
  <c r="O84" i="3"/>
  <c r="N83" i="3"/>
  <c r="O83" i="3"/>
  <c r="N82" i="3"/>
  <c r="O82" i="3"/>
  <c r="N81" i="3"/>
  <c r="O81" i="3"/>
  <c r="N80" i="3"/>
  <c r="O80" i="3"/>
  <c r="N79" i="3"/>
  <c r="O79" i="3"/>
  <c r="N78" i="3"/>
  <c r="O78" i="3"/>
  <c r="N77" i="3"/>
  <c r="O77" i="3"/>
  <c r="N76" i="3"/>
  <c r="O76" i="3"/>
  <c r="N75" i="3"/>
  <c r="O75" i="3"/>
  <c r="N74" i="3"/>
  <c r="O74" i="3"/>
  <c r="N73" i="3"/>
  <c r="O73" i="3"/>
  <c r="N72" i="3"/>
  <c r="O72" i="3"/>
  <c r="N71" i="3"/>
  <c r="O71" i="3"/>
  <c r="N70" i="3"/>
  <c r="O70" i="3"/>
  <c r="N69" i="3"/>
  <c r="O69" i="3"/>
  <c r="N68" i="3"/>
  <c r="O68" i="3"/>
  <c r="N67" i="3"/>
  <c r="O67" i="3"/>
  <c r="N66" i="3"/>
  <c r="O66" i="3"/>
  <c r="N65" i="3"/>
  <c r="O65" i="3"/>
  <c r="N64" i="3"/>
  <c r="O64" i="3"/>
  <c r="N63" i="3"/>
  <c r="O63" i="3"/>
  <c r="N62" i="3"/>
  <c r="O62" i="3"/>
  <c r="N61" i="3"/>
  <c r="O61" i="3"/>
  <c r="N60" i="3"/>
  <c r="O60" i="3"/>
  <c r="N59" i="3"/>
  <c r="O59" i="3"/>
  <c r="N58" i="3"/>
  <c r="O58" i="3"/>
  <c r="N57" i="3"/>
  <c r="O57" i="3"/>
  <c r="N56" i="3"/>
  <c r="O56" i="3"/>
  <c r="N55" i="3"/>
  <c r="O55" i="3"/>
  <c r="N54" i="3"/>
  <c r="O54" i="3"/>
  <c r="N53" i="3"/>
  <c r="O53" i="3"/>
  <c r="N52" i="3"/>
  <c r="O52" i="3"/>
  <c r="N51" i="3"/>
  <c r="O51" i="3"/>
  <c r="N50" i="3"/>
  <c r="O50" i="3"/>
  <c r="N49" i="3"/>
  <c r="O49" i="3"/>
  <c r="N48" i="3"/>
  <c r="O48" i="3"/>
  <c r="N47" i="3"/>
  <c r="O47" i="3"/>
  <c r="N46" i="3"/>
  <c r="O46" i="3"/>
  <c r="N45" i="3"/>
  <c r="O45" i="3"/>
  <c r="N44" i="3"/>
  <c r="O44" i="3"/>
  <c r="N43" i="3"/>
  <c r="O43" i="3"/>
  <c r="N42" i="3"/>
  <c r="O42" i="3"/>
  <c r="N41" i="3"/>
  <c r="O41" i="3"/>
  <c r="N40" i="3"/>
  <c r="O40" i="3"/>
  <c r="N39" i="3"/>
  <c r="O39" i="3"/>
  <c r="N38" i="3"/>
  <c r="O38" i="3"/>
  <c r="N37" i="3"/>
  <c r="O37" i="3"/>
  <c r="N36" i="3"/>
  <c r="O36" i="3"/>
  <c r="N35" i="3"/>
  <c r="O35" i="3"/>
  <c r="N34" i="3"/>
  <c r="O34" i="3"/>
  <c r="N33" i="3"/>
  <c r="O33" i="3"/>
  <c r="N32" i="3"/>
  <c r="O32" i="3"/>
  <c r="N31" i="3"/>
  <c r="O31" i="3"/>
  <c r="N30" i="3"/>
  <c r="O30" i="3"/>
  <c r="N29" i="3"/>
  <c r="O29" i="3"/>
  <c r="N28" i="3"/>
  <c r="O28" i="3"/>
  <c r="N27" i="3"/>
  <c r="O27" i="3"/>
  <c r="N26" i="3"/>
  <c r="O26" i="3"/>
  <c r="N25" i="3"/>
  <c r="O25" i="3"/>
  <c r="N24" i="3"/>
  <c r="O24" i="3"/>
  <c r="N23" i="3"/>
  <c r="O23" i="3"/>
  <c r="N22" i="3"/>
  <c r="O22" i="3"/>
  <c r="N21" i="3"/>
  <c r="O21" i="3"/>
  <c r="N20" i="3"/>
  <c r="O20" i="3"/>
  <c r="N19" i="3"/>
  <c r="O19" i="3"/>
  <c r="N18" i="3"/>
  <c r="O18" i="3"/>
  <c r="N17" i="3"/>
  <c r="O17" i="3"/>
  <c r="N16" i="3"/>
  <c r="O16" i="3"/>
  <c r="N15" i="3"/>
  <c r="O15" i="3"/>
  <c r="N14" i="3"/>
  <c r="O14" i="3"/>
  <c r="N13" i="3"/>
  <c r="O13" i="3"/>
  <c r="N12" i="3"/>
  <c r="O12" i="3"/>
  <c r="N11" i="3"/>
  <c r="O11" i="3"/>
  <c r="N10" i="3"/>
  <c r="O10" i="3"/>
  <c r="N9" i="3"/>
  <c r="O9" i="3"/>
  <c r="N8" i="3"/>
  <c r="O8" i="3"/>
  <c r="N7" i="3"/>
  <c r="O7" i="3"/>
  <c r="N6" i="3"/>
  <c r="O6" i="3"/>
  <c r="N5" i="3"/>
  <c r="O5" i="3"/>
  <c r="N4" i="3"/>
  <c r="O4" i="3"/>
  <c r="N3" i="3"/>
  <c r="O3" i="3"/>
  <c r="N2" i="3"/>
  <c r="L1501" i="3"/>
  <c r="M1501" i="3"/>
  <c r="L1500" i="3"/>
  <c r="M1500" i="3"/>
  <c r="L1499" i="3"/>
  <c r="M1499" i="3"/>
  <c r="L1498" i="3"/>
  <c r="M1498" i="3"/>
  <c r="L1497" i="3"/>
  <c r="M1497" i="3"/>
  <c r="L1496" i="3"/>
  <c r="M1496" i="3"/>
  <c r="L1495" i="3"/>
  <c r="M1495" i="3"/>
  <c r="L1494" i="3"/>
  <c r="M1494" i="3"/>
  <c r="L1493" i="3"/>
  <c r="M1493" i="3"/>
  <c r="L1492" i="3"/>
  <c r="M1492" i="3"/>
  <c r="L1491" i="3"/>
  <c r="M1491" i="3"/>
  <c r="L1490" i="3"/>
  <c r="M1490" i="3"/>
  <c r="L1489" i="3"/>
  <c r="M1489" i="3"/>
  <c r="L1488" i="3"/>
  <c r="M1488" i="3"/>
  <c r="L1487" i="3"/>
  <c r="M1487" i="3"/>
  <c r="L1486" i="3"/>
  <c r="M1486" i="3"/>
  <c r="L1485" i="3"/>
  <c r="M1485" i="3"/>
  <c r="L1484" i="3"/>
  <c r="M1484" i="3"/>
  <c r="L1483" i="3"/>
  <c r="M1483" i="3"/>
  <c r="L1482" i="3"/>
  <c r="M1482" i="3"/>
  <c r="L1481" i="3"/>
  <c r="M1481" i="3"/>
  <c r="L1480" i="3"/>
  <c r="M1480" i="3"/>
  <c r="L1479" i="3"/>
  <c r="M1479" i="3"/>
  <c r="L1478" i="3"/>
  <c r="M1478" i="3"/>
  <c r="L1477" i="3"/>
  <c r="M1477" i="3"/>
  <c r="L1476" i="3"/>
  <c r="M1476" i="3"/>
  <c r="L1475" i="3"/>
  <c r="M1475" i="3"/>
  <c r="L1474" i="3"/>
  <c r="M1474" i="3"/>
  <c r="L1473" i="3"/>
  <c r="M1473" i="3"/>
  <c r="L1472" i="3"/>
  <c r="M1472" i="3"/>
  <c r="L1471" i="3"/>
  <c r="M1471" i="3"/>
  <c r="L1470" i="3"/>
  <c r="M1470" i="3"/>
  <c r="L1469" i="3"/>
  <c r="M1469" i="3"/>
  <c r="L1468" i="3"/>
  <c r="M1468" i="3"/>
  <c r="L1467" i="3"/>
  <c r="M1467" i="3"/>
  <c r="L1466" i="3"/>
  <c r="M1466" i="3"/>
  <c r="L1465" i="3"/>
  <c r="M1465" i="3"/>
  <c r="L1464" i="3"/>
  <c r="M1464" i="3"/>
  <c r="L1463" i="3"/>
  <c r="M1463" i="3"/>
  <c r="L1462" i="3"/>
  <c r="M1462" i="3"/>
  <c r="L1461" i="3"/>
  <c r="M1461" i="3"/>
  <c r="L1460" i="3"/>
  <c r="M1460" i="3"/>
  <c r="L1459" i="3"/>
  <c r="M1459" i="3"/>
  <c r="L1458" i="3"/>
  <c r="M1458" i="3"/>
  <c r="L1457" i="3"/>
  <c r="M1457" i="3"/>
  <c r="L1456" i="3"/>
  <c r="M1456" i="3"/>
  <c r="L1455" i="3"/>
  <c r="M1455" i="3"/>
  <c r="L1454" i="3"/>
  <c r="M1454" i="3"/>
  <c r="L1453" i="3"/>
  <c r="M1453" i="3"/>
  <c r="L1452" i="3"/>
  <c r="M1452" i="3"/>
  <c r="L1451" i="3"/>
  <c r="M1451" i="3"/>
  <c r="L1450" i="3"/>
  <c r="M1450" i="3"/>
  <c r="L1449" i="3"/>
  <c r="M1449" i="3"/>
  <c r="L1448" i="3"/>
  <c r="M1448" i="3"/>
  <c r="L1447" i="3"/>
  <c r="M1447" i="3"/>
  <c r="L1446" i="3"/>
  <c r="M1446" i="3"/>
  <c r="L1445" i="3"/>
  <c r="M1445" i="3"/>
  <c r="L1444" i="3"/>
  <c r="M1444" i="3"/>
  <c r="L1443" i="3"/>
  <c r="M1443" i="3"/>
  <c r="L1442" i="3"/>
  <c r="M1442" i="3"/>
  <c r="L1441" i="3"/>
  <c r="M1441" i="3"/>
  <c r="L1440" i="3"/>
  <c r="M1440" i="3"/>
  <c r="L1439" i="3"/>
  <c r="M1439" i="3"/>
  <c r="L1438" i="3"/>
  <c r="M1438" i="3"/>
  <c r="L1437" i="3"/>
  <c r="M1437" i="3"/>
  <c r="L1436" i="3"/>
  <c r="M1436" i="3"/>
  <c r="L1435" i="3"/>
  <c r="M1435" i="3"/>
  <c r="L1434" i="3"/>
  <c r="M1434" i="3"/>
  <c r="L1433" i="3"/>
  <c r="M1433" i="3"/>
  <c r="L1432" i="3"/>
  <c r="M1432" i="3"/>
  <c r="L1431" i="3"/>
  <c r="M1431" i="3"/>
  <c r="L1430" i="3"/>
  <c r="M1430" i="3"/>
  <c r="L1429" i="3"/>
  <c r="M1429" i="3"/>
  <c r="L1428" i="3"/>
  <c r="M1428" i="3"/>
  <c r="L1427" i="3"/>
  <c r="M1427" i="3"/>
  <c r="L1426" i="3"/>
  <c r="M1426" i="3"/>
  <c r="L1425" i="3"/>
  <c r="M1425" i="3"/>
  <c r="L1424" i="3"/>
  <c r="M1424" i="3"/>
  <c r="L1423" i="3"/>
  <c r="M1423" i="3"/>
  <c r="L1422" i="3"/>
  <c r="M1422" i="3"/>
  <c r="L1421" i="3"/>
  <c r="M1421" i="3"/>
  <c r="L1420" i="3"/>
  <c r="M1420" i="3"/>
  <c r="L1419" i="3"/>
  <c r="M1419" i="3"/>
  <c r="L1418" i="3"/>
  <c r="M1418" i="3"/>
  <c r="L1417" i="3"/>
  <c r="M1417" i="3"/>
  <c r="L1416" i="3"/>
  <c r="M1416" i="3"/>
  <c r="L1415" i="3"/>
  <c r="M1415" i="3"/>
  <c r="L1414" i="3"/>
  <c r="M1414" i="3"/>
  <c r="L1413" i="3"/>
  <c r="M1413" i="3"/>
  <c r="L1412" i="3"/>
  <c r="M1412" i="3"/>
  <c r="L1411" i="3"/>
  <c r="M1411" i="3"/>
  <c r="L1410" i="3"/>
  <c r="M1410" i="3"/>
  <c r="L1409" i="3"/>
  <c r="M1409" i="3"/>
  <c r="L1408" i="3"/>
  <c r="M1408" i="3"/>
  <c r="L1407" i="3"/>
  <c r="M1407" i="3"/>
  <c r="L1406" i="3"/>
  <c r="M1406" i="3"/>
  <c r="L1405" i="3"/>
  <c r="M1405" i="3"/>
  <c r="L1404" i="3"/>
  <c r="M1404" i="3"/>
  <c r="L1403" i="3"/>
  <c r="M1403" i="3"/>
  <c r="L1402" i="3"/>
  <c r="M1402" i="3"/>
  <c r="L1401" i="3"/>
  <c r="M1401" i="3"/>
  <c r="L1400" i="3"/>
  <c r="M1400" i="3"/>
  <c r="L1399" i="3"/>
  <c r="M1399" i="3"/>
  <c r="L1398" i="3"/>
  <c r="M1398" i="3"/>
  <c r="L1397" i="3"/>
  <c r="M1397" i="3"/>
  <c r="L1396" i="3"/>
  <c r="M1396" i="3"/>
  <c r="L1395" i="3"/>
  <c r="M1395" i="3"/>
  <c r="L1394" i="3"/>
  <c r="M1394" i="3"/>
  <c r="L1393" i="3"/>
  <c r="M1393" i="3"/>
  <c r="L1392" i="3"/>
  <c r="M1392" i="3"/>
  <c r="L1391" i="3"/>
  <c r="M1391" i="3"/>
  <c r="L1390" i="3"/>
  <c r="M1390" i="3"/>
  <c r="L1389" i="3"/>
  <c r="M1389" i="3"/>
  <c r="L1388" i="3"/>
  <c r="M1388" i="3"/>
  <c r="L1387" i="3"/>
  <c r="M1387" i="3"/>
  <c r="L1386" i="3"/>
  <c r="M1386" i="3"/>
  <c r="L1385" i="3"/>
  <c r="M1385" i="3"/>
  <c r="L1384" i="3"/>
  <c r="M1384" i="3"/>
  <c r="L1383" i="3"/>
  <c r="M1383" i="3"/>
  <c r="L1382" i="3"/>
  <c r="M1382" i="3"/>
  <c r="L1381" i="3"/>
  <c r="M1381" i="3"/>
  <c r="L1380" i="3"/>
  <c r="M1380" i="3"/>
  <c r="L1379" i="3"/>
  <c r="M1379" i="3"/>
  <c r="L1378" i="3"/>
  <c r="M1378" i="3"/>
  <c r="L1377" i="3"/>
  <c r="M1377" i="3"/>
  <c r="L1376" i="3"/>
  <c r="M1376" i="3"/>
  <c r="L1375" i="3"/>
  <c r="M1375" i="3"/>
  <c r="L1374" i="3"/>
  <c r="M1374" i="3"/>
  <c r="L1373" i="3"/>
  <c r="M1373" i="3"/>
  <c r="L1372" i="3"/>
  <c r="M1372" i="3"/>
  <c r="L1371" i="3"/>
  <c r="M1371" i="3"/>
  <c r="L1370" i="3"/>
  <c r="M1370" i="3"/>
  <c r="L1369" i="3"/>
  <c r="M1369" i="3"/>
  <c r="L1368" i="3"/>
  <c r="M1368" i="3"/>
  <c r="L1367" i="3"/>
  <c r="M1367" i="3"/>
  <c r="L1366" i="3"/>
  <c r="M1366" i="3"/>
  <c r="L1365" i="3"/>
  <c r="M1365" i="3"/>
  <c r="L1364" i="3"/>
  <c r="M1364" i="3"/>
  <c r="L1363" i="3"/>
  <c r="M1363" i="3"/>
  <c r="L1362" i="3"/>
  <c r="M1362" i="3"/>
  <c r="L1361" i="3"/>
  <c r="M1361" i="3"/>
  <c r="L1360" i="3"/>
  <c r="M1360" i="3"/>
  <c r="L1359" i="3"/>
  <c r="M1359" i="3"/>
  <c r="L1358" i="3"/>
  <c r="M1358" i="3"/>
  <c r="L1357" i="3"/>
  <c r="M1357" i="3"/>
  <c r="L1356" i="3"/>
  <c r="M1356" i="3"/>
  <c r="L1355" i="3"/>
  <c r="M1355" i="3"/>
  <c r="L1354" i="3"/>
  <c r="M1354" i="3"/>
  <c r="L1353" i="3"/>
  <c r="M1353" i="3"/>
  <c r="L1352" i="3"/>
  <c r="M1352" i="3"/>
  <c r="L1351" i="3"/>
  <c r="M1351" i="3"/>
  <c r="L1350" i="3"/>
  <c r="M1350" i="3"/>
  <c r="L1349" i="3"/>
  <c r="M1349" i="3"/>
  <c r="L1348" i="3"/>
  <c r="M1348" i="3"/>
  <c r="L1347" i="3"/>
  <c r="M1347" i="3"/>
  <c r="L1346" i="3"/>
  <c r="M1346" i="3"/>
  <c r="L1345" i="3"/>
  <c r="M1345" i="3"/>
  <c r="L1344" i="3"/>
  <c r="M1344" i="3"/>
  <c r="L1343" i="3"/>
  <c r="M1343" i="3"/>
  <c r="L1342" i="3"/>
  <c r="M1342" i="3"/>
  <c r="L1341" i="3"/>
  <c r="M1341" i="3"/>
  <c r="L1340" i="3"/>
  <c r="M1340" i="3"/>
  <c r="L1339" i="3"/>
  <c r="M1339" i="3"/>
  <c r="L1338" i="3"/>
  <c r="M1338" i="3"/>
  <c r="L1337" i="3"/>
  <c r="M1337" i="3"/>
  <c r="L1336" i="3"/>
  <c r="M1336" i="3"/>
  <c r="L1335" i="3"/>
  <c r="M1335" i="3"/>
  <c r="L1334" i="3"/>
  <c r="M1334" i="3"/>
  <c r="L1333" i="3"/>
  <c r="M1333" i="3"/>
  <c r="L1332" i="3"/>
  <c r="M1332" i="3"/>
  <c r="L1331" i="3"/>
  <c r="M1331" i="3"/>
  <c r="L1330" i="3"/>
  <c r="M1330" i="3"/>
  <c r="L1329" i="3"/>
  <c r="M1329" i="3"/>
  <c r="L1328" i="3"/>
  <c r="M1328" i="3"/>
  <c r="L1327" i="3"/>
  <c r="M1327" i="3"/>
  <c r="L1326" i="3"/>
  <c r="M1326" i="3"/>
  <c r="L1325" i="3"/>
  <c r="M1325" i="3"/>
  <c r="L1324" i="3"/>
  <c r="M1324" i="3"/>
  <c r="L1323" i="3"/>
  <c r="M1323" i="3"/>
  <c r="L1322" i="3"/>
  <c r="M1322" i="3"/>
  <c r="L1321" i="3"/>
  <c r="M1321" i="3"/>
  <c r="L1320" i="3"/>
  <c r="M1320" i="3"/>
  <c r="L1319" i="3"/>
  <c r="M1319" i="3"/>
  <c r="L1318" i="3"/>
  <c r="M1318" i="3"/>
  <c r="L1317" i="3"/>
  <c r="M1317" i="3"/>
  <c r="L1316" i="3"/>
  <c r="M1316" i="3"/>
  <c r="L1315" i="3"/>
  <c r="M1315" i="3"/>
  <c r="L1314" i="3"/>
  <c r="M1314" i="3"/>
  <c r="L1313" i="3"/>
  <c r="M1313" i="3"/>
  <c r="L1312" i="3"/>
  <c r="M1312" i="3"/>
  <c r="L1311" i="3"/>
  <c r="M1311" i="3"/>
  <c r="L1310" i="3"/>
  <c r="M1310" i="3"/>
  <c r="L1309" i="3"/>
  <c r="M1309" i="3"/>
  <c r="L1308" i="3"/>
  <c r="M1308" i="3"/>
  <c r="L1307" i="3"/>
  <c r="M1307" i="3"/>
  <c r="L1306" i="3"/>
  <c r="M1306" i="3"/>
  <c r="L1305" i="3"/>
  <c r="M1305" i="3"/>
  <c r="L1304" i="3"/>
  <c r="M1304" i="3"/>
  <c r="L1303" i="3"/>
  <c r="M1303" i="3"/>
  <c r="L1302" i="3"/>
  <c r="M1302" i="3"/>
  <c r="L1301" i="3"/>
  <c r="M1301" i="3"/>
  <c r="L1300" i="3"/>
  <c r="M1300" i="3"/>
  <c r="L1299" i="3"/>
  <c r="M1299" i="3"/>
  <c r="L1298" i="3"/>
  <c r="M1298" i="3"/>
  <c r="L1297" i="3"/>
  <c r="M1297" i="3"/>
  <c r="L1296" i="3"/>
  <c r="M1296" i="3"/>
  <c r="L1295" i="3"/>
  <c r="M1295" i="3"/>
  <c r="L1294" i="3"/>
  <c r="M1294" i="3"/>
  <c r="L1293" i="3"/>
  <c r="M1293" i="3"/>
  <c r="L1292" i="3"/>
  <c r="M1292" i="3"/>
  <c r="L1291" i="3"/>
  <c r="M1291" i="3"/>
  <c r="L1290" i="3"/>
  <c r="M1290" i="3"/>
  <c r="L1289" i="3"/>
  <c r="M1289" i="3"/>
  <c r="L1288" i="3"/>
  <c r="M1288" i="3"/>
  <c r="L1287" i="3"/>
  <c r="M1287" i="3"/>
  <c r="L1286" i="3"/>
  <c r="M1286" i="3"/>
  <c r="L1285" i="3"/>
  <c r="M1285" i="3"/>
  <c r="L1284" i="3"/>
  <c r="M1284" i="3"/>
  <c r="L1283" i="3"/>
  <c r="M1283" i="3"/>
  <c r="L1282" i="3"/>
  <c r="M1282" i="3"/>
  <c r="L1281" i="3"/>
  <c r="M1281" i="3"/>
  <c r="L1280" i="3"/>
  <c r="M1280" i="3"/>
  <c r="L1279" i="3"/>
  <c r="M1279" i="3"/>
  <c r="L1278" i="3"/>
  <c r="M1278" i="3"/>
  <c r="L1277" i="3"/>
  <c r="M1277" i="3"/>
  <c r="L1276" i="3"/>
  <c r="M1276" i="3"/>
  <c r="L1275" i="3"/>
  <c r="M1275" i="3"/>
  <c r="L1274" i="3"/>
  <c r="M1274" i="3"/>
  <c r="L1273" i="3"/>
  <c r="M1273" i="3"/>
  <c r="L1272" i="3"/>
  <c r="M1272" i="3"/>
  <c r="L1271" i="3"/>
  <c r="M1271" i="3"/>
  <c r="L1270" i="3"/>
  <c r="M1270" i="3"/>
  <c r="L1269" i="3"/>
  <c r="M1269" i="3"/>
  <c r="L1268" i="3"/>
  <c r="M1268" i="3"/>
  <c r="L1267" i="3"/>
  <c r="M1267" i="3"/>
  <c r="L1266" i="3"/>
  <c r="M1266" i="3"/>
  <c r="L1265" i="3"/>
  <c r="M1265" i="3"/>
  <c r="L1264" i="3"/>
  <c r="M1264" i="3"/>
  <c r="L1263" i="3"/>
  <c r="M1263" i="3"/>
  <c r="L1262" i="3"/>
  <c r="M1262" i="3"/>
  <c r="L1261" i="3"/>
  <c r="M1261" i="3"/>
  <c r="L1260" i="3"/>
  <c r="M1260" i="3"/>
  <c r="L1259" i="3"/>
  <c r="M1259" i="3"/>
  <c r="L1258" i="3"/>
  <c r="M1258" i="3"/>
  <c r="L1257" i="3"/>
  <c r="M1257" i="3"/>
  <c r="L1256" i="3"/>
  <c r="M1256" i="3"/>
  <c r="L1255" i="3"/>
  <c r="M1255" i="3"/>
  <c r="L1254" i="3"/>
  <c r="M1254" i="3"/>
  <c r="L1253" i="3"/>
  <c r="M1253" i="3"/>
  <c r="L1252" i="3"/>
  <c r="M1252" i="3"/>
  <c r="L1251" i="3"/>
  <c r="M1251" i="3"/>
  <c r="L1250" i="3"/>
  <c r="M1250" i="3"/>
  <c r="L1249" i="3"/>
  <c r="M1249" i="3"/>
  <c r="L1248" i="3"/>
  <c r="M1248" i="3"/>
  <c r="L1247" i="3"/>
  <c r="M1247" i="3"/>
  <c r="L1246" i="3"/>
  <c r="M1246" i="3"/>
  <c r="L1245" i="3"/>
  <c r="M1245" i="3"/>
  <c r="L1244" i="3"/>
  <c r="M1244" i="3"/>
  <c r="L1243" i="3"/>
  <c r="M1243" i="3"/>
  <c r="L1242" i="3"/>
  <c r="M1242" i="3"/>
  <c r="L1241" i="3"/>
  <c r="M1241" i="3"/>
  <c r="L1240" i="3"/>
  <c r="M1240" i="3"/>
  <c r="L1239" i="3"/>
  <c r="M1239" i="3"/>
  <c r="L1238" i="3"/>
  <c r="M1238" i="3"/>
  <c r="L1237" i="3"/>
  <c r="M1237" i="3"/>
  <c r="L1236" i="3"/>
  <c r="M1236" i="3"/>
  <c r="L1235" i="3"/>
  <c r="M1235" i="3"/>
  <c r="L1234" i="3"/>
  <c r="M1234" i="3"/>
  <c r="L1233" i="3"/>
  <c r="M1233" i="3"/>
  <c r="L1232" i="3"/>
  <c r="M1232" i="3"/>
  <c r="L1231" i="3"/>
  <c r="M1231" i="3"/>
  <c r="L1230" i="3"/>
  <c r="M1230" i="3"/>
  <c r="L1229" i="3"/>
  <c r="M1229" i="3"/>
  <c r="L1228" i="3"/>
  <c r="M1228" i="3"/>
  <c r="L1227" i="3"/>
  <c r="M1227" i="3"/>
  <c r="L1226" i="3"/>
  <c r="M1226" i="3"/>
  <c r="L1225" i="3"/>
  <c r="M1225" i="3"/>
  <c r="L1224" i="3"/>
  <c r="M1224" i="3"/>
  <c r="L1223" i="3"/>
  <c r="M1223" i="3"/>
  <c r="L1222" i="3"/>
  <c r="M1222" i="3"/>
  <c r="L1221" i="3"/>
  <c r="M1221" i="3"/>
  <c r="L1220" i="3"/>
  <c r="M1220" i="3"/>
  <c r="L1219" i="3"/>
  <c r="M1219" i="3"/>
  <c r="L1218" i="3"/>
  <c r="M1218" i="3"/>
  <c r="L1217" i="3"/>
  <c r="M1217" i="3"/>
  <c r="L1216" i="3"/>
  <c r="M1216" i="3"/>
  <c r="L1215" i="3"/>
  <c r="M1215" i="3"/>
  <c r="L1214" i="3"/>
  <c r="M1214" i="3"/>
  <c r="L1213" i="3"/>
  <c r="M1213" i="3"/>
  <c r="L1212" i="3"/>
  <c r="M1212" i="3"/>
  <c r="L1211" i="3"/>
  <c r="M1211" i="3"/>
  <c r="L1210" i="3"/>
  <c r="M1210" i="3"/>
  <c r="L1209" i="3"/>
  <c r="M1209" i="3"/>
  <c r="L1208" i="3"/>
  <c r="M1208" i="3"/>
  <c r="L1207" i="3"/>
  <c r="M1207" i="3"/>
  <c r="L1206" i="3"/>
  <c r="M1206" i="3"/>
  <c r="L1205" i="3"/>
  <c r="M1205" i="3"/>
  <c r="L1204" i="3"/>
  <c r="M1204" i="3"/>
  <c r="L1203" i="3"/>
  <c r="M1203" i="3"/>
  <c r="L1202" i="3"/>
  <c r="M1202" i="3"/>
  <c r="L1201" i="3"/>
  <c r="M1201" i="3"/>
  <c r="L1200" i="3"/>
  <c r="M1200" i="3"/>
  <c r="L1199" i="3"/>
  <c r="M1199" i="3"/>
  <c r="L1198" i="3"/>
  <c r="M1198" i="3"/>
  <c r="L1197" i="3"/>
  <c r="M1197" i="3"/>
  <c r="L1196" i="3"/>
  <c r="M1196" i="3"/>
  <c r="L1195" i="3"/>
  <c r="M1195" i="3"/>
  <c r="L1194" i="3"/>
  <c r="M1194" i="3"/>
  <c r="L1193" i="3"/>
  <c r="M1193" i="3"/>
  <c r="L1192" i="3"/>
  <c r="M1192" i="3"/>
  <c r="L1191" i="3"/>
  <c r="M1191" i="3"/>
  <c r="L1190" i="3"/>
  <c r="M1190" i="3"/>
  <c r="L1189" i="3"/>
  <c r="M1189" i="3"/>
  <c r="L1188" i="3"/>
  <c r="M1188" i="3"/>
  <c r="L1187" i="3"/>
  <c r="M1187" i="3"/>
  <c r="L1186" i="3"/>
  <c r="M1186" i="3"/>
  <c r="L1185" i="3"/>
  <c r="M1185" i="3"/>
  <c r="L1184" i="3"/>
  <c r="M1184" i="3"/>
  <c r="L1183" i="3"/>
  <c r="M1183" i="3"/>
  <c r="L1182" i="3"/>
  <c r="M1182" i="3"/>
  <c r="L1181" i="3"/>
  <c r="M1181" i="3"/>
  <c r="L1180" i="3"/>
  <c r="M1180" i="3"/>
  <c r="L1179" i="3"/>
  <c r="M1179" i="3"/>
  <c r="L1178" i="3"/>
  <c r="M1178" i="3"/>
  <c r="L1177" i="3"/>
  <c r="M1177" i="3"/>
  <c r="L1176" i="3"/>
  <c r="M1176" i="3"/>
  <c r="L1175" i="3"/>
  <c r="M1175" i="3"/>
  <c r="L1174" i="3"/>
  <c r="M1174" i="3"/>
  <c r="L1173" i="3"/>
  <c r="M1173" i="3"/>
  <c r="L1172" i="3"/>
  <c r="M1172" i="3"/>
  <c r="L1171" i="3"/>
  <c r="M1171" i="3"/>
  <c r="L1170" i="3"/>
  <c r="M1170" i="3"/>
  <c r="L1169" i="3"/>
  <c r="M1169" i="3"/>
  <c r="L1168" i="3"/>
  <c r="M1168" i="3"/>
  <c r="L1167" i="3"/>
  <c r="M1167" i="3"/>
  <c r="L1166" i="3"/>
  <c r="M1166" i="3"/>
  <c r="L1165" i="3"/>
  <c r="M1165" i="3"/>
  <c r="L1164" i="3"/>
  <c r="M1164" i="3"/>
  <c r="L1163" i="3"/>
  <c r="M1163" i="3"/>
  <c r="L1162" i="3"/>
  <c r="M1162" i="3"/>
  <c r="L1161" i="3"/>
  <c r="M1161" i="3"/>
  <c r="L1160" i="3"/>
  <c r="M1160" i="3"/>
  <c r="L1159" i="3"/>
  <c r="M1159" i="3"/>
  <c r="L1158" i="3"/>
  <c r="M1158" i="3"/>
  <c r="L1157" i="3"/>
  <c r="M1157" i="3"/>
  <c r="L1156" i="3"/>
  <c r="M1156" i="3"/>
  <c r="L1155" i="3"/>
  <c r="M1155" i="3"/>
  <c r="L1154" i="3"/>
  <c r="M1154" i="3"/>
  <c r="L1153" i="3"/>
  <c r="M1153" i="3"/>
  <c r="L1152" i="3"/>
  <c r="M1152" i="3"/>
  <c r="L1151" i="3"/>
  <c r="M1151" i="3"/>
  <c r="L1150" i="3"/>
  <c r="M1150" i="3"/>
  <c r="L1149" i="3"/>
  <c r="M1149" i="3"/>
  <c r="L1148" i="3"/>
  <c r="M1148" i="3"/>
  <c r="L1147" i="3"/>
  <c r="M1147" i="3"/>
  <c r="L1146" i="3"/>
  <c r="M1146" i="3"/>
  <c r="L1145" i="3"/>
  <c r="M1145" i="3"/>
  <c r="L1144" i="3"/>
  <c r="M1144" i="3"/>
  <c r="L1143" i="3"/>
  <c r="M1143" i="3"/>
  <c r="L1142" i="3"/>
  <c r="M1142" i="3"/>
  <c r="L1141" i="3"/>
  <c r="M1141" i="3"/>
  <c r="L1140" i="3"/>
  <c r="M1140" i="3"/>
  <c r="L1139" i="3"/>
  <c r="M1139" i="3"/>
  <c r="L1138" i="3"/>
  <c r="M1138" i="3"/>
  <c r="L1137" i="3"/>
  <c r="M1137" i="3"/>
  <c r="L1136" i="3"/>
  <c r="M1136" i="3"/>
  <c r="L1135" i="3"/>
  <c r="M1135" i="3"/>
  <c r="L1134" i="3"/>
  <c r="M1134" i="3"/>
  <c r="L1133" i="3"/>
  <c r="M1133" i="3"/>
  <c r="L1132" i="3"/>
  <c r="M1132" i="3"/>
  <c r="L1131" i="3"/>
  <c r="M1131" i="3"/>
  <c r="L1130" i="3"/>
  <c r="M1130" i="3"/>
  <c r="L1129" i="3"/>
  <c r="M1129" i="3"/>
  <c r="L1128" i="3"/>
  <c r="M1128" i="3"/>
  <c r="L1127" i="3"/>
  <c r="M1127" i="3"/>
  <c r="L1126" i="3"/>
  <c r="M1126" i="3"/>
  <c r="L1125" i="3"/>
  <c r="M1125" i="3"/>
  <c r="L1124" i="3"/>
  <c r="M1124" i="3"/>
  <c r="L1123" i="3"/>
  <c r="M1123" i="3"/>
  <c r="L1122" i="3"/>
  <c r="M1122" i="3"/>
  <c r="L1121" i="3"/>
  <c r="M1121" i="3"/>
  <c r="L1120" i="3"/>
  <c r="M1120" i="3"/>
  <c r="L1119" i="3"/>
  <c r="M1119" i="3"/>
  <c r="L1118" i="3"/>
  <c r="M1118" i="3"/>
  <c r="L1117" i="3"/>
  <c r="M1117" i="3"/>
  <c r="L1116" i="3"/>
  <c r="M1116" i="3"/>
  <c r="L1115" i="3"/>
  <c r="M1115" i="3"/>
  <c r="L1114" i="3"/>
  <c r="M1114" i="3"/>
  <c r="L1113" i="3"/>
  <c r="M1113" i="3"/>
  <c r="L1112" i="3"/>
  <c r="M1112" i="3"/>
  <c r="L1111" i="3"/>
  <c r="M1111" i="3"/>
  <c r="L1110" i="3"/>
  <c r="M1110" i="3"/>
  <c r="L1109" i="3"/>
  <c r="M1109" i="3"/>
  <c r="L1108" i="3"/>
  <c r="M1108" i="3"/>
  <c r="L1107" i="3"/>
  <c r="M1107" i="3"/>
  <c r="L1106" i="3"/>
  <c r="M1106" i="3"/>
  <c r="L1105" i="3"/>
  <c r="M1105" i="3"/>
  <c r="L1104" i="3"/>
  <c r="M1104" i="3"/>
  <c r="L1103" i="3"/>
  <c r="M1103" i="3"/>
  <c r="L1102" i="3"/>
  <c r="M1102" i="3"/>
  <c r="L1101" i="3"/>
  <c r="M1101" i="3"/>
  <c r="L1100" i="3"/>
  <c r="M1100" i="3"/>
  <c r="L1099" i="3"/>
  <c r="M1099" i="3"/>
  <c r="L1098" i="3"/>
  <c r="M1098" i="3"/>
  <c r="L1097" i="3"/>
  <c r="M1097" i="3"/>
  <c r="L1096" i="3"/>
  <c r="M1096" i="3"/>
  <c r="L1095" i="3"/>
  <c r="M1095" i="3"/>
  <c r="L1094" i="3"/>
  <c r="M1094" i="3"/>
  <c r="L1093" i="3"/>
  <c r="M1093" i="3"/>
  <c r="L1092" i="3"/>
  <c r="M1092" i="3"/>
  <c r="L1091" i="3"/>
  <c r="M1091" i="3"/>
  <c r="L1090" i="3"/>
  <c r="M1090" i="3"/>
  <c r="L1089" i="3"/>
  <c r="M1089" i="3"/>
  <c r="L1088" i="3"/>
  <c r="M1088" i="3"/>
  <c r="L1087" i="3"/>
  <c r="M1087" i="3"/>
  <c r="L1086" i="3"/>
  <c r="M1086" i="3"/>
  <c r="L1085" i="3"/>
  <c r="M1085" i="3"/>
  <c r="L1084" i="3"/>
  <c r="M1084" i="3"/>
  <c r="L1083" i="3"/>
  <c r="M1083" i="3"/>
  <c r="L1082" i="3"/>
  <c r="M1082" i="3"/>
  <c r="L1081" i="3"/>
  <c r="M1081" i="3"/>
  <c r="L1080" i="3"/>
  <c r="M1080" i="3"/>
  <c r="L1079" i="3"/>
  <c r="M1079" i="3"/>
  <c r="L1078" i="3"/>
  <c r="M1078" i="3"/>
  <c r="L1077" i="3"/>
  <c r="M1077" i="3"/>
  <c r="L1076" i="3"/>
  <c r="M1076" i="3"/>
  <c r="L1075" i="3"/>
  <c r="M1075" i="3"/>
  <c r="L1074" i="3"/>
  <c r="M1074" i="3"/>
  <c r="L1073" i="3"/>
  <c r="M1073" i="3"/>
  <c r="L1072" i="3"/>
  <c r="M1072" i="3"/>
  <c r="L1071" i="3"/>
  <c r="M1071" i="3"/>
  <c r="L1070" i="3"/>
  <c r="M1070" i="3"/>
  <c r="L1069" i="3"/>
  <c r="M1069" i="3"/>
  <c r="L1068" i="3"/>
  <c r="M1068" i="3"/>
  <c r="L1067" i="3"/>
  <c r="M1067" i="3"/>
  <c r="L1066" i="3"/>
  <c r="M1066" i="3"/>
  <c r="L1065" i="3"/>
  <c r="M1065" i="3"/>
  <c r="L1064" i="3"/>
  <c r="M1064" i="3"/>
  <c r="L1063" i="3"/>
  <c r="M1063" i="3"/>
  <c r="L1062" i="3"/>
  <c r="M1062" i="3"/>
  <c r="L1061" i="3"/>
  <c r="M1061" i="3"/>
  <c r="L1060" i="3"/>
  <c r="M1060" i="3"/>
  <c r="L1059" i="3"/>
  <c r="M1059" i="3"/>
  <c r="L1058" i="3"/>
  <c r="M1058" i="3"/>
  <c r="L1057" i="3"/>
  <c r="M1057" i="3"/>
  <c r="L1056" i="3"/>
  <c r="M1056" i="3"/>
  <c r="L1055" i="3"/>
  <c r="M1055" i="3"/>
  <c r="L1054" i="3"/>
  <c r="M1054" i="3"/>
  <c r="L1053" i="3"/>
  <c r="M1053" i="3"/>
  <c r="L1052" i="3"/>
  <c r="M1052" i="3"/>
  <c r="L1051" i="3"/>
  <c r="M1051" i="3"/>
  <c r="L1050" i="3"/>
  <c r="M1050" i="3"/>
  <c r="L1049" i="3"/>
  <c r="M1049" i="3"/>
  <c r="L1048" i="3"/>
  <c r="M1048" i="3"/>
  <c r="L1047" i="3"/>
  <c r="M1047" i="3"/>
  <c r="L1046" i="3"/>
  <c r="M1046" i="3"/>
  <c r="L1045" i="3"/>
  <c r="M1045" i="3"/>
  <c r="L1044" i="3"/>
  <c r="M1044" i="3"/>
  <c r="L1043" i="3"/>
  <c r="M1043" i="3"/>
  <c r="L1042" i="3"/>
  <c r="M1042" i="3"/>
  <c r="L1041" i="3"/>
  <c r="M1041" i="3"/>
  <c r="L1040" i="3"/>
  <c r="M1040" i="3"/>
  <c r="L1039" i="3"/>
  <c r="M1039" i="3"/>
  <c r="L1038" i="3"/>
  <c r="M1038" i="3"/>
  <c r="L1037" i="3"/>
  <c r="M1037" i="3"/>
  <c r="L1036" i="3"/>
  <c r="M1036" i="3"/>
  <c r="L1035" i="3"/>
  <c r="M1035" i="3"/>
  <c r="L1034" i="3"/>
  <c r="M1034" i="3"/>
  <c r="L1033" i="3"/>
  <c r="M1033" i="3"/>
  <c r="L1032" i="3"/>
  <c r="M1032" i="3"/>
  <c r="L1031" i="3"/>
  <c r="M1031" i="3"/>
  <c r="L1030" i="3"/>
  <c r="M1030" i="3"/>
  <c r="L1029" i="3"/>
  <c r="M1029" i="3"/>
  <c r="L1028" i="3"/>
  <c r="M1028" i="3"/>
  <c r="L1027" i="3"/>
  <c r="M1027" i="3"/>
  <c r="L1026" i="3"/>
  <c r="M1026" i="3"/>
  <c r="L1025" i="3"/>
  <c r="M1025" i="3"/>
  <c r="L1024" i="3"/>
  <c r="M1024" i="3"/>
  <c r="L1023" i="3"/>
  <c r="M1023" i="3"/>
  <c r="L1022" i="3"/>
  <c r="M1022" i="3"/>
  <c r="L1021" i="3"/>
  <c r="M1021" i="3"/>
  <c r="L1020" i="3"/>
  <c r="M1020" i="3"/>
  <c r="L1019" i="3"/>
  <c r="M1019" i="3"/>
  <c r="L1018" i="3"/>
  <c r="M1018" i="3"/>
  <c r="L1017" i="3"/>
  <c r="M1017" i="3"/>
  <c r="L1016" i="3"/>
  <c r="M1016" i="3"/>
  <c r="L1015" i="3"/>
  <c r="M1015" i="3"/>
  <c r="L1014" i="3"/>
  <c r="M1014" i="3"/>
  <c r="L1013" i="3"/>
  <c r="M1013" i="3"/>
  <c r="L1012" i="3"/>
  <c r="M1012" i="3"/>
  <c r="L1011" i="3"/>
  <c r="M1011" i="3"/>
  <c r="L1010" i="3"/>
  <c r="M1010" i="3"/>
  <c r="L1009" i="3"/>
  <c r="M1009" i="3"/>
  <c r="L1008" i="3"/>
  <c r="M1008" i="3"/>
  <c r="L1007" i="3"/>
  <c r="M1007" i="3"/>
  <c r="L1006" i="3"/>
  <c r="M1006" i="3"/>
  <c r="L1005" i="3"/>
  <c r="M1005" i="3"/>
  <c r="L1004" i="3"/>
  <c r="M1004" i="3"/>
  <c r="L1003" i="3"/>
  <c r="M1003" i="3"/>
  <c r="L1002" i="3"/>
  <c r="M1002" i="3"/>
  <c r="L1001" i="3"/>
  <c r="M1001" i="3"/>
  <c r="L1000" i="3"/>
  <c r="M1000" i="3"/>
  <c r="L999" i="3"/>
  <c r="M999" i="3"/>
  <c r="L998" i="3"/>
  <c r="M998" i="3"/>
  <c r="L997" i="3"/>
  <c r="M997" i="3"/>
  <c r="L996" i="3"/>
  <c r="M996" i="3"/>
  <c r="L995" i="3"/>
  <c r="M995" i="3"/>
  <c r="L994" i="3"/>
  <c r="M994" i="3"/>
  <c r="L993" i="3"/>
  <c r="M993" i="3"/>
  <c r="L992" i="3"/>
  <c r="M992" i="3"/>
  <c r="L991" i="3"/>
  <c r="M991" i="3"/>
  <c r="L990" i="3"/>
  <c r="M990" i="3"/>
  <c r="L989" i="3"/>
  <c r="M989" i="3"/>
  <c r="L988" i="3"/>
  <c r="M988" i="3"/>
  <c r="L987" i="3"/>
  <c r="M987" i="3"/>
  <c r="L986" i="3"/>
  <c r="M986" i="3"/>
  <c r="L985" i="3"/>
  <c r="M985" i="3"/>
  <c r="L984" i="3"/>
  <c r="M984" i="3"/>
  <c r="L983" i="3"/>
  <c r="M983" i="3"/>
  <c r="L982" i="3"/>
  <c r="M982" i="3"/>
  <c r="L981" i="3"/>
  <c r="M981" i="3"/>
  <c r="L980" i="3"/>
  <c r="M980" i="3"/>
  <c r="L979" i="3"/>
  <c r="M979" i="3"/>
  <c r="L978" i="3"/>
  <c r="M978" i="3"/>
  <c r="L977" i="3"/>
  <c r="M977" i="3"/>
  <c r="L976" i="3"/>
  <c r="M976" i="3"/>
  <c r="L975" i="3"/>
  <c r="M975" i="3"/>
  <c r="L974" i="3"/>
  <c r="M974" i="3"/>
  <c r="L973" i="3"/>
  <c r="M973" i="3"/>
  <c r="L972" i="3"/>
  <c r="M972" i="3"/>
  <c r="L971" i="3"/>
  <c r="M971" i="3"/>
  <c r="L970" i="3"/>
  <c r="M970" i="3"/>
  <c r="L969" i="3"/>
  <c r="M969" i="3"/>
  <c r="L968" i="3"/>
  <c r="M968" i="3"/>
  <c r="L967" i="3"/>
  <c r="M967" i="3"/>
  <c r="L966" i="3"/>
  <c r="M966" i="3"/>
  <c r="L965" i="3"/>
  <c r="M965" i="3"/>
  <c r="L964" i="3"/>
  <c r="M964" i="3"/>
  <c r="L963" i="3"/>
  <c r="M963" i="3"/>
  <c r="L962" i="3"/>
  <c r="M962" i="3"/>
  <c r="L961" i="3"/>
  <c r="M961" i="3"/>
  <c r="L960" i="3"/>
  <c r="M960" i="3"/>
  <c r="L959" i="3"/>
  <c r="M959" i="3"/>
  <c r="L958" i="3"/>
  <c r="M958" i="3"/>
  <c r="L957" i="3"/>
  <c r="M957" i="3"/>
  <c r="L956" i="3"/>
  <c r="M956" i="3"/>
  <c r="L955" i="3"/>
  <c r="M955" i="3"/>
  <c r="L954" i="3"/>
  <c r="M954" i="3"/>
  <c r="L953" i="3"/>
  <c r="M953" i="3"/>
  <c r="L952" i="3"/>
  <c r="M952" i="3"/>
  <c r="L951" i="3"/>
  <c r="M951" i="3"/>
  <c r="L950" i="3"/>
  <c r="M950" i="3"/>
  <c r="L949" i="3"/>
  <c r="M949" i="3"/>
  <c r="L948" i="3"/>
  <c r="M948" i="3"/>
  <c r="L947" i="3"/>
  <c r="M947" i="3"/>
  <c r="L946" i="3"/>
  <c r="M946" i="3"/>
  <c r="L945" i="3"/>
  <c r="M945" i="3"/>
  <c r="L944" i="3"/>
  <c r="M944" i="3"/>
  <c r="L943" i="3"/>
  <c r="M943" i="3"/>
  <c r="L942" i="3"/>
  <c r="M942" i="3"/>
  <c r="L941" i="3"/>
  <c r="M941" i="3"/>
  <c r="L940" i="3"/>
  <c r="M940" i="3"/>
  <c r="L939" i="3"/>
  <c r="M939" i="3"/>
  <c r="L938" i="3"/>
  <c r="M938" i="3"/>
  <c r="L937" i="3"/>
  <c r="M937" i="3"/>
  <c r="L936" i="3"/>
  <c r="M936" i="3"/>
  <c r="L935" i="3"/>
  <c r="M935" i="3"/>
  <c r="L934" i="3"/>
  <c r="M934" i="3"/>
  <c r="L933" i="3"/>
  <c r="M933" i="3"/>
  <c r="L932" i="3"/>
  <c r="M932" i="3"/>
  <c r="L931" i="3"/>
  <c r="M931" i="3"/>
  <c r="L930" i="3"/>
  <c r="M930" i="3"/>
  <c r="L929" i="3"/>
  <c r="M929" i="3"/>
  <c r="L928" i="3"/>
  <c r="M928" i="3"/>
  <c r="L927" i="3"/>
  <c r="M927" i="3"/>
  <c r="L926" i="3"/>
  <c r="M926" i="3"/>
  <c r="L925" i="3"/>
  <c r="M925" i="3"/>
  <c r="L924" i="3"/>
  <c r="M924" i="3"/>
  <c r="L923" i="3"/>
  <c r="M923" i="3"/>
  <c r="L922" i="3"/>
  <c r="M922" i="3"/>
  <c r="L921" i="3"/>
  <c r="M921" i="3"/>
  <c r="L920" i="3"/>
  <c r="M920" i="3"/>
  <c r="L919" i="3"/>
  <c r="M919" i="3"/>
  <c r="L918" i="3"/>
  <c r="M918" i="3"/>
  <c r="L917" i="3"/>
  <c r="M917" i="3"/>
  <c r="L916" i="3"/>
  <c r="M916" i="3"/>
  <c r="L915" i="3"/>
  <c r="M915" i="3"/>
  <c r="L914" i="3"/>
  <c r="M914" i="3"/>
  <c r="L913" i="3"/>
  <c r="M913" i="3"/>
  <c r="L912" i="3"/>
  <c r="M912" i="3"/>
  <c r="L911" i="3"/>
  <c r="M911" i="3"/>
  <c r="L910" i="3"/>
  <c r="M910" i="3"/>
  <c r="L909" i="3"/>
  <c r="M909" i="3"/>
  <c r="L908" i="3"/>
  <c r="M908" i="3"/>
  <c r="L907" i="3"/>
  <c r="M907" i="3"/>
  <c r="L906" i="3"/>
  <c r="M906" i="3"/>
  <c r="L905" i="3"/>
  <c r="M905" i="3"/>
  <c r="L904" i="3"/>
  <c r="M904" i="3"/>
  <c r="L903" i="3"/>
  <c r="M903" i="3"/>
  <c r="L902" i="3"/>
  <c r="M902" i="3"/>
  <c r="L901" i="3"/>
  <c r="M901" i="3"/>
  <c r="L900" i="3"/>
  <c r="M900" i="3"/>
  <c r="L899" i="3"/>
  <c r="M899" i="3"/>
  <c r="L898" i="3"/>
  <c r="M898" i="3"/>
  <c r="L897" i="3"/>
  <c r="M897" i="3"/>
  <c r="L896" i="3"/>
  <c r="M896" i="3"/>
  <c r="L895" i="3"/>
  <c r="M895" i="3"/>
  <c r="L894" i="3"/>
  <c r="M894" i="3"/>
  <c r="L893" i="3"/>
  <c r="M893" i="3"/>
  <c r="L892" i="3"/>
  <c r="M892" i="3"/>
  <c r="L891" i="3"/>
  <c r="M891" i="3"/>
  <c r="L890" i="3"/>
  <c r="M890" i="3"/>
  <c r="L889" i="3"/>
  <c r="M889" i="3"/>
  <c r="L888" i="3"/>
  <c r="M888" i="3"/>
  <c r="L887" i="3"/>
  <c r="M887" i="3"/>
  <c r="L886" i="3"/>
  <c r="M886" i="3"/>
  <c r="L885" i="3"/>
  <c r="M885" i="3"/>
  <c r="L884" i="3"/>
  <c r="M884" i="3"/>
  <c r="L883" i="3"/>
  <c r="M883" i="3"/>
  <c r="L882" i="3"/>
  <c r="M882" i="3"/>
  <c r="L881" i="3"/>
  <c r="M881" i="3"/>
  <c r="L880" i="3"/>
  <c r="M880" i="3"/>
  <c r="L879" i="3"/>
  <c r="M879" i="3"/>
  <c r="L878" i="3"/>
  <c r="M878" i="3"/>
  <c r="L877" i="3"/>
  <c r="M877" i="3"/>
  <c r="L876" i="3"/>
  <c r="M876" i="3"/>
  <c r="L875" i="3"/>
  <c r="M875" i="3"/>
  <c r="L874" i="3"/>
  <c r="M874" i="3"/>
  <c r="L873" i="3"/>
  <c r="M873" i="3"/>
  <c r="L872" i="3"/>
  <c r="M872" i="3"/>
  <c r="L871" i="3"/>
  <c r="M871" i="3"/>
  <c r="L870" i="3"/>
  <c r="M870" i="3"/>
  <c r="L869" i="3"/>
  <c r="M869" i="3"/>
  <c r="L868" i="3"/>
  <c r="M868" i="3"/>
  <c r="L867" i="3"/>
  <c r="M867" i="3"/>
  <c r="L866" i="3"/>
  <c r="M866" i="3"/>
  <c r="L865" i="3"/>
  <c r="M865" i="3"/>
  <c r="L864" i="3"/>
  <c r="M864" i="3"/>
  <c r="L863" i="3"/>
  <c r="M863" i="3"/>
  <c r="L862" i="3"/>
  <c r="M862" i="3"/>
  <c r="L861" i="3"/>
  <c r="M861" i="3"/>
  <c r="L860" i="3"/>
  <c r="M860" i="3"/>
  <c r="L859" i="3"/>
  <c r="M859" i="3"/>
  <c r="L858" i="3"/>
  <c r="M858" i="3"/>
  <c r="L857" i="3"/>
  <c r="M857" i="3"/>
  <c r="L856" i="3"/>
  <c r="M856" i="3"/>
  <c r="L855" i="3"/>
  <c r="M855" i="3"/>
  <c r="L854" i="3"/>
  <c r="M854" i="3"/>
  <c r="L853" i="3"/>
  <c r="M853" i="3"/>
  <c r="L852" i="3"/>
  <c r="M852" i="3"/>
  <c r="L851" i="3"/>
  <c r="M851" i="3"/>
  <c r="L850" i="3"/>
  <c r="M850" i="3"/>
  <c r="L849" i="3"/>
  <c r="M849" i="3"/>
  <c r="L848" i="3"/>
  <c r="M848" i="3"/>
  <c r="L847" i="3"/>
  <c r="M847" i="3"/>
  <c r="L846" i="3"/>
  <c r="M846" i="3"/>
  <c r="L845" i="3"/>
  <c r="M845" i="3"/>
  <c r="L844" i="3"/>
  <c r="M844" i="3"/>
  <c r="L843" i="3"/>
  <c r="M843" i="3"/>
  <c r="L842" i="3"/>
  <c r="M842" i="3"/>
  <c r="L841" i="3"/>
  <c r="M841" i="3"/>
  <c r="L840" i="3"/>
  <c r="M840" i="3"/>
  <c r="L839" i="3"/>
  <c r="M839" i="3"/>
  <c r="L838" i="3"/>
  <c r="M838" i="3"/>
  <c r="L837" i="3"/>
  <c r="M837" i="3"/>
  <c r="L836" i="3"/>
  <c r="M836" i="3"/>
  <c r="L835" i="3"/>
  <c r="M835" i="3"/>
  <c r="L834" i="3"/>
  <c r="M834" i="3"/>
  <c r="L833" i="3"/>
  <c r="M833" i="3"/>
  <c r="L832" i="3"/>
  <c r="M832" i="3"/>
  <c r="L831" i="3"/>
  <c r="M831" i="3"/>
  <c r="L830" i="3"/>
  <c r="M830" i="3"/>
  <c r="L829" i="3"/>
  <c r="M829" i="3"/>
  <c r="L828" i="3"/>
  <c r="M828" i="3"/>
  <c r="L827" i="3"/>
  <c r="M827" i="3"/>
  <c r="L826" i="3"/>
  <c r="M826" i="3"/>
  <c r="L825" i="3"/>
  <c r="M825" i="3"/>
  <c r="L824" i="3"/>
  <c r="M824" i="3"/>
  <c r="L823" i="3"/>
  <c r="M823" i="3"/>
  <c r="L822" i="3"/>
  <c r="M822" i="3"/>
  <c r="L821" i="3"/>
  <c r="M821" i="3"/>
  <c r="L820" i="3"/>
  <c r="M820" i="3"/>
  <c r="L819" i="3"/>
  <c r="M819" i="3"/>
  <c r="L818" i="3"/>
  <c r="M818" i="3"/>
  <c r="L817" i="3"/>
  <c r="M817" i="3"/>
  <c r="L816" i="3"/>
  <c r="M816" i="3"/>
  <c r="L815" i="3"/>
  <c r="M815" i="3"/>
  <c r="L814" i="3"/>
  <c r="M814" i="3"/>
  <c r="L813" i="3"/>
  <c r="M813" i="3"/>
  <c r="L812" i="3"/>
  <c r="M812" i="3"/>
  <c r="L811" i="3"/>
  <c r="M811" i="3"/>
  <c r="L810" i="3"/>
  <c r="M810" i="3"/>
  <c r="L809" i="3"/>
  <c r="M809" i="3"/>
  <c r="L808" i="3"/>
  <c r="M808" i="3"/>
  <c r="L807" i="3"/>
  <c r="M807" i="3"/>
  <c r="L806" i="3"/>
  <c r="M806" i="3"/>
  <c r="L805" i="3"/>
  <c r="M805" i="3"/>
  <c r="L804" i="3"/>
  <c r="M804" i="3"/>
  <c r="L803" i="3"/>
  <c r="M803" i="3"/>
  <c r="L802" i="3"/>
  <c r="M802" i="3"/>
  <c r="L801" i="3"/>
  <c r="M801" i="3"/>
  <c r="L800" i="3"/>
  <c r="M800" i="3"/>
  <c r="L799" i="3"/>
  <c r="M799" i="3"/>
  <c r="L798" i="3"/>
  <c r="M798" i="3"/>
  <c r="L797" i="3"/>
  <c r="M797" i="3"/>
  <c r="L796" i="3"/>
  <c r="M796" i="3"/>
  <c r="L795" i="3"/>
  <c r="M795" i="3"/>
  <c r="L794" i="3"/>
  <c r="M794" i="3"/>
  <c r="L793" i="3"/>
  <c r="M793" i="3"/>
  <c r="L792" i="3"/>
  <c r="M792" i="3"/>
  <c r="L791" i="3"/>
  <c r="M791" i="3"/>
  <c r="L790" i="3"/>
  <c r="M790" i="3"/>
  <c r="L789" i="3"/>
  <c r="M789" i="3"/>
  <c r="L788" i="3"/>
  <c r="M788" i="3"/>
  <c r="L787" i="3"/>
  <c r="M787" i="3"/>
  <c r="L786" i="3"/>
  <c r="M786" i="3"/>
  <c r="L785" i="3"/>
  <c r="M785" i="3"/>
  <c r="L784" i="3"/>
  <c r="M784" i="3"/>
  <c r="L783" i="3"/>
  <c r="M783" i="3"/>
  <c r="L782" i="3"/>
  <c r="M782" i="3"/>
  <c r="L781" i="3"/>
  <c r="M781" i="3"/>
  <c r="L780" i="3"/>
  <c r="M780" i="3"/>
  <c r="L779" i="3"/>
  <c r="M779" i="3"/>
  <c r="L778" i="3"/>
  <c r="M778" i="3"/>
  <c r="L777" i="3"/>
  <c r="M777" i="3"/>
  <c r="L776" i="3"/>
  <c r="M776" i="3"/>
  <c r="L775" i="3"/>
  <c r="M775" i="3"/>
  <c r="L774" i="3"/>
  <c r="M774" i="3"/>
  <c r="L773" i="3"/>
  <c r="M773" i="3"/>
  <c r="L772" i="3"/>
  <c r="M772" i="3"/>
  <c r="L771" i="3"/>
  <c r="M771" i="3"/>
  <c r="L770" i="3"/>
  <c r="M770" i="3"/>
  <c r="L769" i="3"/>
  <c r="M769" i="3"/>
  <c r="L768" i="3"/>
  <c r="M768" i="3"/>
  <c r="L767" i="3"/>
  <c r="M767" i="3"/>
  <c r="L766" i="3"/>
  <c r="M766" i="3"/>
  <c r="L765" i="3"/>
  <c r="M765" i="3"/>
  <c r="L764" i="3"/>
  <c r="M764" i="3"/>
  <c r="L763" i="3"/>
  <c r="M763" i="3"/>
  <c r="L762" i="3"/>
  <c r="M762" i="3"/>
  <c r="L761" i="3"/>
  <c r="M761" i="3"/>
  <c r="L760" i="3"/>
  <c r="M760" i="3"/>
  <c r="L759" i="3"/>
  <c r="M759" i="3"/>
  <c r="L758" i="3"/>
  <c r="M758" i="3"/>
  <c r="L757" i="3"/>
  <c r="M757" i="3"/>
  <c r="L756" i="3"/>
  <c r="M756" i="3"/>
  <c r="L755" i="3"/>
  <c r="M755" i="3"/>
  <c r="L754" i="3"/>
  <c r="M754" i="3"/>
  <c r="L753" i="3"/>
  <c r="M753" i="3"/>
  <c r="L752" i="3"/>
  <c r="M752" i="3"/>
  <c r="L751" i="3"/>
  <c r="M751" i="3"/>
  <c r="L750" i="3"/>
  <c r="M750" i="3"/>
  <c r="L749" i="3"/>
  <c r="M749" i="3"/>
  <c r="L748" i="3"/>
  <c r="M748" i="3"/>
  <c r="L747" i="3"/>
  <c r="M747" i="3"/>
  <c r="L746" i="3"/>
  <c r="M746" i="3"/>
  <c r="L745" i="3"/>
  <c r="M745" i="3"/>
  <c r="L744" i="3"/>
  <c r="M744" i="3"/>
  <c r="L743" i="3"/>
  <c r="M743" i="3"/>
  <c r="L742" i="3"/>
  <c r="M742" i="3"/>
  <c r="L741" i="3"/>
  <c r="M741" i="3"/>
  <c r="L740" i="3"/>
  <c r="M740" i="3"/>
  <c r="L739" i="3"/>
  <c r="M739" i="3"/>
  <c r="L738" i="3"/>
  <c r="M738" i="3"/>
  <c r="L737" i="3"/>
  <c r="M737" i="3"/>
  <c r="L736" i="3"/>
  <c r="M736" i="3"/>
  <c r="L735" i="3"/>
  <c r="M735" i="3"/>
  <c r="L734" i="3"/>
  <c r="M734" i="3"/>
  <c r="L733" i="3"/>
  <c r="M733" i="3"/>
  <c r="L732" i="3"/>
  <c r="M732" i="3"/>
  <c r="L731" i="3"/>
  <c r="M731" i="3"/>
  <c r="L730" i="3"/>
  <c r="M730" i="3"/>
  <c r="L729" i="3"/>
  <c r="M729" i="3"/>
  <c r="L728" i="3"/>
  <c r="M728" i="3"/>
  <c r="L727" i="3"/>
  <c r="M727" i="3"/>
  <c r="L726" i="3"/>
  <c r="M726" i="3"/>
  <c r="L725" i="3"/>
  <c r="M725" i="3"/>
  <c r="L724" i="3"/>
  <c r="M724" i="3"/>
  <c r="L723" i="3"/>
  <c r="M723" i="3"/>
  <c r="L722" i="3"/>
  <c r="M722" i="3"/>
  <c r="L721" i="3"/>
  <c r="M721" i="3"/>
  <c r="L720" i="3"/>
  <c r="M720" i="3"/>
  <c r="L719" i="3"/>
  <c r="M719" i="3"/>
  <c r="L718" i="3"/>
  <c r="M718" i="3"/>
  <c r="L717" i="3"/>
  <c r="M717" i="3"/>
  <c r="L716" i="3"/>
  <c r="M716" i="3"/>
  <c r="L715" i="3"/>
  <c r="M715" i="3"/>
  <c r="L714" i="3"/>
  <c r="M714" i="3"/>
  <c r="L713" i="3"/>
  <c r="M713" i="3"/>
  <c r="L712" i="3"/>
  <c r="M712" i="3"/>
  <c r="L711" i="3"/>
  <c r="M711" i="3"/>
  <c r="L710" i="3"/>
  <c r="M710" i="3"/>
  <c r="L709" i="3"/>
  <c r="M709" i="3"/>
  <c r="L708" i="3"/>
  <c r="M708" i="3"/>
  <c r="L707" i="3"/>
  <c r="M707" i="3"/>
  <c r="L706" i="3"/>
  <c r="M706" i="3"/>
  <c r="L705" i="3"/>
  <c r="M705" i="3"/>
  <c r="L704" i="3"/>
  <c r="M704" i="3"/>
  <c r="L703" i="3"/>
  <c r="M703" i="3"/>
  <c r="L702" i="3"/>
  <c r="M702" i="3"/>
  <c r="L701" i="3"/>
  <c r="M701" i="3"/>
  <c r="L700" i="3"/>
  <c r="M700" i="3"/>
  <c r="L699" i="3"/>
  <c r="M699" i="3"/>
  <c r="L698" i="3"/>
  <c r="M698" i="3"/>
  <c r="L697" i="3"/>
  <c r="M697" i="3"/>
  <c r="L696" i="3"/>
  <c r="M696" i="3"/>
  <c r="L695" i="3"/>
  <c r="M695" i="3"/>
  <c r="L694" i="3"/>
  <c r="M694" i="3"/>
  <c r="L693" i="3"/>
  <c r="M693" i="3"/>
  <c r="L692" i="3"/>
  <c r="M692" i="3"/>
  <c r="L691" i="3"/>
  <c r="M691" i="3"/>
  <c r="L690" i="3"/>
  <c r="M690" i="3"/>
  <c r="L689" i="3"/>
  <c r="M689" i="3"/>
  <c r="L688" i="3"/>
  <c r="M688" i="3"/>
  <c r="L687" i="3"/>
  <c r="M687" i="3"/>
  <c r="L686" i="3"/>
  <c r="M686" i="3"/>
  <c r="L685" i="3"/>
  <c r="M685" i="3"/>
  <c r="L684" i="3"/>
  <c r="M684" i="3"/>
  <c r="L683" i="3"/>
  <c r="M683" i="3"/>
  <c r="L682" i="3"/>
  <c r="M682" i="3"/>
  <c r="L681" i="3"/>
  <c r="M681" i="3"/>
  <c r="L680" i="3"/>
  <c r="M680" i="3"/>
  <c r="L679" i="3"/>
  <c r="M679" i="3"/>
  <c r="L678" i="3"/>
  <c r="M678" i="3"/>
  <c r="L677" i="3"/>
  <c r="M677" i="3"/>
  <c r="L676" i="3"/>
  <c r="M676" i="3"/>
  <c r="L675" i="3"/>
  <c r="M675" i="3"/>
  <c r="L674" i="3"/>
  <c r="M674" i="3"/>
  <c r="L673" i="3"/>
  <c r="M673" i="3"/>
  <c r="L672" i="3"/>
  <c r="M672" i="3"/>
  <c r="L671" i="3"/>
  <c r="M671" i="3"/>
  <c r="L670" i="3"/>
  <c r="M670" i="3"/>
  <c r="L669" i="3"/>
  <c r="M669" i="3"/>
  <c r="L668" i="3"/>
  <c r="M668" i="3"/>
  <c r="L667" i="3"/>
  <c r="M667" i="3"/>
  <c r="L666" i="3"/>
  <c r="M666" i="3"/>
  <c r="L665" i="3"/>
  <c r="M665" i="3"/>
  <c r="L664" i="3"/>
  <c r="M664" i="3"/>
  <c r="L663" i="3"/>
  <c r="M663" i="3"/>
  <c r="L662" i="3"/>
  <c r="M662" i="3"/>
  <c r="L661" i="3"/>
  <c r="M661" i="3"/>
  <c r="L660" i="3"/>
  <c r="M660" i="3"/>
  <c r="L659" i="3"/>
  <c r="M659" i="3"/>
  <c r="L658" i="3"/>
  <c r="M658" i="3"/>
  <c r="L657" i="3"/>
  <c r="M657" i="3"/>
  <c r="L656" i="3"/>
  <c r="M656" i="3"/>
  <c r="L655" i="3"/>
  <c r="M655" i="3"/>
  <c r="L654" i="3"/>
  <c r="M654" i="3"/>
  <c r="L653" i="3"/>
  <c r="M653" i="3"/>
  <c r="L652" i="3"/>
  <c r="M652" i="3"/>
  <c r="L651" i="3"/>
  <c r="M651" i="3"/>
  <c r="L650" i="3"/>
  <c r="M650" i="3"/>
  <c r="L649" i="3"/>
  <c r="M649" i="3"/>
  <c r="L648" i="3"/>
  <c r="M648" i="3"/>
  <c r="L647" i="3"/>
  <c r="M647" i="3"/>
  <c r="L646" i="3"/>
  <c r="M646" i="3"/>
  <c r="L645" i="3"/>
  <c r="M645" i="3"/>
  <c r="L644" i="3"/>
  <c r="M644" i="3"/>
  <c r="L643" i="3"/>
  <c r="M643" i="3"/>
  <c r="L642" i="3"/>
  <c r="M642" i="3"/>
  <c r="L641" i="3"/>
  <c r="M641" i="3"/>
  <c r="L640" i="3"/>
  <c r="M640" i="3"/>
  <c r="L639" i="3"/>
  <c r="M639" i="3"/>
  <c r="L638" i="3"/>
  <c r="M638" i="3"/>
  <c r="L637" i="3"/>
  <c r="M637" i="3"/>
  <c r="L636" i="3"/>
  <c r="M636" i="3"/>
  <c r="L635" i="3"/>
  <c r="M635" i="3"/>
  <c r="L634" i="3"/>
  <c r="M634" i="3"/>
  <c r="L633" i="3"/>
  <c r="M633" i="3"/>
  <c r="L632" i="3"/>
  <c r="M632" i="3"/>
  <c r="L631" i="3"/>
  <c r="M631" i="3"/>
  <c r="L630" i="3"/>
  <c r="M630" i="3"/>
  <c r="L629" i="3"/>
  <c r="M629" i="3"/>
  <c r="L628" i="3"/>
  <c r="M628" i="3"/>
  <c r="L627" i="3"/>
  <c r="M627" i="3"/>
  <c r="L626" i="3"/>
  <c r="M626" i="3"/>
  <c r="L625" i="3"/>
  <c r="M625" i="3"/>
  <c r="L624" i="3"/>
  <c r="M624" i="3"/>
  <c r="L623" i="3"/>
  <c r="M623" i="3"/>
  <c r="L622" i="3"/>
  <c r="M622" i="3"/>
  <c r="L621" i="3"/>
  <c r="M621" i="3"/>
  <c r="L620" i="3"/>
  <c r="M620" i="3"/>
  <c r="L619" i="3"/>
  <c r="M619" i="3"/>
  <c r="L618" i="3"/>
  <c r="M618" i="3"/>
  <c r="L617" i="3"/>
  <c r="M617" i="3"/>
  <c r="L616" i="3"/>
  <c r="M616" i="3"/>
  <c r="L615" i="3"/>
  <c r="M615" i="3"/>
  <c r="L614" i="3"/>
  <c r="M614" i="3"/>
  <c r="L613" i="3"/>
  <c r="M613" i="3"/>
  <c r="L612" i="3"/>
  <c r="M612" i="3"/>
  <c r="L611" i="3"/>
  <c r="M611" i="3"/>
  <c r="L610" i="3"/>
  <c r="M610" i="3"/>
  <c r="L609" i="3"/>
  <c r="M609" i="3"/>
  <c r="L608" i="3"/>
  <c r="M608" i="3"/>
  <c r="L607" i="3"/>
  <c r="M607" i="3"/>
  <c r="L606" i="3"/>
  <c r="M606" i="3"/>
  <c r="L605" i="3"/>
  <c r="M605" i="3"/>
  <c r="L604" i="3"/>
  <c r="M604" i="3"/>
  <c r="L603" i="3"/>
  <c r="M603" i="3"/>
  <c r="L602" i="3"/>
  <c r="M602" i="3"/>
  <c r="L601" i="3"/>
  <c r="M601" i="3"/>
  <c r="L600" i="3"/>
  <c r="M600" i="3"/>
  <c r="L599" i="3"/>
  <c r="M599" i="3"/>
  <c r="L598" i="3"/>
  <c r="M598" i="3"/>
  <c r="L597" i="3"/>
  <c r="M597" i="3"/>
  <c r="L596" i="3"/>
  <c r="M596" i="3"/>
  <c r="L595" i="3"/>
  <c r="M595" i="3"/>
  <c r="L594" i="3"/>
  <c r="M594" i="3"/>
  <c r="L593" i="3"/>
  <c r="M593" i="3"/>
  <c r="L592" i="3"/>
  <c r="M592" i="3"/>
  <c r="L591" i="3"/>
  <c r="M591" i="3"/>
  <c r="L590" i="3"/>
  <c r="M590" i="3"/>
  <c r="L589" i="3"/>
  <c r="M589" i="3"/>
  <c r="L588" i="3"/>
  <c r="M588" i="3"/>
  <c r="L587" i="3"/>
  <c r="M587" i="3"/>
  <c r="L586" i="3"/>
  <c r="M586" i="3"/>
  <c r="L585" i="3"/>
  <c r="M585" i="3"/>
  <c r="L584" i="3"/>
  <c r="M584" i="3"/>
  <c r="L583" i="3"/>
  <c r="M583" i="3"/>
  <c r="L582" i="3"/>
  <c r="M582" i="3"/>
  <c r="L581" i="3"/>
  <c r="M581" i="3"/>
  <c r="L580" i="3"/>
  <c r="M580" i="3"/>
  <c r="L579" i="3"/>
  <c r="M579" i="3"/>
  <c r="L578" i="3"/>
  <c r="M578" i="3"/>
  <c r="L577" i="3"/>
  <c r="M577" i="3"/>
  <c r="L576" i="3"/>
  <c r="M576" i="3"/>
  <c r="L575" i="3"/>
  <c r="M575" i="3"/>
  <c r="L574" i="3"/>
  <c r="M574" i="3"/>
  <c r="L573" i="3"/>
  <c r="M573" i="3"/>
  <c r="L572" i="3"/>
  <c r="M572" i="3"/>
  <c r="L571" i="3"/>
  <c r="M571" i="3"/>
  <c r="L570" i="3"/>
  <c r="M570" i="3"/>
  <c r="L569" i="3"/>
  <c r="M569" i="3"/>
  <c r="L568" i="3"/>
  <c r="M568" i="3"/>
  <c r="L567" i="3"/>
  <c r="M567" i="3"/>
  <c r="L566" i="3"/>
  <c r="M566" i="3"/>
  <c r="L565" i="3"/>
  <c r="M565" i="3"/>
  <c r="L564" i="3"/>
  <c r="M564" i="3"/>
  <c r="L563" i="3"/>
  <c r="M563" i="3"/>
  <c r="L562" i="3"/>
  <c r="M562" i="3"/>
  <c r="L561" i="3"/>
  <c r="M561" i="3"/>
  <c r="L560" i="3"/>
  <c r="M560" i="3"/>
  <c r="L559" i="3"/>
  <c r="M559" i="3"/>
  <c r="L558" i="3"/>
  <c r="M558" i="3"/>
  <c r="L557" i="3"/>
  <c r="M557" i="3"/>
  <c r="L556" i="3"/>
  <c r="M556" i="3"/>
  <c r="L555" i="3"/>
  <c r="M555" i="3"/>
  <c r="L554" i="3"/>
  <c r="M554" i="3"/>
  <c r="L553" i="3"/>
  <c r="M553" i="3"/>
  <c r="L552" i="3"/>
  <c r="M552" i="3"/>
  <c r="L551" i="3"/>
  <c r="M551" i="3"/>
  <c r="L550" i="3"/>
  <c r="M550" i="3"/>
  <c r="L549" i="3"/>
  <c r="M549" i="3"/>
  <c r="L548" i="3"/>
  <c r="M548" i="3"/>
  <c r="L547" i="3"/>
  <c r="M547" i="3"/>
  <c r="L546" i="3"/>
  <c r="M546" i="3"/>
  <c r="L545" i="3"/>
  <c r="M545" i="3"/>
  <c r="L544" i="3"/>
  <c r="M544" i="3"/>
  <c r="L543" i="3"/>
  <c r="M543" i="3"/>
  <c r="L542" i="3"/>
  <c r="M542" i="3"/>
  <c r="L541" i="3"/>
  <c r="M541" i="3"/>
  <c r="L540" i="3"/>
  <c r="M540" i="3"/>
  <c r="L539" i="3"/>
  <c r="M539" i="3"/>
  <c r="L538" i="3"/>
  <c r="M538" i="3"/>
  <c r="L537" i="3"/>
  <c r="M537" i="3"/>
  <c r="L536" i="3"/>
  <c r="M536" i="3"/>
  <c r="L535" i="3"/>
  <c r="M535" i="3"/>
  <c r="L534" i="3"/>
  <c r="M534" i="3"/>
  <c r="L533" i="3"/>
  <c r="M533" i="3"/>
  <c r="L532" i="3"/>
  <c r="M532" i="3"/>
  <c r="L531" i="3"/>
  <c r="M531" i="3"/>
  <c r="L530" i="3"/>
  <c r="M530" i="3"/>
  <c r="L529" i="3"/>
  <c r="M529" i="3"/>
  <c r="L528" i="3"/>
  <c r="M528" i="3"/>
  <c r="L527" i="3"/>
  <c r="M527" i="3"/>
  <c r="L526" i="3"/>
  <c r="M526" i="3"/>
  <c r="L525" i="3"/>
  <c r="M525" i="3"/>
  <c r="L524" i="3"/>
  <c r="M524" i="3"/>
  <c r="L523" i="3"/>
  <c r="M523" i="3"/>
  <c r="L522" i="3"/>
  <c r="M522" i="3"/>
  <c r="L521" i="3"/>
  <c r="M521" i="3"/>
  <c r="L520" i="3"/>
  <c r="M520" i="3"/>
  <c r="L519" i="3"/>
  <c r="M519" i="3"/>
  <c r="L518" i="3"/>
  <c r="M518" i="3"/>
  <c r="L517" i="3"/>
  <c r="M517" i="3"/>
  <c r="L516" i="3"/>
  <c r="M516" i="3"/>
  <c r="L515" i="3"/>
  <c r="M515" i="3"/>
  <c r="L514" i="3"/>
  <c r="M514" i="3"/>
  <c r="L513" i="3"/>
  <c r="M513" i="3"/>
  <c r="L512" i="3"/>
  <c r="M512" i="3"/>
  <c r="L511" i="3"/>
  <c r="M511" i="3"/>
  <c r="L510" i="3"/>
  <c r="M510" i="3"/>
  <c r="L509" i="3"/>
  <c r="M509" i="3"/>
  <c r="L508" i="3"/>
  <c r="M508" i="3"/>
  <c r="L507" i="3"/>
  <c r="M507" i="3"/>
  <c r="L506" i="3"/>
  <c r="M506" i="3"/>
  <c r="L505" i="3"/>
  <c r="M505" i="3"/>
  <c r="L504" i="3"/>
  <c r="M504" i="3"/>
  <c r="L503" i="3"/>
  <c r="M503" i="3"/>
  <c r="L502" i="3"/>
  <c r="M502" i="3"/>
  <c r="L501" i="3"/>
  <c r="M501" i="3"/>
  <c r="L500" i="3"/>
  <c r="M500" i="3"/>
  <c r="L499" i="3"/>
  <c r="M499" i="3"/>
  <c r="L498" i="3"/>
  <c r="M498" i="3"/>
  <c r="L497" i="3"/>
  <c r="M497" i="3"/>
  <c r="L496" i="3"/>
  <c r="M496" i="3"/>
  <c r="L495" i="3"/>
  <c r="M495" i="3"/>
  <c r="L494" i="3"/>
  <c r="M494" i="3"/>
  <c r="L493" i="3"/>
  <c r="M493" i="3"/>
  <c r="L492" i="3"/>
  <c r="M492" i="3"/>
  <c r="L491" i="3"/>
  <c r="M491" i="3"/>
  <c r="L490" i="3"/>
  <c r="M490" i="3"/>
  <c r="L489" i="3"/>
  <c r="M489" i="3"/>
  <c r="L488" i="3"/>
  <c r="M488" i="3"/>
  <c r="L487" i="3"/>
  <c r="M487" i="3"/>
  <c r="L486" i="3"/>
  <c r="M486" i="3"/>
  <c r="L485" i="3"/>
  <c r="M485" i="3"/>
  <c r="L484" i="3"/>
  <c r="M484" i="3"/>
  <c r="L483" i="3"/>
  <c r="M483" i="3"/>
  <c r="L482" i="3"/>
  <c r="M482" i="3"/>
  <c r="L481" i="3"/>
  <c r="M481" i="3"/>
  <c r="L480" i="3"/>
  <c r="M480" i="3"/>
  <c r="L479" i="3"/>
  <c r="M479" i="3"/>
  <c r="L478" i="3"/>
  <c r="M478" i="3"/>
  <c r="L477" i="3"/>
  <c r="M477" i="3"/>
  <c r="L476" i="3"/>
  <c r="M476" i="3"/>
  <c r="L475" i="3"/>
  <c r="M475" i="3"/>
  <c r="L474" i="3"/>
  <c r="M474" i="3"/>
  <c r="L473" i="3"/>
  <c r="M473" i="3"/>
  <c r="L472" i="3"/>
  <c r="M472" i="3"/>
  <c r="L471" i="3"/>
  <c r="M471" i="3"/>
  <c r="L470" i="3"/>
  <c r="M470" i="3"/>
  <c r="L469" i="3"/>
  <c r="M469" i="3"/>
  <c r="L468" i="3"/>
  <c r="M468" i="3"/>
  <c r="L467" i="3"/>
  <c r="M467" i="3"/>
  <c r="L466" i="3"/>
  <c r="M466" i="3"/>
  <c r="L465" i="3"/>
  <c r="M465" i="3"/>
  <c r="L464" i="3"/>
  <c r="M464" i="3"/>
  <c r="L463" i="3"/>
  <c r="M463" i="3"/>
  <c r="L462" i="3"/>
  <c r="M462" i="3"/>
  <c r="L461" i="3"/>
  <c r="M461" i="3"/>
  <c r="L460" i="3"/>
  <c r="M460" i="3"/>
  <c r="L459" i="3"/>
  <c r="M459" i="3"/>
  <c r="L458" i="3"/>
  <c r="M458" i="3"/>
  <c r="L457" i="3"/>
  <c r="M457" i="3"/>
  <c r="L456" i="3"/>
  <c r="M456" i="3"/>
  <c r="L455" i="3"/>
  <c r="M455" i="3"/>
  <c r="L454" i="3"/>
  <c r="M454" i="3"/>
  <c r="L453" i="3"/>
  <c r="M453" i="3"/>
  <c r="L452" i="3"/>
  <c r="M452" i="3"/>
  <c r="L451" i="3"/>
  <c r="M451" i="3"/>
  <c r="L450" i="3"/>
  <c r="M450" i="3"/>
  <c r="L449" i="3"/>
  <c r="M449" i="3"/>
  <c r="L448" i="3"/>
  <c r="M448" i="3"/>
  <c r="L447" i="3"/>
  <c r="M447" i="3"/>
  <c r="L446" i="3"/>
  <c r="M446" i="3"/>
  <c r="L445" i="3"/>
  <c r="M445" i="3"/>
  <c r="L444" i="3"/>
  <c r="M444" i="3"/>
  <c r="L443" i="3"/>
  <c r="M443" i="3"/>
  <c r="L442" i="3"/>
  <c r="M442" i="3"/>
  <c r="L441" i="3"/>
  <c r="M441" i="3"/>
  <c r="L440" i="3"/>
  <c r="M440" i="3"/>
  <c r="L439" i="3"/>
  <c r="M439" i="3"/>
  <c r="L438" i="3"/>
  <c r="M438" i="3"/>
  <c r="L437" i="3"/>
  <c r="M437" i="3"/>
  <c r="L436" i="3"/>
  <c r="M436" i="3"/>
  <c r="L435" i="3"/>
  <c r="M435" i="3"/>
  <c r="L434" i="3"/>
  <c r="M434" i="3"/>
  <c r="L433" i="3"/>
  <c r="M433" i="3"/>
  <c r="L432" i="3"/>
  <c r="M432" i="3"/>
  <c r="L431" i="3"/>
  <c r="M431" i="3"/>
  <c r="L430" i="3"/>
  <c r="M430" i="3"/>
  <c r="L429" i="3"/>
  <c r="M429" i="3"/>
  <c r="L428" i="3"/>
  <c r="M428" i="3"/>
  <c r="L427" i="3"/>
  <c r="M427" i="3"/>
  <c r="L426" i="3"/>
  <c r="M426" i="3"/>
  <c r="L425" i="3"/>
  <c r="M425" i="3"/>
  <c r="L424" i="3"/>
  <c r="M424" i="3"/>
  <c r="L423" i="3"/>
  <c r="M423" i="3"/>
  <c r="L422" i="3"/>
  <c r="M422" i="3"/>
  <c r="L421" i="3"/>
  <c r="M421" i="3"/>
  <c r="L420" i="3"/>
  <c r="M420" i="3"/>
  <c r="L419" i="3"/>
  <c r="M419" i="3"/>
  <c r="L418" i="3"/>
  <c r="M418" i="3"/>
  <c r="L417" i="3"/>
  <c r="M417" i="3"/>
  <c r="L416" i="3"/>
  <c r="M416" i="3"/>
  <c r="L415" i="3"/>
  <c r="M415" i="3"/>
  <c r="L414" i="3"/>
  <c r="M414" i="3"/>
  <c r="L413" i="3"/>
  <c r="M413" i="3"/>
  <c r="L412" i="3"/>
  <c r="M412" i="3"/>
  <c r="L411" i="3"/>
  <c r="M411" i="3"/>
  <c r="L410" i="3"/>
  <c r="M410" i="3"/>
  <c r="L409" i="3"/>
  <c r="M409" i="3"/>
  <c r="L408" i="3"/>
  <c r="M408" i="3"/>
  <c r="L407" i="3"/>
  <c r="M407" i="3"/>
  <c r="L406" i="3"/>
  <c r="M406" i="3"/>
  <c r="L405" i="3"/>
  <c r="M405" i="3"/>
  <c r="L404" i="3"/>
  <c r="M404" i="3"/>
  <c r="L403" i="3"/>
  <c r="M403" i="3"/>
  <c r="L402" i="3"/>
  <c r="M402" i="3"/>
  <c r="L401" i="3"/>
  <c r="M401" i="3"/>
  <c r="L400" i="3"/>
  <c r="M400" i="3"/>
  <c r="L399" i="3"/>
  <c r="M399" i="3"/>
  <c r="L398" i="3"/>
  <c r="M398" i="3"/>
  <c r="L397" i="3"/>
  <c r="M397" i="3"/>
  <c r="L396" i="3"/>
  <c r="M396" i="3"/>
  <c r="L395" i="3"/>
  <c r="M395" i="3"/>
  <c r="L394" i="3"/>
  <c r="M394" i="3"/>
  <c r="L393" i="3"/>
  <c r="M393" i="3"/>
  <c r="L392" i="3"/>
  <c r="M392" i="3"/>
  <c r="L391" i="3"/>
  <c r="M391" i="3"/>
  <c r="L390" i="3"/>
  <c r="M390" i="3"/>
  <c r="L389" i="3"/>
  <c r="M389" i="3"/>
  <c r="L388" i="3"/>
  <c r="M388" i="3"/>
  <c r="L387" i="3"/>
  <c r="M387" i="3"/>
  <c r="L386" i="3"/>
  <c r="M386" i="3"/>
  <c r="L385" i="3"/>
  <c r="M385" i="3"/>
  <c r="L384" i="3"/>
  <c r="M384" i="3"/>
  <c r="L383" i="3"/>
  <c r="M383" i="3"/>
  <c r="L382" i="3"/>
  <c r="M382" i="3"/>
  <c r="L381" i="3"/>
  <c r="M381" i="3"/>
  <c r="L380" i="3"/>
  <c r="M380" i="3"/>
  <c r="L379" i="3"/>
  <c r="M379" i="3"/>
  <c r="L378" i="3"/>
  <c r="M378" i="3"/>
  <c r="L377" i="3"/>
  <c r="M377" i="3"/>
  <c r="L376" i="3"/>
  <c r="M376" i="3"/>
  <c r="L375" i="3"/>
  <c r="M375" i="3"/>
  <c r="L374" i="3"/>
  <c r="M374" i="3"/>
  <c r="L373" i="3"/>
  <c r="M373" i="3"/>
  <c r="L372" i="3"/>
  <c r="M372" i="3"/>
  <c r="L371" i="3"/>
  <c r="M371" i="3"/>
  <c r="L370" i="3"/>
  <c r="M370" i="3"/>
  <c r="L369" i="3"/>
  <c r="M369" i="3"/>
  <c r="L368" i="3"/>
  <c r="M368" i="3"/>
  <c r="L367" i="3"/>
  <c r="M367" i="3"/>
  <c r="L366" i="3"/>
  <c r="M366" i="3"/>
  <c r="L365" i="3"/>
  <c r="M365" i="3"/>
  <c r="L364" i="3"/>
  <c r="M364" i="3"/>
  <c r="L363" i="3"/>
  <c r="M363" i="3"/>
  <c r="L362" i="3"/>
  <c r="M362" i="3"/>
  <c r="L361" i="3"/>
  <c r="M361" i="3"/>
  <c r="L360" i="3"/>
  <c r="M360" i="3"/>
  <c r="L359" i="3"/>
  <c r="M359" i="3"/>
  <c r="L358" i="3"/>
  <c r="M358" i="3"/>
  <c r="L357" i="3"/>
  <c r="M357" i="3"/>
  <c r="L356" i="3"/>
  <c r="M356" i="3"/>
  <c r="L355" i="3"/>
  <c r="M355" i="3"/>
  <c r="L354" i="3"/>
  <c r="M354" i="3"/>
  <c r="L353" i="3"/>
  <c r="M353" i="3"/>
  <c r="L352" i="3"/>
  <c r="M352" i="3"/>
  <c r="L351" i="3"/>
  <c r="M351" i="3"/>
  <c r="L350" i="3"/>
  <c r="M350" i="3"/>
  <c r="L349" i="3"/>
  <c r="M349" i="3"/>
  <c r="L348" i="3"/>
  <c r="M348" i="3"/>
  <c r="L347" i="3"/>
  <c r="M347" i="3"/>
  <c r="L346" i="3"/>
  <c r="M346" i="3"/>
  <c r="L345" i="3"/>
  <c r="M345" i="3"/>
  <c r="L344" i="3"/>
  <c r="M344" i="3"/>
  <c r="L343" i="3"/>
  <c r="M343" i="3"/>
  <c r="L342" i="3"/>
  <c r="M342" i="3"/>
  <c r="L341" i="3"/>
  <c r="M341" i="3"/>
  <c r="L340" i="3"/>
  <c r="M340" i="3"/>
  <c r="L339" i="3"/>
  <c r="M339" i="3"/>
  <c r="L338" i="3"/>
  <c r="M338" i="3"/>
  <c r="L337" i="3"/>
  <c r="M337" i="3"/>
  <c r="L336" i="3"/>
  <c r="M336" i="3"/>
  <c r="L335" i="3"/>
  <c r="M335" i="3"/>
  <c r="L334" i="3"/>
  <c r="M334" i="3"/>
  <c r="L333" i="3"/>
  <c r="M333" i="3"/>
  <c r="L332" i="3"/>
  <c r="M332" i="3"/>
  <c r="L331" i="3"/>
  <c r="M331" i="3"/>
  <c r="L330" i="3"/>
  <c r="M330" i="3"/>
  <c r="L329" i="3"/>
  <c r="M329" i="3"/>
  <c r="L328" i="3"/>
  <c r="M328" i="3"/>
  <c r="L327" i="3"/>
  <c r="M327" i="3"/>
  <c r="L326" i="3"/>
  <c r="M326" i="3"/>
  <c r="L325" i="3"/>
  <c r="M325" i="3"/>
  <c r="L324" i="3"/>
  <c r="M324" i="3"/>
  <c r="L323" i="3"/>
  <c r="M323" i="3"/>
  <c r="L322" i="3"/>
  <c r="M322" i="3"/>
  <c r="L321" i="3"/>
  <c r="M321" i="3"/>
  <c r="L320" i="3"/>
  <c r="M320" i="3"/>
  <c r="L319" i="3"/>
  <c r="M319" i="3"/>
  <c r="L318" i="3"/>
  <c r="M318" i="3"/>
  <c r="L317" i="3"/>
  <c r="M317" i="3"/>
  <c r="L316" i="3"/>
  <c r="M316" i="3"/>
  <c r="L315" i="3"/>
  <c r="M315" i="3"/>
  <c r="L314" i="3"/>
  <c r="M314" i="3"/>
  <c r="L313" i="3"/>
  <c r="M313" i="3"/>
  <c r="L312" i="3"/>
  <c r="M312" i="3"/>
  <c r="L311" i="3"/>
  <c r="M311" i="3"/>
  <c r="L310" i="3"/>
  <c r="M310" i="3"/>
  <c r="L309" i="3"/>
  <c r="M309" i="3"/>
  <c r="L308" i="3"/>
  <c r="M308" i="3"/>
  <c r="L307" i="3"/>
  <c r="M307" i="3"/>
  <c r="L306" i="3"/>
  <c r="M306" i="3"/>
  <c r="L305" i="3"/>
  <c r="M305" i="3"/>
  <c r="L304" i="3"/>
  <c r="M304" i="3"/>
  <c r="L303" i="3"/>
  <c r="M303" i="3"/>
  <c r="L302" i="3"/>
  <c r="M302" i="3"/>
  <c r="L301" i="3"/>
  <c r="M301" i="3"/>
  <c r="L300" i="3"/>
  <c r="M300" i="3"/>
  <c r="L299" i="3"/>
  <c r="M299" i="3"/>
  <c r="L298" i="3"/>
  <c r="M298" i="3"/>
  <c r="L297" i="3"/>
  <c r="M297" i="3"/>
  <c r="L296" i="3"/>
  <c r="M296" i="3"/>
  <c r="L295" i="3"/>
  <c r="M295" i="3"/>
  <c r="L294" i="3"/>
  <c r="M294" i="3"/>
  <c r="L293" i="3"/>
  <c r="M293" i="3"/>
  <c r="L292" i="3"/>
  <c r="M292" i="3"/>
  <c r="L291" i="3"/>
  <c r="M291" i="3"/>
  <c r="L290" i="3"/>
  <c r="M290" i="3"/>
  <c r="L289" i="3"/>
  <c r="M289" i="3"/>
  <c r="L288" i="3"/>
  <c r="M288" i="3"/>
  <c r="L287" i="3"/>
  <c r="M287" i="3"/>
  <c r="L286" i="3"/>
  <c r="M286" i="3"/>
  <c r="L285" i="3"/>
  <c r="M285" i="3"/>
  <c r="L284" i="3"/>
  <c r="M284" i="3"/>
  <c r="L283" i="3"/>
  <c r="M283" i="3"/>
  <c r="L282" i="3"/>
  <c r="M282" i="3"/>
  <c r="L281" i="3"/>
  <c r="M281" i="3"/>
  <c r="L280" i="3"/>
  <c r="M280" i="3"/>
  <c r="L279" i="3"/>
  <c r="M279" i="3"/>
  <c r="L278" i="3"/>
  <c r="M278" i="3"/>
  <c r="L277" i="3"/>
  <c r="M277" i="3"/>
  <c r="L276" i="3"/>
  <c r="M276" i="3"/>
  <c r="L275" i="3"/>
  <c r="M275" i="3"/>
  <c r="L274" i="3"/>
  <c r="M274" i="3"/>
  <c r="L273" i="3"/>
  <c r="M273" i="3"/>
  <c r="L272" i="3"/>
  <c r="M272" i="3"/>
  <c r="L271" i="3"/>
  <c r="M271" i="3"/>
  <c r="L270" i="3"/>
  <c r="M270" i="3"/>
  <c r="L269" i="3"/>
  <c r="M269" i="3"/>
  <c r="L268" i="3"/>
  <c r="M268" i="3"/>
  <c r="L267" i="3"/>
  <c r="M267" i="3"/>
  <c r="L266" i="3"/>
  <c r="M266" i="3"/>
  <c r="L265" i="3"/>
  <c r="M265" i="3"/>
  <c r="L264" i="3"/>
  <c r="M264" i="3"/>
  <c r="L263" i="3"/>
  <c r="M263" i="3"/>
  <c r="L262" i="3"/>
  <c r="M262" i="3"/>
  <c r="L261" i="3"/>
  <c r="M261" i="3"/>
  <c r="L260" i="3"/>
  <c r="M260" i="3"/>
  <c r="L259" i="3"/>
  <c r="M259" i="3"/>
  <c r="L258" i="3"/>
  <c r="M258" i="3"/>
  <c r="L257" i="3"/>
  <c r="M257" i="3"/>
  <c r="L256" i="3"/>
  <c r="M256" i="3"/>
  <c r="L255" i="3"/>
  <c r="M255" i="3"/>
  <c r="L254" i="3"/>
  <c r="M254" i="3"/>
  <c r="L253" i="3"/>
  <c r="M253" i="3"/>
  <c r="L252" i="3"/>
  <c r="M252" i="3"/>
  <c r="L251" i="3"/>
  <c r="M251" i="3"/>
  <c r="L250" i="3"/>
  <c r="M250" i="3"/>
  <c r="L249" i="3"/>
  <c r="M249" i="3"/>
  <c r="L248" i="3"/>
  <c r="M248" i="3"/>
  <c r="L247" i="3"/>
  <c r="M247" i="3"/>
  <c r="L246" i="3"/>
  <c r="M246" i="3"/>
  <c r="L245" i="3"/>
  <c r="M245" i="3"/>
  <c r="L244" i="3"/>
  <c r="M244" i="3"/>
  <c r="L243" i="3"/>
  <c r="M243" i="3"/>
  <c r="L242" i="3"/>
  <c r="M242" i="3"/>
  <c r="L241" i="3"/>
  <c r="M241" i="3"/>
  <c r="L240" i="3"/>
  <c r="M240" i="3"/>
  <c r="L239" i="3"/>
  <c r="M239" i="3"/>
  <c r="L238" i="3"/>
  <c r="M238" i="3"/>
  <c r="L237" i="3"/>
  <c r="M237" i="3"/>
  <c r="L236" i="3"/>
  <c r="M236" i="3"/>
  <c r="L235" i="3"/>
  <c r="M235" i="3"/>
  <c r="L234" i="3"/>
  <c r="M234" i="3"/>
  <c r="L233" i="3"/>
  <c r="M233" i="3"/>
  <c r="L232" i="3"/>
  <c r="M232" i="3"/>
  <c r="L231" i="3"/>
  <c r="M231" i="3"/>
  <c r="L230" i="3"/>
  <c r="M230" i="3"/>
  <c r="L229" i="3"/>
  <c r="M229" i="3"/>
  <c r="L228" i="3"/>
  <c r="M228" i="3"/>
  <c r="L227" i="3"/>
  <c r="M227" i="3"/>
  <c r="L226" i="3"/>
  <c r="M226" i="3"/>
  <c r="L225" i="3"/>
  <c r="M225" i="3"/>
  <c r="L224" i="3"/>
  <c r="M224" i="3"/>
  <c r="L223" i="3"/>
  <c r="M223" i="3"/>
  <c r="L222" i="3"/>
  <c r="M222" i="3"/>
  <c r="L221" i="3"/>
  <c r="M221" i="3"/>
  <c r="L220" i="3"/>
  <c r="M220" i="3"/>
  <c r="L219" i="3"/>
  <c r="M219" i="3"/>
  <c r="L218" i="3"/>
  <c r="M218" i="3"/>
  <c r="L217" i="3"/>
  <c r="M217" i="3"/>
  <c r="L216" i="3"/>
  <c r="M216" i="3"/>
  <c r="L215" i="3"/>
  <c r="M215" i="3"/>
  <c r="L214" i="3"/>
  <c r="M214" i="3"/>
  <c r="L213" i="3"/>
  <c r="M213" i="3"/>
  <c r="L212" i="3"/>
  <c r="M212" i="3"/>
  <c r="L211" i="3"/>
  <c r="M211" i="3"/>
  <c r="L210" i="3"/>
  <c r="M210" i="3"/>
  <c r="L209" i="3"/>
  <c r="M209" i="3"/>
  <c r="L208" i="3"/>
  <c r="M208" i="3"/>
  <c r="L207" i="3"/>
  <c r="M207" i="3"/>
  <c r="L206" i="3"/>
  <c r="M206" i="3"/>
  <c r="L205" i="3"/>
  <c r="M205" i="3"/>
  <c r="L204" i="3"/>
  <c r="M204" i="3"/>
  <c r="L203" i="3"/>
  <c r="M203" i="3"/>
  <c r="L202" i="3"/>
  <c r="M202" i="3"/>
  <c r="L201" i="3"/>
  <c r="M201" i="3"/>
  <c r="L200" i="3"/>
  <c r="M200" i="3"/>
  <c r="L199" i="3"/>
  <c r="M199" i="3"/>
  <c r="L198" i="3"/>
  <c r="M198" i="3"/>
  <c r="L197" i="3"/>
  <c r="M197" i="3"/>
  <c r="L196" i="3"/>
  <c r="M196" i="3"/>
  <c r="L195" i="3"/>
  <c r="M195" i="3"/>
  <c r="L194" i="3"/>
  <c r="M194" i="3"/>
  <c r="L193" i="3"/>
  <c r="M193" i="3"/>
  <c r="L192" i="3"/>
  <c r="M192" i="3"/>
  <c r="L191" i="3"/>
  <c r="M191" i="3"/>
  <c r="L190" i="3"/>
  <c r="M190" i="3"/>
  <c r="L189" i="3"/>
  <c r="M189" i="3"/>
  <c r="L188" i="3"/>
  <c r="M188" i="3"/>
  <c r="L187" i="3"/>
  <c r="M187" i="3"/>
  <c r="L186" i="3"/>
  <c r="M186" i="3"/>
  <c r="L185" i="3"/>
  <c r="M185" i="3"/>
  <c r="L184" i="3"/>
  <c r="M184" i="3"/>
  <c r="L183" i="3"/>
  <c r="M183" i="3"/>
  <c r="L182" i="3"/>
  <c r="M182" i="3"/>
  <c r="L181" i="3"/>
  <c r="M181" i="3"/>
  <c r="L180" i="3"/>
  <c r="M180" i="3"/>
  <c r="L179" i="3"/>
  <c r="M179" i="3"/>
  <c r="L178" i="3"/>
  <c r="M178" i="3"/>
  <c r="L177" i="3"/>
  <c r="M177" i="3"/>
  <c r="L176" i="3"/>
  <c r="M176" i="3"/>
  <c r="L175" i="3"/>
  <c r="M175" i="3"/>
  <c r="L174" i="3"/>
  <c r="M174" i="3"/>
  <c r="L173" i="3"/>
  <c r="M173" i="3"/>
  <c r="L172" i="3"/>
  <c r="M172" i="3"/>
  <c r="L171" i="3"/>
  <c r="M171" i="3"/>
  <c r="L170" i="3"/>
  <c r="M170" i="3"/>
  <c r="L169" i="3"/>
  <c r="M169" i="3"/>
  <c r="L168" i="3"/>
  <c r="M168" i="3"/>
  <c r="L167" i="3"/>
  <c r="M167" i="3"/>
  <c r="L166" i="3"/>
  <c r="M166" i="3"/>
  <c r="L165" i="3"/>
  <c r="M165" i="3"/>
  <c r="L164" i="3"/>
  <c r="M164" i="3"/>
  <c r="L163" i="3"/>
  <c r="M163" i="3"/>
  <c r="L162" i="3"/>
  <c r="M162" i="3"/>
  <c r="L161" i="3"/>
  <c r="M161" i="3"/>
  <c r="L160" i="3"/>
  <c r="M160" i="3"/>
  <c r="L159" i="3"/>
  <c r="M159" i="3"/>
  <c r="L158" i="3"/>
  <c r="M158" i="3"/>
  <c r="L157" i="3"/>
  <c r="M157" i="3"/>
  <c r="L156" i="3"/>
  <c r="M156" i="3"/>
  <c r="L155" i="3"/>
  <c r="M155" i="3"/>
  <c r="L154" i="3"/>
  <c r="M154" i="3"/>
  <c r="L153" i="3"/>
  <c r="M153" i="3"/>
  <c r="L152" i="3"/>
  <c r="M152" i="3"/>
  <c r="L151" i="3"/>
  <c r="M151" i="3"/>
  <c r="L150" i="3"/>
  <c r="M150" i="3"/>
  <c r="L149" i="3"/>
  <c r="M149" i="3"/>
  <c r="L148" i="3"/>
  <c r="M148" i="3"/>
  <c r="L147" i="3"/>
  <c r="M147" i="3"/>
  <c r="L146" i="3"/>
  <c r="M146" i="3"/>
  <c r="L145" i="3"/>
  <c r="M145" i="3"/>
  <c r="L144" i="3"/>
  <c r="M144" i="3"/>
  <c r="L143" i="3"/>
  <c r="M143" i="3"/>
  <c r="L142" i="3"/>
  <c r="M142" i="3"/>
  <c r="L141" i="3"/>
  <c r="M141" i="3"/>
  <c r="L140" i="3"/>
  <c r="M140" i="3"/>
  <c r="L139" i="3"/>
  <c r="M139" i="3"/>
  <c r="L138" i="3"/>
  <c r="M138" i="3"/>
  <c r="L137" i="3"/>
  <c r="M137" i="3"/>
  <c r="L136" i="3"/>
  <c r="M136" i="3"/>
  <c r="L135" i="3"/>
  <c r="M135" i="3"/>
  <c r="L134" i="3"/>
  <c r="M134" i="3"/>
  <c r="L133" i="3"/>
  <c r="M133" i="3"/>
  <c r="L132" i="3"/>
  <c r="M132" i="3"/>
  <c r="L131" i="3"/>
  <c r="M131" i="3"/>
  <c r="L130" i="3"/>
  <c r="M130" i="3"/>
  <c r="L129" i="3"/>
  <c r="M129" i="3"/>
  <c r="L128" i="3"/>
  <c r="M128" i="3"/>
  <c r="L127" i="3"/>
  <c r="M127" i="3"/>
  <c r="L126" i="3"/>
  <c r="M126" i="3"/>
  <c r="L125" i="3"/>
  <c r="M125" i="3"/>
  <c r="L124" i="3"/>
  <c r="M124" i="3"/>
  <c r="L123" i="3"/>
  <c r="M123" i="3"/>
  <c r="L122" i="3"/>
  <c r="M122" i="3"/>
  <c r="L121" i="3"/>
  <c r="M121" i="3"/>
  <c r="L120" i="3"/>
  <c r="M120" i="3"/>
  <c r="L119" i="3"/>
  <c r="M119" i="3"/>
  <c r="L118" i="3"/>
  <c r="M118" i="3"/>
  <c r="L117" i="3"/>
  <c r="M117" i="3"/>
  <c r="L116" i="3"/>
  <c r="M116" i="3"/>
  <c r="L115" i="3"/>
  <c r="M115" i="3"/>
  <c r="L114" i="3"/>
  <c r="M114" i="3"/>
  <c r="L113" i="3"/>
  <c r="M113" i="3"/>
  <c r="L112" i="3"/>
  <c r="M112" i="3"/>
  <c r="L111" i="3"/>
  <c r="M111" i="3"/>
  <c r="L110" i="3"/>
  <c r="M110" i="3"/>
  <c r="L109" i="3"/>
  <c r="M109" i="3"/>
  <c r="L108" i="3"/>
  <c r="M108" i="3"/>
  <c r="L107" i="3"/>
  <c r="M107" i="3"/>
  <c r="L106" i="3"/>
  <c r="M106" i="3"/>
  <c r="L105" i="3"/>
  <c r="M105" i="3"/>
  <c r="L104" i="3"/>
  <c r="M104" i="3"/>
  <c r="L103" i="3"/>
  <c r="M103" i="3"/>
  <c r="L102" i="3"/>
  <c r="M102" i="3"/>
  <c r="L101" i="3"/>
  <c r="M101" i="3"/>
  <c r="L100" i="3"/>
  <c r="M100" i="3"/>
  <c r="L99" i="3"/>
  <c r="M99" i="3"/>
  <c r="L98" i="3"/>
  <c r="M98" i="3"/>
  <c r="L97" i="3"/>
  <c r="M97" i="3"/>
  <c r="L96" i="3"/>
  <c r="M96" i="3"/>
  <c r="L95" i="3"/>
  <c r="M95" i="3"/>
  <c r="L94" i="3"/>
  <c r="M94" i="3"/>
  <c r="L93" i="3"/>
  <c r="M93" i="3"/>
  <c r="L92" i="3"/>
  <c r="M92" i="3"/>
  <c r="L91" i="3"/>
  <c r="M91" i="3"/>
  <c r="L90" i="3"/>
  <c r="M90" i="3"/>
  <c r="L89" i="3"/>
  <c r="M89" i="3"/>
  <c r="L88" i="3"/>
  <c r="M88" i="3"/>
  <c r="L87" i="3"/>
  <c r="M87" i="3"/>
  <c r="L86" i="3"/>
  <c r="M86" i="3"/>
  <c r="L85" i="3"/>
  <c r="M85" i="3"/>
  <c r="L84" i="3"/>
  <c r="M84" i="3"/>
  <c r="L83" i="3"/>
  <c r="M83" i="3"/>
  <c r="L82" i="3"/>
  <c r="M82" i="3"/>
  <c r="L81" i="3"/>
  <c r="M81" i="3"/>
  <c r="L80" i="3"/>
  <c r="M80" i="3"/>
  <c r="L79" i="3"/>
  <c r="M79" i="3"/>
  <c r="L78" i="3"/>
  <c r="M78" i="3"/>
  <c r="L77" i="3"/>
  <c r="M77" i="3"/>
  <c r="L76" i="3"/>
  <c r="M76" i="3"/>
  <c r="L75" i="3"/>
  <c r="M75" i="3"/>
  <c r="L74" i="3"/>
  <c r="M74" i="3"/>
  <c r="L73" i="3"/>
  <c r="M73" i="3"/>
  <c r="L72" i="3"/>
  <c r="M72" i="3"/>
  <c r="L71" i="3"/>
  <c r="M71" i="3"/>
  <c r="L70" i="3"/>
  <c r="M70" i="3"/>
  <c r="L69" i="3"/>
  <c r="M69" i="3"/>
  <c r="L68" i="3"/>
  <c r="M68" i="3"/>
  <c r="L67" i="3"/>
  <c r="M67" i="3"/>
  <c r="L66" i="3"/>
  <c r="M66" i="3"/>
  <c r="L65" i="3"/>
  <c r="M65" i="3"/>
  <c r="L64" i="3"/>
  <c r="M64" i="3"/>
  <c r="L63" i="3"/>
  <c r="M63" i="3"/>
  <c r="L62" i="3"/>
  <c r="M62" i="3"/>
  <c r="L61" i="3"/>
  <c r="M61" i="3"/>
  <c r="L60" i="3"/>
  <c r="M60" i="3"/>
  <c r="L59" i="3"/>
  <c r="M59" i="3"/>
  <c r="L58" i="3"/>
  <c r="M58" i="3"/>
  <c r="L57" i="3"/>
  <c r="M57" i="3"/>
  <c r="L56" i="3"/>
  <c r="M56" i="3"/>
  <c r="L55" i="3"/>
  <c r="M55" i="3"/>
  <c r="L54" i="3"/>
  <c r="M54" i="3"/>
  <c r="L53" i="3"/>
  <c r="M53" i="3"/>
  <c r="L52" i="3"/>
  <c r="M52" i="3"/>
  <c r="L51" i="3"/>
  <c r="M51" i="3"/>
  <c r="L50" i="3"/>
  <c r="M50" i="3"/>
  <c r="L49" i="3"/>
  <c r="M49" i="3"/>
  <c r="L48" i="3"/>
  <c r="M48" i="3"/>
  <c r="L47" i="3"/>
  <c r="M47" i="3"/>
  <c r="L46" i="3"/>
  <c r="M46" i="3"/>
  <c r="L45" i="3"/>
  <c r="M45" i="3"/>
  <c r="L44" i="3"/>
  <c r="M44" i="3"/>
  <c r="L43" i="3"/>
  <c r="M43" i="3"/>
  <c r="L42" i="3"/>
  <c r="M42" i="3"/>
  <c r="L41" i="3"/>
  <c r="M41" i="3"/>
  <c r="L40" i="3"/>
  <c r="M40" i="3"/>
  <c r="L39" i="3"/>
  <c r="M39" i="3"/>
  <c r="L38" i="3"/>
  <c r="M38" i="3"/>
  <c r="L37" i="3"/>
  <c r="M37" i="3"/>
  <c r="L36" i="3"/>
  <c r="M36" i="3"/>
  <c r="L35" i="3"/>
  <c r="M35" i="3"/>
  <c r="L34" i="3"/>
  <c r="M34" i="3"/>
  <c r="L33" i="3"/>
  <c r="M33" i="3"/>
  <c r="L32" i="3"/>
  <c r="M32" i="3"/>
  <c r="L31" i="3"/>
  <c r="M31" i="3"/>
  <c r="L30" i="3"/>
  <c r="M30" i="3"/>
  <c r="L29" i="3"/>
  <c r="M29" i="3"/>
  <c r="L28" i="3"/>
  <c r="M28" i="3"/>
  <c r="L27" i="3"/>
  <c r="M27" i="3"/>
  <c r="L26" i="3"/>
  <c r="M26" i="3"/>
  <c r="L25" i="3"/>
  <c r="M25" i="3"/>
  <c r="L24" i="3"/>
  <c r="M24" i="3"/>
  <c r="L23" i="3"/>
  <c r="M23" i="3"/>
  <c r="L22" i="3"/>
  <c r="M22" i="3"/>
  <c r="L21" i="3"/>
  <c r="M21" i="3"/>
  <c r="L20" i="3"/>
  <c r="M20" i="3"/>
  <c r="L19" i="3"/>
  <c r="M19" i="3"/>
  <c r="L18" i="3"/>
  <c r="M18" i="3"/>
  <c r="L17" i="3"/>
  <c r="M17" i="3"/>
  <c r="L16" i="3"/>
  <c r="M16" i="3"/>
  <c r="L15" i="3"/>
  <c r="M15" i="3"/>
  <c r="L14" i="3"/>
  <c r="M14" i="3"/>
  <c r="L13" i="3"/>
  <c r="M13" i="3"/>
  <c r="L12" i="3"/>
  <c r="M12" i="3"/>
  <c r="L11" i="3"/>
  <c r="M11" i="3"/>
  <c r="L10" i="3"/>
  <c r="M10" i="3"/>
  <c r="L9" i="3"/>
  <c r="M9" i="3"/>
  <c r="L8" i="3"/>
  <c r="M8" i="3"/>
  <c r="L7" i="3"/>
  <c r="M7" i="3"/>
  <c r="L6" i="3"/>
  <c r="M6" i="3"/>
  <c r="L5" i="3"/>
  <c r="M5" i="3"/>
  <c r="L4" i="3"/>
  <c r="M4" i="3"/>
  <c r="L3" i="3"/>
  <c r="M3" i="3"/>
  <c r="L2" i="3"/>
  <c r="M2" i="3"/>
</calcChain>
</file>

<file path=xl/sharedStrings.xml><?xml version="1.0" encoding="utf-8"?>
<sst xmlns="http://schemas.openxmlformats.org/spreadsheetml/2006/main" count="14105" uniqueCount="952">
  <si>
    <t>CustomerName</t>
  </si>
  <si>
    <t>State</t>
  </si>
  <si>
    <t>City</t>
  </si>
  <si>
    <t>B-26055</t>
  </si>
  <si>
    <t>Harivansh</t>
  </si>
  <si>
    <t>Uttar Pradesh</t>
  </si>
  <si>
    <t>Mathura</t>
  </si>
  <si>
    <t>B-25993</t>
  </si>
  <si>
    <t>Madhav</t>
  </si>
  <si>
    <t>Delhi</t>
  </si>
  <si>
    <t>B-25973</t>
  </si>
  <si>
    <t>Madan Mohan</t>
  </si>
  <si>
    <t>B-25923</t>
  </si>
  <si>
    <t>Gopal</t>
  </si>
  <si>
    <t>Maharashtra</t>
  </si>
  <si>
    <t>Mumbai</t>
  </si>
  <si>
    <t>B-25757</t>
  </si>
  <si>
    <t>Vishakha</t>
  </si>
  <si>
    <t>Madhya Pradesh</t>
  </si>
  <si>
    <t>Indore</t>
  </si>
  <si>
    <t>B-25967</t>
  </si>
  <si>
    <t>Sudevi</t>
  </si>
  <si>
    <t>Prayagraj</t>
  </si>
  <si>
    <t>B-25955</t>
  </si>
  <si>
    <t>Shiva</t>
  </si>
  <si>
    <t>Pune</t>
  </si>
  <si>
    <t>B-26093</t>
  </si>
  <si>
    <t>Sarita</t>
  </si>
  <si>
    <t>B-25798</t>
  </si>
  <si>
    <t>Shishu</t>
  </si>
  <si>
    <t>Andhra Pradesh</t>
  </si>
  <si>
    <t>Hyderabad</t>
  </si>
  <si>
    <t>B-25602</t>
  </si>
  <si>
    <t>Vrinda</t>
  </si>
  <si>
    <t>B-25858</t>
  </si>
  <si>
    <t>Uudhav</t>
  </si>
  <si>
    <t>B-25969</t>
  </si>
  <si>
    <t>Shreyshi</t>
  </si>
  <si>
    <t>Gujarat</t>
  </si>
  <si>
    <t>Surat</t>
  </si>
  <si>
    <t>B-26099</t>
  </si>
  <si>
    <t>Bhishm</t>
  </si>
  <si>
    <t>B-25997</t>
  </si>
  <si>
    <t>Yogesh</t>
  </si>
  <si>
    <t>B-25881</t>
  </si>
  <si>
    <t>Lalita</t>
  </si>
  <si>
    <t>B-25761</t>
  </si>
  <si>
    <t>B-25887</t>
  </si>
  <si>
    <t>B-25823</t>
  </si>
  <si>
    <t>Rohan</t>
  </si>
  <si>
    <t>B-25853</t>
  </si>
  <si>
    <t>Gaurav</t>
  </si>
  <si>
    <t>Ahmedabad</t>
  </si>
  <si>
    <t>B-25862</t>
  </si>
  <si>
    <t>Amol</t>
  </si>
  <si>
    <t>Bihar</t>
  </si>
  <si>
    <t>Patna</t>
  </si>
  <si>
    <t>B-25830</t>
  </si>
  <si>
    <t>Aastha</t>
  </si>
  <si>
    <t>Himachal Pradesh</t>
  </si>
  <si>
    <t>Simla</t>
  </si>
  <si>
    <t>B-25786</t>
  </si>
  <si>
    <t>B-25686</t>
  </si>
  <si>
    <t>Pooja</t>
  </si>
  <si>
    <t>B-26022</t>
  </si>
  <si>
    <t>Shrichand</t>
  </si>
  <si>
    <t>Punjab</t>
  </si>
  <si>
    <t>Chandigarh</t>
  </si>
  <si>
    <t>B-26003</t>
  </si>
  <si>
    <t>Hitesh</t>
  </si>
  <si>
    <t>Bhopal</t>
  </si>
  <si>
    <t>B-25755</t>
  </si>
  <si>
    <t>Shourya</t>
  </si>
  <si>
    <t xml:space="preserve">Kerala </t>
  </si>
  <si>
    <t>Thiruvananthapuram</t>
  </si>
  <si>
    <t>B-25902</t>
  </si>
  <si>
    <t>Ishpreet</t>
  </si>
  <si>
    <t>B-25935</t>
  </si>
  <si>
    <t>Sudhir</t>
  </si>
  <si>
    <t>Nagaland</t>
  </si>
  <si>
    <t>Kohima</t>
  </si>
  <si>
    <t>B-25797</t>
  </si>
  <si>
    <t>Sauptik</t>
  </si>
  <si>
    <t>B-25639</t>
  </si>
  <si>
    <t>Lisha</t>
  </si>
  <si>
    <t>B-25681</t>
  </si>
  <si>
    <t>Bhawna</t>
  </si>
  <si>
    <t>B-25909</t>
  </si>
  <si>
    <t>Sujay</t>
  </si>
  <si>
    <t>B-25910</t>
  </si>
  <si>
    <t>Jay</t>
  </si>
  <si>
    <t>B-25950</t>
  </si>
  <si>
    <t>Shruti</t>
  </si>
  <si>
    <t>B-25613</t>
  </si>
  <si>
    <t>Mohan</t>
  </si>
  <si>
    <t>Haryana</t>
  </si>
  <si>
    <t>B-25919</t>
  </si>
  <si>
    <t>Neha</t>
  </si>
  <si>
    <t>Rajasthan</t>
  </si>
  <si>
    <t>Udaipur</t>
  </si>
  <si>
    <t>B-25768</t>
  </si>
  <si>
    <t>Shreyoshe</t>
  </si>
  <si>
    <t>Karnataka</t>
  </si>
  <si>
    <t>Bangalore</t>
  </si>
  <si>
    <t>B-25629</t>
  </si>
  <si>
    <t>Hemant</t>
  </si>
  <si>
    <t>B-25729</t>
  </si>
  <si>
    <t>Madhulika</t>
  </si>
  <si>
    <t>B-25943</t>
  </si>
  <si>
    <t>Shardul</t>
  </si>
  <si>
    <t>B-25842</t>
  </si>
  <si>
    <t>Sheetal</t>
  </si>
  <si>
    <t>B-26073</t>
  </si>
  <si>
    <t>Pournamasi</t>
  </si>
  <si>
    <t>B-25778</t>
  </si>
  <si>
    <t>Surabhi</t>
  </si>
  <si>
    <t>B-25717</t>
  </si>
  <si>
    <t>Manshul</t>
  </si>
  <si>
    <t>Lucknow</t>
  </si>
  <si>
    <t>B-26085</t>
  </si>
  <si>
    <t>B-26048</t>
  </si>
  <si>
    <t>Parth</t>
  </si>
  <si>
    <t>B-25793</t>
  </si>
  <si>
    <t>Siddharth</t>
  </si>
  <si>
    <t>B-25656</t>
  </si>
  <si>
    <t>Priyanka</t>
  </si>
  <si>
    <t>B-25608</t>
  </si>
  <si>
    <t>Aarushi</t>
  </si>
  <si>
    <t>Tamil Nadu</t>
  </si>
  <si>
    <t>Chennai</t>
  </si>
  <si>
    <t>B-25752</t>
  </si>
  <si>
    <t>Vaibhav</t>
  </si>
  <si>
    <t>B-25779</t>
  </si>
  <si>
    <t>Savi</t>
  </si>
  <si>
    <t>B-25603</t>
  </si>
  <si>
    <t>Jahan</t>
  </si>
  <si>
    <t>B-26051</t>
  </si>
  <si>
    <t>Parishi</t>
  </si>
  <si>
    <t>West Bengal</t>
  </si>
  <si>
    <t>Kolkata</t>
  </si>
  <si>
    <t>B-25653</t>
  </si>
  <si>
    <t>Farah</t>
  </si>
  <si>
    <t>B-25855</t>
  </si>
  <si>
    <t>Abhijeet</t>
  </si>
  <si>
    <t>B-25762</t>
  </si>
  <si>
    <t>Anudeep</t>
  </si>
  <si>
    <t>B-25995</t>
  </si>
  <si>
    <t>Yohann</t>
  </si>
  <si>
    <t>B-25929</t>
  </si>
  <si>
    <t>Girase</t>
  </si>
  <si>
    <t>B-26006</t>
  </si>
  <si>
    <t>Arpita</t>
  </si>
  <si>
    <t>B-25697</t>
  </si>
  <si>
    <t>Vijay</t>
  </si>
  <si>
    <t>Jammu and Kashmir</t>
  </si>
  <si>
    <t>Kashmir</t>
  </si>
  <si>
    <t>B-25836</t>
  </si>
  <si>
    <t>Arti</t>
  </si>
  <si>
    <t>B-25601</t>
  </si>
  <si>
    <t>Bharat</t>
  </si>
  <si>
    <t>B-25873</t>
  </si>
  <si>
    <t>Divyeta</t>
  </si>
  <si>
    <t>B-26028</t>
  </si>
  <si>
    <t>Manju</t>
  </si>
  <si>
    <t>B-25964</t>
  </si>
  <si>
    <t>Oshin</t>
  </si>
  <si>
    <t>B-25676</t>
  </si>
  <si>
    <t>Chandni</t>
  </si>
  <si>
    <t>Jaipur</t>
  </si>
  <si>
    <t>B-25839</t>
  </si>
  <si>
    <t>Pranjali</t>
  </si>
  <si>
    <t>B-25894</t>
  </si>
  <si>
    <t>Monu</t>
  </si>
  <si>
    <t>Amritsar</t>
  </si>
  <si>
    <t>B-25925</t>
  </si>
  <si>
    <t>B-25953</t>
  </si>
  <si>
    <t>Krutika</t>
  </si>
  <si>
    <t>B-25772</t>
  </si>
  <si>
    <t>Sanjana</t>
  </si>
  <si>
    <t>B-25957</t>
  </si>
  <si>
    <t>Mahima</t>
  </si>
  <si>
    <t>B-25730</t>
  </si>
  <si>
    <t>Rishabh</t>
  </si>
  <si>
    <t>B-25877</t>
  </si>
  <si>
    <t>Dashyam</t>
  </si>
  <si>
    <t>B-26067</t>
  </si>
  <si>
    <t>Tulika</t>
  </si>
  <si>
    <t>B-25810</t>
  </si>
  <si>
    <t>Nripraj</t>
  </si>
  <si>
    <t>B-25868</t>
  </si>
  <si>
    <t>Vikash</t>
  </si>
  <si>
    <t>Goa</t>
  </si>
  <si>
    <t>B-26023</t>
  </si>
  <si>
    <t>Mukesh</t>
  </si>
  <si>
    <t>B-25626</t>
  </si>
  <si>
    <t>B-25937</t>
  </si>
  <si>
    <t>Ankit</t>
  </si>
  <si>
    <t>B-25610</t>
  </si>
  <si>
    <t>B-25777</t>
  </si>
  <si>
    <t>Aditi</t>
  </si>
  <si>
    <t>B-25738</t>
  </si>
  <si>
    <t>Ayush</t>
  </si>
  <si>
    <t>B-25978</t>
  </si>
  <si>
    <t>Parin</t>
  </si>
  <si>
    <t>B-25643</t>
  </si>
  <si>
    <t>Kirti</t>
  </si>
  <si>
    <t>B-25728</t>
  </si>
  <si>
    <t>Ameesha</t>
  </si>
  <si>
    <t>B-25749</t>
  </si>
  <si>
    <t>B-25667</t>
  </si>
  <si>
    <t>Anjali</t>
  </si>
  <si>
    <t>B-25657</t>
  </si>
  <si>
    <t>B-25753</t>
  </si>
  <si>
    <t>Shivam</t>
  </si>
  <si>
    <t>B-26061</t>
  </si>
  <si>
    <t>Anurag</t>
  </si>
  <si>
    <t>B-25838</t>
  </si>
  <si>
    <t>B-25702</t>
  </si>
  <si>
    <t>Shaily</t>
  </si>
  <si>
    <t>B-25952</t>
  </si>
  <si>
    <t>B-25666</t>
  </si>
  <si>
    <t>Tanvi</t>
  </si>
  <si>
    <t>B-25675</t>
  </si>
  <si>
    <t>Shreya</t>
  </si>
  <si>
    <t>B-25650</t>
  </si>
  <si>
    <t>Chirag</t>
  </si>
  <si>
    <t>B-25986</t>
  </si>
  <si>
    <t>Shweta</t>
  </si>
  <si>
    <t>B-25850</t>
  </si>
  <si>
    <t>Abhishek</t>
  </si>
  <si>
    <t>B-25898</t>
  </si>
  <si>
    <t>B-25813</t>
  </si>
  <si>
    <t>Hrisheekesh</t>
  </si>
  <si>
    <t>B-25825</t>
  </si>
  <si>
    <t>Kartik</t>
  </si>
  <si>
    <t>B-25954</t>
  </si>
  <si>
    <t>Trupti</t>
  </si>
  <si>
    <t>B-25696</t>
  </si>
  <si>
    <t>Noopur</t>
  </si>
  <si>
    <t>B-25638</t>
  </si>
  <si>
    <t>B-25747</t>
  </si>
  <si>
    <t>Harsh</t>
  </si>
  <si>
    <t>B-25904</t>
  </si>
  <si>
    <t>Swapnil</t>
  </si>
  <si>
    <t>B-25852</t>
  </si>
  <si>
    <t>Soumyabrata</t>
  </si>
  <si>
    <t>B-25981</t>
  </si>
  <si>
    <t>Amruta</t>
  </si>
  <si>
    <t>B-25899</t>
  </si>
  <si>
    <t>Aishwarya</t>
  </si>
  <si>
    <t>B-25870</t>
  </si>
  <si>
    <t>Pranav</t>
  </si>
  <si>
    <t>B-26040</t>
  </si>
  <si>
    <t>Sahil</t>
  </si>
  <si>
    <t>B-25671</t>
  </si>
  <si>
    <t>Mitali</t>
  </si>
  <si>
    <t>B-26100</t>
  </si>
  <si>
    <t>Hitika</t>
  </si>
  <si>
    <t>B-25651</t>
  </si>
  <si>
    <t>B-25968</t>
  </si>
  <si>
    <t>Paromita</t>
  </si>
  <si>
    <t>B-26019</t>
  </si>
  <si>
    <t>Jitesh</t>
  </si>
  <si>
    <t>B-25664</t>
  </si>
  <si>
    <t>Pratyusmita</t>
  </si>
  <si>
    <t>B-26033</t>
  </si>
  <si>
    <t>Atharv</t>
  </si>
  <si>
    <t>B-26052</t>
  </si>
  <si>
    <t>Ajay</t>
  </si>
  <si>
    <t>B-25999</t>
  </si>
  <si>
    <t>Diwakar</t>
  </si>
  <si>
    <t>B-25781</t>
  </si>
  <si>
    <t>Rutuja</t>
  </si>
  <si>
    <t>B-25764</t>
  </si>
  <si>
    <t>Sanjova</t>
  </si>
  <si>
    <t>B-25803</t>
  </si>
  <si>
    <t>Shivanshu</t>
  </si>
  <si>
    <t>B-25945</t>
  </si>
  <si>
    <t>Mhatre</t>
  </si>
  <si>
    <t>B-26086</t>
  </si>
  <si>
    <t>B-25845</t>
  </si>
  <si>
    <t>Snel</t>
  </si>
  <si>
    <t>B-25817</t>
  </si>
  <si>
    <t>Praneet</t>
  </si>
  <si>
    <t>B-25951</t>
  </si>
  <si>
    <t>Jesal</t>
  </si>
  <si>
    <t>B-25970</t>
  </si>
  <si>
    <t>Rhea</t>
  </si>
  <si>
    <t>B-25878</t>
  </si>
  <si>
    <t>Mrinal</t>
  </si>
  <si>
    <t>B-26057</t>
  </si>
  <si>
    <t>Sharda</t>
  </si>
  <si>
    <t>B-25885</t>
  </si>
  <si>
    <t>Shatayu</t>
  </si>
  <si>
    <t>B-25897</t>
  </si>
  <si>
    <t>B-25756</t>
  </si>
  <si>
    <t>B-25859</t>
  </si>
  <si>
    <t>Chikku</t>
  </si>
  <si>
    <t>B-25691</t>
  </si>
  <si>
    <t>Akancha</t>
  </si>
  <si>
    <t>B-25633</t>
  </si>
  <si>
    <t>Amit</t>
  </si>
  <si>
    <t>Sikkim</t>
  </si>
  <si>
    <t>Gangtok</t>
  </si>
  <si>
    <t>B-25708</t>
  </si>
  <si>
    <t>Kishwar</t>
  </si>
  <si>
    <t>B-25831</t>
  </si>
  <si>
    <t>B-25856</t>
  </si>
  <si>
    <t>B-25893</t>
  </si>
  <si>
    <t>B-25959</t>
  </si>
  <si>
    <t>Muskan</t>
  </si>
  <si>
    <t>B-26000</t>
  </si>
  <si>
    <t>Shubham</t>
  </si>
  <si>
    <t>B-26097</t>
  </si>
  <si>
    <t>Vini</t>
  </si>
  <si>
    <t>B-25745</t>
  </si>
  <si>
    <t>B-25974</t>
  </si>
  <si>
    <t>Manisha</t>
  </si>
  <si>
    <t>B-25670</t>
  </si>
  <si>
    <t>Charika</t>
  </si>
  <si>
    <t>B-25848</t>
  </si>
  <si>
    <t>B-25888</t>
  </si>
  <si>
    <t>B-25942</t>
  </si>
  <si>
    <t>Ankur</t>
  </si>
  <si>
    <t>B-25847</t>
  </si>
  <si>
    <t>Aniket</t>
  </si>
  <si>
    <t>B-25636</t>
  </si>
  <si>
    <t>Nishi</t>
  </si>
  <si>
    <t>B-25826</t>
  </si>
  <si>
    <t>Tanushree</t>
  </si>
  <si>
    <t>B-26081</t>
  </si>
  <si>
    <t>B-25625</t>
  </si>
  <si>
    <t>Pinky</t>
  </si>
  <si>
    <t>B-25802</t>
  </si>
  <si>
    <t>Yash</t>
  </si>
  <si>
    <t>B-25693</t>
  </si>
  <si>
    <t>Parna</t>
  </si>
  <si>
    <t>B-25796</t>
  </si>
  <si>
    <t>Sukrith</t>
  </si>
  <si>
    <t>B-25806</t>
  </si>
  <si>
    <t>Dhanraj</t>
  </si>
  <si>
    <t>B-25710</t>
  </si>
  <si>
    <t>Megha</t>
  </si>
  <si>
    <t>B-25669</t>
  </si>
  <si>
    <t>Piyali</t>
  </si>
  <si>
    <t>B-25857</t>
  </si>
  <si>
    <t>Anand</t>
  </si>
  <si>
    <t>B-25785</t>
  </si>
  <si>
    <t>B-25930</t>
  </si>
  <si>
    <t>Monica</t>
  </si>
  <si>
    <t>B-26053</t>
  </si>
  <si>
    <t>B-26070</t>
  </si>
  <si>
    <t>B-25791</t>
  </si>
  <si>
    <t>Avish</t>
  </si>
  <si>
    <t>B-25983</t>
  </si>
  <si>
    <t>Atul</t>
  </si>
  <si>
    <t>B-25979</t>
  </si>
  <si>
    <t>Shivangi</t>
  </si>
  <si>
    <t>B-26054</t>
  </si>
  <si>
    <t>Mayank</t>
  </si>
  <si>
    <t>B-26078</t>
  </si>
  <si>
    <t>Kasheen</t>
  </si>
  <si>
    <t>B-25787</t>
  </si>
  <si>
    <t>Asish</t>
  </si>
  <si>
    <t>B-25682</t>
  </si>
  <si>
    <t>B-25962</t>
  </si>
  <si>
    <t>Tejeswini</t>
  </si>
  <si>
    <t>B-25750</t>
  </si>
  <si>
    <t>Priyanshu</t>
  </si>
  <si>
    <t>B-25828</t>
  </si>
  <si>
    <t>Nikita</t>
  </si>
  <si>
    <t>B-25622</t>
  </si>
  <si>
    <t>Monisha</t>
  </si>
  <si>
    <t>B-25751</t>
  </si>
  <si>
    <t>Nishant</t>
  </si>
  <si>
    <t>B-25685</t>
  </si>
  <si>
    <t>B-26010</t>
  </si>
  <si>
    <t>Kartikay</t>
  </si>
  <si>
    <t>B-26035</t>
  </si>
  <si>
    <t>B-25698</t>
  </si>
  <si>
    <t>Amisha</t>
  </si>
  <si>
    <t>B-25966</t>
  </si>
  <si>
    <t>Soumya</t>
  </si>
  <si>
    <t>B-25832</t>
  </si>
  <si>
    <t>Harshita</t>
  </si>
  <si>
    <t>B-25743</t>
  </si>
  <si>
    <t>Aman</t>
  </si>
  <si>
    <t>B-25886</t>
  </si>
  <si>
    <t>Brijesh</t>
  </si>
  <si>
    <t>B-25975</t>
  </si>
  <si>
    <t>B-26098</t>
  </si>
  <si>
    <t>B-25614</t>
  </si>
  <si>
    <t>Vandana</t>
  </si>
  <si>
    <t>B-25726</t>
  </si>
  <si>
    <t>Kiran</t>
  </si>
  <si>
    <t>B-26050</t>
  </si>
  <si>
    <t>Paridhi</t>
  </si>
  <si>
    <t>B-25609</t>
  </si>
  <si>
    <t>B-25741</t>
  </si>
  <si>
    <t>Navdeep</t>
  </si>
  <si>
    <t>B-25956</t>
  </si>
  <si>
    <t>B-25689</t>
  </si>
  <si>
    <t>Bhaggyasree</t>
  </si>
  <si>
    <t>B-25939</t>
  </si>
  <si>
    <t>Vineet</t>
  </si>
  <si>
    <t>B-25890</t>
  </si>
  <si>
    <t>Divyansha</t>
  </si>
  <si>
    <t>B-25814</t>
  </si>
  <si>
    <t>B-25718</t>
  </si>
  <si>
    <t>B-25914</t>
  </si>
  <si>
    <t>Kajal</t>
  </si>
  <si>
    <t>B-25903</t>
  </si>
  <si>
    <t>Amlan</t>
  </si>
  <si>
    <t>B-26096</t>
  </si>
  <si>
    <t>B-25654</t>
  </si>
  <si>
    <t>Sabah</t>
  </si>
  <si>
    <t>B-26076</t>
  </si>
  <si>
    <t>B-25961</t>
  </si>
  <si>
    <t>Surbhi</t>
  </si>
  <si>
    <t>B-25854</t>
  </si>
  <si>
    <t>B-25642</t>
  </si>
  <si>
    <t>B-25683</t>
  </si>
  <si>
    <t>B-26016</t>
  </si>
  <si>
    <t>Hazel</t>
  </si>
  <si>
    <t>B-26034</t>
  </si>
  <si>
    <t>B-26056</t>
  </si>
  <si>
    <t>Sonal</t>
  </si>
  <si>
    <t>B-25819</t>
  </si>
  <si>
    <t>B-25715</t>
  </si>
  <si>
    <t>Srishti</t>
  </si>
  <si>
    <t>B-25933</t>
  </si>
  <si>
    <t>Shikhar</t>
  </si>
  <si>
    <t>B-26014</t>
  </si>
  <si>
    <t>Divsha</t>
  </si>
  <si>
    <t>B-25655</t>
  </si>
  <si>
    <t>Nida</t>
  </si>
  <si>
    <t>B-25816</t>
  </si>
  <si>
    <t>Mane</t>
  </si>
  <si>
    <t>B-25634</t>
  </si>
  <si>
    <t>Sanjay</t>
  </si>
  <si>
    <t>B-25895</t>
  </si>
  <si>
    <t>Sathya</t>
  </si>
  <si>
    <t>B-25687</t>
  </si>
  <si>
    <t>Sanjna</t>
  </si>
  <si>
    <t>B-25662</t>
  </si>
  <si>
    <t>Sweta</t>
  </si>
  <si>
    <t>B-25635</t>
  </si>
  <si>
    <t>Nidhi</t>
  </si>
  <si>
    <t>B-26060</t>
  </si>
  <si>
    <t>B-26045</t>
  </si>
  <si>
    <t>B-25770</t>
  </si>
  <si>
    <t>Sakshi</t>
  </si>
  <si>
    <t>B-25744</t>
  </si>
  <si>
    <t>Devendra</t>
  </si>
  <si>
    <t>B-25618</t>
  </si>
  <si>
    <t>B-25958</t>
  </si>
  <si>
    <t>Aparajita</t>
  </si>
  <si>
    <t>B-25769</t>
  </si>
  <si>
    <t>B-25619</t>
  </si>
  <si>
    <t>Ramesh</t>
  </si>
  <si>
    <t>B-25688</t>
  </si>
  <si>
    <t>Swetha</t>
  </si>
  <si>
    <t>B-25829</t>
  </si>
  <si>
    <t>Apoorva</t>
  </si>
  <si>
    <t>B-26036</t>
  </si>
  <si>
    <t>B-25714</t>
  </si>
  <si>
    <t>Stuti</t>
  </si>
  <si>
    <t>B-25989</t>
  </si>
  <si>
    <t>B-25849</t>
  </si>
  <si>
    <t>K</t>
  </si>
  <si>
    <t>B-25851</t>
  </si>
  <si>
    <t>Kushal</t>
  </si>
  <si>
    <t>B-25782</t>
  </si>
  <si>
    <t>Aayushi</t>
  </si>
  <si>
    <t>B-25621</t>
  </si>
  <si>
    <t>Deepak</t>
  </si>
  <si>
    <t>B-25996</t>
  </si>
  <si>
    <t>Prashant</t>
  </si>
  <si>
    <t>B-25678</t>
  </si>
  <si>
    <t>Bathina</t>
  </si>
  <si>
    <t>B-25727</t>
  </si>
  <si>
    <t>Turumella</t>
  </si>
  <si>
    <t>B-26018</t>
  </si>
  <si>
    <t>B-25760</t>
  </si>
  <si>
    <t>B-25804</t>
  </si>
  <si>
    <t>Sudheer</t>
  </si>
  <si>
    <t>B-25754</t>
  </si>
  <si>
    <t>Akshay</t>
  </si>
  <si>
    <t>B-26020</t>
  </si>
  <si>
    <t>B-25640</t>
  </si>
  <si>
    <t>B-25789</t>
  </si>
  <si>
    <t>B-26072</t>
  </si>
  <si>
    <t>B-26007</t>
  </si>
  <si>
    <t>B-26087</t>
  </si>
  <si>
    <t>B-25617</t>
  </si>
  <si>
    <t>Sagar</t>
  </si>
  <si>
    <t>B-25984</t>
  </si>
  <si>
    <t>B-25767</t>
  </si>
  <si>
    <t>Ashmeet</t>
  </si>
  <si>
    <t>B-25987</t>
  </si>
  <si>
    <t>Manjiri</t>
  </si>
  <si>
    <t>B-25840</t>
  </si>
  <si>
    <t>Sneha</t>
  </si>
  <si>
    <t>B-25663</t>
  </si>
  <si>
    <t>B-26030</t>
  </si>
  <si>
    <t>B-25947</t>
  </si>
  <si>
    <t>Chetan</t>
  </si>
  <si>
    <t>B-25896</t>
  </si>
  <si>
    <t>B-26009</t>
  </si>
  <si>
    <t>Komal</t>
  </si>
  <si>
    <t>B-25876</t>
  </si>
  <si>
    <t>Bhosale</t>
  </si>
  <si>
    <t>B-25915</t>
  </si>
  <si>
    <t>Sukruta</t>
  </si>
  <si>
    <t>B-25795</t>
  </si>
  <si>
    <t>Sukant</t>
  </si>
  <si>
    <t>B-26002</t>
  </si>
  <si>
    <t>B-25645</t>
  </si>
  <si>
    <t>Yaanvi</t>
  </si>
  <si>
    <t>B-25837</t>
  </si>
  <si>
    <t>Palak</t>
  </si>
  <si>
    <t>B-25612</t>
  </si>
  <si>
    <t>B-25812</t>
  </si>
  <si>
    <t>Kshitij</t>
  </si>
  <si>
    <t>B-25843</t>
  </si>
  <si>
    <t>Mrunal</t>
  </si>
  <si>
    <t>B-26026</t>
  </si>
  <si>
    <t>Kanak</t>
  </si>
  <si>
    <t>B-25773</t>
  </si>
  <si>
    <t>B-25875</t>
  </si>
  <si>
    <t>Divyeshkumar</t>
  </si>
  <si>
    <t>B-25660</t>
  </si>
  <si>
    <t>B-25918</t>
  </si>
  <si>
    <t>Karandeep</t>
  </si>
  <si>
    <t>B-25971</t>
  </si>
  <si>
    <t>B-26063</t>
  </si>
  <si>
    <t>B-25867</t>
  </si>
  <si>
    <t>B-25703</t>
  </si>
  <si>
    <t>Ekta</t>
  </si>
  <si>
    <t>B-25661</t>
  </si>
  <si>
    <t>Subhashree</t>
  </si>
  <si>
    <t>B-25748</t>
  </si>
  <si>
    <t>Nitant</t>
  </si>
  <si>
    <t>B-25766</t>
  </si>
  <si>
    <t>B-25861</t>
  </si>
  <si>
    <t>Aayush</t>
  </si>
  <si>
    <t>B-26058</t>
  </si>
  <si>
    <t>Aditya</t>
  </si>
  <si>
    <t>B-25808</t>
  </si>
  <si>
    <t>Apsingekar</t>
  </si>
  <si>
    <t>B-25900</t>
  </si>
  <si>
    <t>B-26084</t>
  </si>
  <si>
    <t>Anita</t>
  </si>
  <si>
    <t>B-25652</t>
  </si>
  <si>
    <t>Tushina</t>
  </si>
  <si>
    <t>B-26008</t>
  </si>
  <si>
    <t>Kalyani</t>
  </si>
  <si>
    <t>B-25799</t>
  </si>
  <si>
    <t>Divyansh</t>
  </si>
  <si>
    <t>B-25927</t>
  </si>
  <si>
    <t>B-25985</t>
  </si>
  <si>
    <t>Ginny</t>
  </si>
  <si>
    <t>B-25994</t>
  </si>
  <si>
    <t>Omkar</t>
  </si>
  <si>
    <t>B-25620</t>
  </si>
  <si>
    <t>B-25712</t>
  </si>
  <si>
    <t>Adhvaita</t>
  </si>
  <si>
    <t>B-25976</t>
  </si>
  <si>
    <t>Piyam</t>
  </si>
  <si>
    <t>B-26068</t>
  </si>
  <si>
    <t>Shefali</t>
  </si>
  <si>
    <t>B-25721</t>
  </si>
  <si>
    <t>Anchal</t>
  </si>
  <si>
    <t>B-25863</t>
  </si>
  <si>
    <t>Manibalan</t>
  </si>
  <si>
    <t>B-25991</t>
  </si>
  <si>
    <t>Mansi</t>
  </si>
  <si>
    <t>B-25737</t>
  </si>
  <si>
    <t>B-26043</t>
  </si>
  <si>
    <t>B-25977</t>
  </si>
  <si>
    <t>B-25908</t>
  </si>
  <si>
    <t>Pradeep</t>
  </si>
  <si>
    <t>B-25941</t>
  </si>
  <si>
    <t>Jaideep</t>
  </si>
  <si>
    <t>B-25794</t>
  </si>
  <si>
    <t>B-26041</t>
  </si>
  <si>
    <t>Ritu</t>
  </si>
  <si>
    <t>B-25695</t>
  </si>
  <si>
    <t>Suhani</t>
  </si>
  <si>
    <t>B-25960</t>
  </si>
  <si>
    <t>B-26037</t>
  </si>
  <si>
    <t>B-25921</t>
  </si>
  <si>
    <t>Sandra</t>
  </si>
  <si>
    <t>B-25944</t>
  </si>
  <si>
    <t>Syed</t>
  </si>
  <si>
    <t>B-25724</t>
  </si>
  <si>
    <t>B-26024</t>
  </si>
  <si>
    <t>B-25694</t>
  </si>
  <si>
    <t>Subhasmita</t>
  </si>
  <si>
    <t>B-25665</t>
  </si>
  <si>
    <t>Chayanika</t>
  </si>
  <si>
    <t>B-26004</t>
  </si>
  <si>
    <t>Nandita</t>
  </si>
  <si>
    <t>B-25611</t>
  </si>
  <si>
    <t>B-25901</t>
  </si>
  <si>
    <t>Suraj</t>
  </si>
  <si>
    <t>B-25623</t>
  </si>
  <si>
    <t>B-25713</t>
  </si>
  <si>
    <t>Raksha</t>
  </si>
  <si>
    <t>B-26091</t>
  </si>
  <si>
    <t>B-25604</t>
  </si>
  <si>
    <t>B-25827</t>
  </si>
  <si>
    <t>B-25835</t>
  </si>
  <si>
    <t>Moumita</t>
  </si>
  <si>
    <t>B-26025</t>
  </si>
  <si>
    <t>Bhavna</t>
  </si>
  <si>
    <t>B-25809</t>
  </si>
  <si>
    <t>Suman</t>
  </si>
  <si>
    <t>B-25905</t>
  </si>
  <si>
    <t>Bhargav</t>
  </si>
  <si>
    <t>B-25948</t>
  </si>
  <si>
    <t>Mukund</t>
  </si>
  <si>
    <t>B-26094</t>
  </si>
  <si>
    <t>B-25949</t>
  </si>
  <si>
    <t>Shantanu</t>
  </si>
  <si>
    <t>B-26001</t>
  </si>
  <si>
    <t>Patil</t>
  </si>
  <si>
    <t>B-25771</t>
  </si>
  <si>
    <t>Vaibhavi</t>
  </si>
  <si>
    <t>B-25659</t>
  </si>
  <si>
    <t>Sanskriti</t>
  </si>
  <si>
    <t>B-25924</t>
  </si>
  <si>
    <t>Prajakta</t>
  </si>
  <si>
    <t>B-25883</t>
  </si>
  <si>
    <t>Saptadeep</t>
  </si>
  <si>
    <t>B-25946</t>
  </si>
  <si>
    <t>Saurabh</t>
  </si>
  <si>
    <t>B-26065</t>
  </si>
  <si>
    <t>B-26083</t>
  </si>
  <si>
    <t>B-25725</t>
  </si>
  <si>
    <t>Anisha</t>
  </si>
  <si>
    <t>B-25630</t>
  </si>
  <si>
    <t>B-25673</t>
  </si>
  <si>
    <t>Arsheen</t>
  </si>
  <si>
    <t>B-25692</t>
  </si>
  <si>
    <t>Rashmi</t>
  </si>
  <si>
    <t>B-25992</t>
  </si>
  <si>
    <t>B-25765</t>
  </si>
  <si>
    <t>Meghana</t>
  </si>
  <si>
    <t>B-25892</t>
  </si>
  <si>
    <t>B-26089</t>
  </si>
  <si>
    <t>B-25780</t>
  </si>
  <si>
    <t>Teena</t>
  </si>
  <si>
    <t>B-25684</t>
  </si>
  <si>
    <t>Samiksha</t>
  </si>
  <si>
    <t>B-25739</t>
  </si>
  <si>
    <t>Daksh</t>
  </si>
  <si>
    <t>B-25731</t>
  </si>
  <si>
    <t>Akash</t>
  </si>
  <si>
    <t>B-25648</t>
  </si>
  <si>
    <t>B-26038</t>
  </si>
  <si>
    <t>B-25700</t>
  </si>
  <si>
    <t>Shubhi</t>
  </si>
  <si>
    <t>B-26015</t>
  </si>
  <si>
    <t>B-25704</t>
  </si>
  <si>
    <t>Riya</t>
  </si>
  <si>
    <t>B-25811</t>
  </si>
  <si>
    <t>Utsav</t>
  </si>
  <si>
    <t>B-25821</t>
  </si>
  <si>
    <t>B-25874</t>
  </si>
  <si>
    <t>B-25668</t>
  </si>
  <si>
    <t>B-25800</t>
  </si>
  <si>
    <t>Ishit</t>
  </si>
  <si>
    <t>B-25928</t>
  </si>
  <si>
    <t>Smriti</t>
  </si>
  <si>
    <t>B-26021</t>
  </si>
  <si>
    <t>B-26064</t>
  </si>
  <si>
    <t>Ankita</t>
  </si>
  <si>
    <t>B-25882</t>
  </si>
  <si>
    <t>Masurkar</t>
  </si>
  <si>
    <t>B-25891</t>
  </si>
  <si>
    <t>Shivani</t>
  </si>
  <si>
    <t>B-25820</t>
  </si>
  <si>
    <t>Dheeraj</t>
  </si>
  <si>
    <t>B-25889</t>
  </si>
  <si>
    <t>B-25871</t>
  </si>
  <si>
    <t>Gunjal</t>
  </si>
  <si>
    <t>B-25637</t>
  </si>
  <si>
    <t>Ashmi</t>
  </si>
  <si>
    <t>B-25616</t>
  </si>
  <si>
    <t>B-25972</t>
  </si>
  <si>
    <t>Jesslyn</t>
  </si>
  <si>
    <t>B-25805</t>
  </si>
  <si>
    <t>B-25860</t>
  </si>
  <si>
    <t>B-26080</t>
  </si>
  <si>
    <t>Sonakshi</t>
  </si>
  <si>
    <t>B-25807</t>
  </si>
  <si>
    <t>Vipul</t>
  </si>
  <si>
    <t>B-25734</t>
  </si>
  <si>
    <t>B-25880</t>
  </si>
  <si>
    <t>Apoorv</t>
  </si>
  <si>
    <t>B-25934</t>
  </si>
  <si>
    <t>Rahul</t>
  </si>
  <si>
    <t>B-25913</t>
  </si>
  <si>
    <t>Geetanjali</t>
  </si>
  <si>
    <t>B-25912</t>
  </si>
  <si>
    <t>Preksha</t>
  </si>
  <si>
    <t>B-25824</t>
  </si>
  <si>
    <t>Shyam</t>
  </si>
  <si>
    <t>B-25711</t>
  </si>
  <si>
    <t>B-25864</t>
  </si>
  <si>
    <t>Aromal</t>
  </si>
  <si>
    <t>B-25917</t>
  </si>
  <si>
    <t>B-26049</t>
  </si>
  <si>
    <t>B-25920</t>
  </si>
  <si>
    <t>Jayanti</t>
  </si>
  <si>
    <t>B-25699</t>
  </si>
  <si>
    <t>Kritika</t>
  </si>
  <si>
    <t>B-25735</t>
  </si>
  <si>
    <t>Arindam</t>
  </si>
  <si>
    <t>B-25701</t>
  </si>
  <si>
    <t>Maithilee</t>
  </si>
  <si>
    <t>B-26092</t>
  </si>
  <si>
    <t>B-26082</t>
  </si>
  <si>
    <t>B-25818</t>
  </si>
  <si>
    <t>Sandeep</t>
  </si>
  <si>
    <t>B-25846</t>
  </si>
  <si>
    <t>Soodesh</t>
  </si>
  <si>
    <t>B-26011</t>
  </si>
  <si>
    <t>B-25631</t>
  </si>
  <si>
    <t>B-25606</t>
  </si>
  <si>
    <t>B-25746</t>
  </si>
  <si>
    <t>B-26005</t>
  </si>
  <si>
    <t>Parnavi</t>
  </si>
  <si>
    <t>B-25844</t>
  </si>
  <si>
    <t>Swati</t>
  </si>
  <si>
    <t>B-25869</t>
  </si>
  <si>
    <t>Parakh</t>
  </si>
  <si>
    <t>B-26066</t>
  </si>
  <si>
    <t>B-25865</t>
  </si>
  <si>
    <t>Arun</t>
  </si>
  <si>
    <t>B-26039</t>
  </si>
  <si>
    <t>B-25916</t>
  </si>
  <si>
    <t>Utkarsh</t>
  </si>
  <si>
    <t>B-26090</t>
  </si>
  <si>
    <t>B-25988</t>
  </si>
  <si>
    <t>Nirja</t>
  </si>
  <si>
    <t>B-25906</t>
  </si>
  <si>
    <t>Abhijit</t>
  </si>
  <si>
    <t>B-26017</t>
  </si>
  <si>
    <t>B-25644</t>
  </si>
  <si>
    <t>B-25679</t>
  </si>
  <si>
    <t>Avni</t>
  </si>
  <si>
    <t>B-25723</t>
  </si>
  <si>
    <t>Wale</t>
  </si>
  <si>
    <t>B-25605</t>
  </si>
  <si>
    <t>B-25792</t>
  </si>
  <si>
    <t>B-25680</t>
  </si>
  <si>
    <t>B-25931</t>
  </si>
  <si>
    <t>Sidharth</t>
  </si>
  <si>
    <t>B-25932</t>
  </si>
  <si>
    <t>Bhutekar</t>
  </si>
  <si>
    <t>B-25990</t>
  </si>
  <si>
    <t>Mugdha</t>
  </si>
  <si>
    <t>B-25615</t>
  </si>
  <si>
    <t>B-26031</t>
  </si>
  <si>
    <t>B-25801</t>
  </si>
  <si>
    <t>Aryan</t>
  </si>
  <si>
    <t>B-25833</t>
  </si>
  <si>
    <t>Krishna</t>
  </si>
  <si>
    <t>B-26077</t>
  </si>
  <si>
    <t>B-25936</t>
  </si>
  <si>
    <t>Nikhil</t>
  </si>
  <si>
    <t>B-25938</t>
  </si>
  <si>
    <t>B-25716</t>
  </si>
  <si>
    <t>B-25740</t>
  </si>
  <si>
    <t>Rane</t>
  </si>
  <si>
    <t>B-25763</t>
  </si>
  <si>
    <t>Noshiba</t>
  </si>
  <si>
    <t>B-25872</t>
  </si>
  <si>
    <t>B-25879</t>
  </si>
  <si>
    <t>B-25926</t>
  </si>
  <si>
    <t>Dipali</t>
  </si>
  <si>
    <t>B-26074</t>
  </si>
  <si>
    <t>B-25627</t>
  </si>
  <si>
    <t>B-25940</t>
  </si>
  <si>
    <t>Vivek</t>
  </si>
  <si>
    <t>B-26047</t>
  </si>
  <si>
    <t>B-26069</t>
  </si>
  <si>
    <t>B-26027</t>
  </si>
  <si>
    <t>B-25963</t>
  </si>
  <si>
    <t>Pratiksha</t>
  </si>
  <si>
    <t>B-25922</t>
  </si>
  <si>
    <t>Akshata</t>
  </si>
  <si>
    <t>B-25866</t>
  </si>
  <si>
    <t>B-25607</t>
  </si>
  <si>
    <t>B-25775</t>
  </si>
  <si>
    <t>Duhita</t>
  </si>
  <si>
    <t>B-25998</t>
  </si>
  <si>
    <t>Anmol</t>
  </si>
  <si>
    <t>B-26062</t>
  </si>
  <si>
    <t>B-25722</t>
  </si>
  <si>
    <t>Inderpreet</t>
  </si>
  <si>
    <t>B-25776</t>
  </si>
  <si>
    <t>Mousam</t>
  </si>
  <si>
    <t>B-26032</t>
  </si>
  <si>
    <t>B-25705</t>
  </si>
  <si>
    <t>B-25628</t>
  </si>
  <si>
    <t>B-25733</t>
  </si>
  <si>
    <t>Dhirajendu</t>
  </si>
  <si>
    <t>B-25647</t>
  </si>
  <si>
    <t>B-25790</t>
  </si>
  <si>
    <t>Sajal</t>
  </si>
  <si>
    <t>B-25709</t>
  </si>
  <si>
    <t>Aakanksha</t>
  </si>
  <si>
    <t>B-25911</t>
  </si>
  <si>
    <t>Phalguni</t>
  </si>
  <si>
    <t>B-25774</t>
  </si>
  <si>
    <t>Snehal</t>
  </si>
  <si>
    <t>B-26042</t>
  </si>
  <si>
    <t>Manish</t>
  </si>
  <si>
    <t>B-25815</t>
  </si>
  <si>
    <t>B-25822</t>
  </si>
  <si>
    <t>Tejas</t>
  </si>
  <si>
    <t>B-26075</t>
  </si>
  <si>
    <t>Pearl</t>
  </si>
  <si>
    <t>B-25783</t>
  </si>
  <si>
    <t>B-26046</t>
  </si>
  <si>
    <t>B-25690</t>
  </si>
  <si>
    <t>Gunjan</t>
  </si>
  <si>
    <t>B-25706</t>
  </si>
  <si>
    <t>Swetlana</t>
  </si>
  <si>
    <t>B-25736</t>
  </si>
  <si>
    <t>Akshat</t>
  </si>
  <si>
    <t>B-25720</t>
  </si>
  <si>
    <t>Namrata</t>
  </si>
  <si>
    <t>B-25907</t>
  </si>
  <si>
    <t>Jaydeep</t>
  </si>
  <si>
    <t>B-25719</t>
  </si>
  <si>
    <t>B-26013</t>
  </si>
  <si>
    <t>B-26044</t>
  </si>
  <si>
    <t>B-25649</t>
  </si>
  <si>
    <t>Rachna</t>
  </si>
  <si>
    <t>B-25658</t>
  </si>
  <si>
    <t>B-25672</t>
  </si>
  <si>
    <t>Akanksha</t>
  </si>
  <si>
    <t>B-25624</t>
  </si>
  <si>
    <t>B-25884</t>
  </si>
  <si>
    <t>Sumeet</t>
  </si>
  <si>
    <t>B-25641</t>
  </si>
  <si>
    <t>B-25841</t>
  </si>
  <si>
    <t>Ashvini</t>
  </si>
  <si>
    <t>B-25980</t>
  </si>
  <si>
    <t>B-26012</t>
  </si>
  <si>
    <t>B-26029</t>
  </si>
  <si>
    <t>B-26071</t>
  </si>
  <si>
    <t>B-25646</t>
  </si>
  <si>
    <t>B-25677</t>
  </si>
  <si>
    <t>B-25759</t>
  </si>
  <si>
    <t>B-26059</t>
  </si>
  <si>
    <t>B-25632</t>
  </si>
  <si>
    <t>B-26079</t>
  </si>
  <si>
    <t>B-25674</t>
  </si>
  <si>
    <t>B-25965</t>
  </si>
  <si>
    <t>Saloni</t>
  </si>
  <si>
    <t>B-25732</t>
  </si>
  <si>
    <t>Anubhaw</t>
  </si>
  <si>
    <t>B-25834</t>
  </si>
  <si>
    <t>Ananya</t>
  </si>
  <si>
    <t>B-25784</t>
  </si>
  <si>
    <t>Rohit</t>
  </si>
  <si>
    <t>B-25982</t>
  </si>
  <si>
    <t>Hemangi</t>
  </si>
  <si>
    <t>B-25788</t>
  </si>
  <si>
    <t>Dinesh</t>
  </si>
  <si>
    <t>B-25742</t>
  </si>
  <si>
    <t>Ashwin</t>
  </si>
  <si>
    <t>B-26088</t>
  </si>
  <si>
    <t>B-25707</t>
  </si>
  <si>
    <t>B-25758</t>
  </si>
  <si>
    <t>B-26095</t>
  </si>
  <si>
    <t>Profit</t>
  </si>
  <si>
    <t>Quantity</t>
  </si>
  <si>
    <t>Category</t>
  </si>
  <si>
    <t>PaymentMode</t>
  </si>
  <si>
    <t>Electronics</t>
  </si>
  <si>
    <t>Electronic Games</t>
  </si>
  <si>
    <t>COD</t>
  </si>
  <si>
    <t>Furniture</t>
  </si>
  <si>
    <t>Chairs</t>
  </si>
  <si>
    <t>EMI</t>
  </si>
  <si>
    <t>Bookcases</t>
  </si>
  <si>
    <t>Printers</t>
  </si>
  <si>
    <t>Credit Card</t>
  </si>
  <si>
    <t>Phones</t>
  </si>
  <si>
    <t>Clothing</t>
  </si>
  <si>
    <t>Trousers</t>
  </si>
  <si>
    <t>Saree</t>
  </si>
  <si>
    <t>UPI</t>
  </si>
  <si>
    <t>Hankerchief</t>
  </si>
  <si>
    <t>Kurti</t>
  </si>
  <si>
    <t>Skirt</t>
  </si>
  <si>
    <t>Tables</t>
  </si>
  <si>
    <t>Stole</t>
  </si>
  <si>
    <t>Leggings</t>
  </si>
  <si>
    <t>Accessories</t>
  </si>
  <si>
    <t>T-shirt</t>
  </si>
  <si>
    <t>Debit Card</t>
  </si>
  <si>
    <t>Furnishings</t>
  </si>
  <si>
    <t>Shirt</t>
  </si>
  <si>
    <t xml:space="preserve">Revenue </t>
  </si>
  <si>
    <t>OrderID</t>
  </si>
  <si>
    <t>SubCategory</t>
  </si>
  <si>
    <t>OrderDate</t>
  </si>
  <si>
    <t>Year</t>
  </si>
  <si>
    <t>MonthNumber</t>
  </si>
  <si>
    <t>MonthName</t>
  </si>
  <si>
    <t>YearMonth</t>
  </si>
  <si>
    <t>ProfitMargin</t>
  </si>
  <si>
    <t>Quarter</t>
  </si>
  <si>
    <t>DayofWeek</t>
  </si>
  <si>
    <t>KPI</t>
  </si>
  <si>
    <t>Value</t>
  </si>
  <si>
    <t>Total Profit</t>
  </si>
  <si>
    <t>Total Orders</t>
  </si>
  <si>
    <t>Total Customers</t>
  </si>
  <si>
    <t>Average Order Value</t>
  </si>
  <si>
    <t>Profit Margin</t>
  </si>
  <si>
    <t>Total Revenue</t>
  </si>
  <si>
    <t>Average Profit / Order</t>
  </si>
  <si>
    <t>Average Items / Order</t>
  </si>
  <si>
    <t>2018-01</t>
  </si>
  <si>
    <t>2018-02</t>
  </si>
  <si>
    <t>2018-03</t>
  </si>
  <si>
    <t>2018-04</t>
  </si>
  <si>
    <t>2018-05</t>
  </si>
  <si>
    <t>2018-06</t>
  </si>
  <si>
    <t>2018-07</t>
  </si>
  <si>
    <t>2018-08</t>
  </si>
  <si>
    <t>2018-09</t>
  </si>
  <si>
    <t>2018-10</t>
  </si>
  <si>
    <t>2018-11</t>
  </si>
  <si>
    <t>2018-12</t>
  </si>
  <si>
    <t>Year-Month</t>
  </si>
  <si>
    <t>Product</t>
  </si>
  <si>
    <t>Top 10 Products</t>
  </si>
  <si>
    <t>Revenue by State</t>
  </si>
  <si>
    <t>Profit by Category</t>
  </si>
  <si>
    <t>Monthly Revenue</t>
  </si>
  <si>
    <t>Customer Name</t>
  </si>
  <si>
    <t>Revenue by Customer</t>
  </si>
  <si>
    <t>Retail Sales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</si>
</sst>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45]\ #,##0"/>
    <numFmt numFmtId="165" formatCode="[$-409]d\-mmm\-yyyy;@"/>
    <numFmt numFmtId="166" formatCode="0.0%"/>
    <numFmt numFmtId="167" formatCode="0.0"/>
    <numFmt numFmtId="168" formatCode="[$₹-445]\ #,##0.00"/>
  </numFmts>
  <fonts count="25"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theme="1"/>
      <name val="Arial Unicode MS"/>
      <family val="2"/>
    </font>
    <font>
      <sz val="16"/>
      <color theme="1"/>
      <name val="Aptos Narrow"/>
      <family val="2"/>
      <scheme val="minor"/>
    </font>
    <font>
      <b/>
      <sz val="22"/>
      <color theme="0"/>
      <name val="Aptos Narrow"/>
      <family val="2"/>
      <scheme val="minor"/>
    </font>
    <font>
      <b/>
      <sz val="11"/>
      <name val="Aptos Narrow"/>
      <family val="2"/>
      <scheme val="minor"/>
    </font>
    <font>
      <b/>
      <sz val="11"/>
      <name val="Aptos"/>
      <family val="2"/>
    </font>
    <font>
      <b/>
      <sz val="22"/>
      <color theme="3" tint="0.249977111117893"/>
      <name val="Aptos Narrow"/>
      <family val="2"/>
      <scheme val="minor"/>
    </font>
    <font>
      <b/>
      <sz val="36"/>
      <color theme="3" tint="0.249977111117893"/>
      <name val="Aptos"/>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249977111117893"/>
        <bgColor indexed="64"/>
      </patternFill>
    </fill>
    <fill>
      <patternFill patternType="solid">
        <fgColor theme="0"/>
        <bgColor indexed="64"/>
      </patternFill>
    </fill>
    <fill>
      <patternFill patternType="solid">
        <fgColor theme="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38">
    <xf numFmtId="0" fontId="0" fillId="0" borderId="0" xfId="0"/>
    <xf numFmtId="14" fontId="0" fillId="0" borderId="0" xfId="0" applyNumberFormat="1"/>
    <xf numFmtId="0" fontId="18" fillId="0" borderId="0" xfId="0" applyFont="1" applyAlignment="1">
      <alignment vertical="center"/>
    </xf>
    <xf numFmtId="1" fontId="0" fillId="0" borderId="0" xfId="0" applyNumberFormat="1"/>
    <xf numFmtId="164" fontId="0" fillId="0" borderId="0" xfId="0" applyNumberFormat="1"/>
    <xf numFmtId="165" fontId="0" fillId="0" borderId="0" xfId="0" applyNumberFormat="1"/>
    <xf numFmtId="165" fontId="18" fillId="0" borderId="0" xfId="0" applyNumberFormat="1" applyFont="1" applyAlignment="1">
      <alignment vertical="center"/>
    </xf>
    <xf numFmtId="166" fontId="0" fillId="0" borderId="0" xfId="0" applyNumberFormat="1"/>
    <xf numFmtId="49" fontId="0" fillId="0" borderId="0" xfId="0" applyNumberFormat="1"/>
    <xf numFmtId="164" fontId="19" fillId="0" borderId="0" xfId="0" applyNumberFormat="1" applyFont="1"/>
    <xf numFmtId="10" fontId="0" fillId="0" borderId="0" xfId="0" applyNumberFormat="1"/>
    <xf numFmtId="167" fontId="19" fillId="0" borderId="0" xfId="0" applyNumberFormat="1" applyFont="1"/>
    <xf numFmtId="3" fontId="0" fillId="0" borderId="0" xfId="0" applyNumberFormat="1"/>
    <xf numFmtId="168" fontId="19" fillId="0" borderId="0" xfId="0" applyNumberFormat="1" applyFont="1"/>
    <xf numFmtId="0" fontId="20" fillId="33" borderId="10" xfId="0" applyFont="1" applyFill="1" applyBorder="1" applyAlignment="1">
      <alignment horizontal="center"/>
    </xf>
    <xf numFmtId="164" fontId="19" fillId="0" borderId="10" xfId="0" applyNumberFormat="1" applyFont="1" applyBorder="1"/>
    <xf numFmtId="3" fontId="19" fillId="0" borderId="10" xfId="0" applyNumberFormat="1" applyFont="1" applyBorder="1"/>
    <xf numFmtId="0" fontId="19" fillId="0" borderId="10" xfId="0" applyFont="1" applyBorder="1"/>
    <xf numFmtId="10" fontId="19" fillId="0" borderId="10" xfId="0" applyNumberFormat="1" applyFont="1" applyBorder="1"/>
    <xf numFmtId="168" fontId="19" fillId="0" borderId="10" xfId="0" applyNumberFormat="1" applyFont="1" applyBorder="1"/>
    <xf numFmtId="167" fontId="19" fillId="0" borderId="10" xfId="0" applyNumberFormat="1" applyFont="1" applyBorder="1"/>
    <xf numFmtId="0" fontId="21" fillId="34" borderId="0" xfId="0" applyFont="1" applyFill="1" applyAlignment="1">
      <alignment horizontal="center"/>
    </xf>
    <xf numFmtId="168" fontId="0" fillId="0" borderId="0" xfId="0" applyNumberFormat="1"/>
    <xf numFmtId="164" fontId="19" fillId="0" borderId="10" xfId="0" applyNumberFormat="1" applyFont="1" applyBorder="1" applyAlignment="1">
      <alignment horizontal="right"/>
    </xf>
    <xf numFmtId="0" fontId="18" fillId="0" borderId="10" xfId="0" applyFont="1" applyBorder="1" applyAlignment="1">
      <alignment horizontal="right" vertical="center"/>
    </xf>
    <xf numFmtId="0" fontId="0" fillId="0" borderId="10" xfId="0" applyBorder="1" applyAlignment="1">
      <alignment horizontal="right"/>
    </xf>
    <xf numFmtId="168" fontId="0" fillId="0" borderId="10" xfId="0" applyNumberFormat="1" applyBorder="1" applyAlignment="1">
      <alignment horizontal="right"/>
    </xf>
    <xf numFmtId="10" fontId="0" fillId="0" borderId="10" xfId="0" applyNumberFormat="1" applyBorder="1" applyAlignment="1">
      <alignment horizontal="right"/>
    </xf>
    <xf numFmtId="168" fontId="19" fillId="0" borderId="10" xfId="0" applyNumberFormat="1" applyFont="1" applyBorder="1" applyAlignment="1">
      <alignment horizontal="right"/>
    </xf>
    <xf numFmtId="167" fontId="19" fillId="0" borderId="10" xfId="0" applyNumberFormat="1" applyFont="1" applyBorder="1" applyAlignment="1">
      <alignment horizontal="right"/>
    </xf>
    <xf numFmtId="0" fontId="0" fillId="0" borderId="0" xfId="0" pivotButton="1"/>
    <xf numFmtId="0" fontId="0" fillId="0" borderId="0" xfId="0" applyAlignment="1">
      <alignment horizontal="left"/>
    </xf>
    <xf numFmtId="9" fontId="0" fillId="0" borderId="0" xfId="42" applyFont="1"/>
    <xf numFmtId="0" fontId="0" fillId="35" borderId="0" xfId="0" applyFill="1"/>
    <xf numFmtId="0" fontId="23" fillId="35" borderId="0" xfId="0" applyFont="1" applyFill="1" applyAlignment="1">
      <alignment horizontal="center"/>
    </xf>
    <xf numFmtId="0" fontId="0" fillId="35" borderId="0" xfId="0" applyFill="1" applyAlignment="1">
      <alignment horizontal="center"/>
    </xf>
    <xf numFmtId="0" fontId="22" fillId="35" borderId="0" xfId="0" applyFont="1" applyFill="1" applyAlignment="1">
      <alignment horizontal="center"/>
    </xf>
    <xf numFmtId="0" fontId="24" fillId="35" borderId="0" xfId="0" applyFont="1" applyFill="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4">
    <dxf>
      <numFmt numFmtId="0" formatCode="General"/>
    </dxf>
    <dxf>
      <numFmt numFmtId="0" formatCode="General"/>
    </dxf>
    <dxf>
      <numFmt numFmtId="166" formatCode="0.0%"/>
    </dxf>
    <dxf>
      <numFmt numFmtId="30" formatCode="@"/>
    </dxf>
    <dxf>
      <numFmt numFmtId="30" formatCode="@"/>
    </dxf>
    <dxf>
      <numFmt numFmtId="1" formatCode="0"/>
    </dxf>
    <dxf>
      <numFmt numFmtId="1" formatCode="0"/>
    </dxf>
    <dxf>
      <numFmt numFmtId="0" formatCode="General"/>
    </dxf>
    <dxf>
      <numFmt numFmtId="0" formatCode="General"/>
    </dxf>
    <dxf>
      <numFmt numFmtId="0" formatCode="General"/>
    </dxf>
    <dxf>
      <numFmt numFmtId="165" formatCode="[$-409]d\-mmm\-yyyy;@"/>
    </dxf>
    <dxf>
      <numFmt numFmtId="1" formatCode="0"/>
    </dxf>
    <dxf>
      <numFmt numFmtId="164" formatCode="[$₹-445]\ #,##0"/>
    </dxf>
    <dxf>
      <numFmt numFmtId="164" formatCode="[$₹-445]\ #,##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[Madhav_Retails_Dashboard.xlsx]Pivot_Tables!PivotTable2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Revenue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Pivot_Tables!$B$1</c:f>
              <c:strCache>
                <c:ptCount val="1"/>
                <c:pt idx="0">
                  <c:v>Total</c:v>
                </c:pt>
              </c:strCache>
            </c:strRef>
          </c:tx>
          <c:spPr>
            <a:ln w="28575" cap="rnd">
              <a:solidFill>
                <a:schemeClr val="accent1"/>
              </a:solidFill>
              <a:round/>
            </a:ln>
            <a:effectLst/>
          </c:spPr>
          <c:marker>
            <c:symbol val="none"/>
          </c:marker>
          <c:cat>
            <c:strRef>
              <c:f>Pivot_Tables!$A$2:$A$13</c:f>
              <c:strCache>
                <c:ptCount val="12"/>
                <c:pt idx="0">
                  <c:v>2018-01</c:v>
                </c:pt>
                <c:pt idx="1">
                  <c:v>2018-02</c:v>
                </c:pt>
                <c:pt idx="2">
                  <c:v>2018-03</c:v>
                </c:pt>
                <c:pt idx="3">
                  <c:v>2018-04</c:v>
                </c:pt>
                <c:pt idx="4">
                  <c:v>2018-05</c:v>
                </c:pt>
                <c:pt idx="5">
                  <c:v>2018-06</c:v>
                </c:pt>
                <c:pt idx="6">
                  <c:v>2018-07</c:v>
                </c:pt>
                <c:pt idx="7">
                  <c:v>2018-08</c:v>
                </c:pt>
                <c:pt idx="8">
                  <c:v>2018-09</c:v>
                </c:pt>
                <c:pt idx="9">
                  <c:v>2018-10</c:v>
                </c:pt>
                <c:pt idx="10">
                  <c:v>2018-11</c:v>
                </c:pt>
                <c:pt idx="11">
                  <c:v>2018-12</c:v>
                </c:pt>
              </c:strCache>
            </c:strRef>
          </c:cat>
          <c:val>
            <c:numRef>
              <c:f>Pivot_Tables!$B$2:$B$13</c:f>
              <c:numCache>
                <c:formatCode>[$₹-445]\ #,##0</c:formatCode>
                <c:ptCount val="12"/>
                <c:pt idx="0">
                  <c:v>61632</c:v>
                </c:pt>
                <c:pt idx="1">
                  <c:v>38962</c:v>
                </c:pt>
                <c:pt idx="2">
                  <c:v>60694</c:v>
                </c:pt>
                <c:pt idx="3">
                  <c:v>34330</c:v>
                </c:pt>
                <c:pt idx="4">
                  <c:v>29093</c:v>
                </c:pt>
                <c:pt idx="5">
                  <c:v>23658</c:v>
                </c:pt>
                <c:pt idx="6">
                  <c:v>12966</c:v>
                </c:pt>
                <c:pt idx="7">
                  <c:v>31492</c:v>
                </c:pt>
                <c:pt idx="8">
                  <c:v>27283</c:v>
                </c:pt>
                <c:pt idx="9">
                  <c:v>31613</c:v>
                </c:pt>
                <c:pt idx="10">
                  <c:v>48469</c:v>
                </c:pt>
                <c:pt idx="11">
                  <c:v>37579</c:v>
                </c:pt>
              </c:numCache>
            </c:numRef>
          </c:val>
          <c:smooth val="0"/>
          <c:extLst>
            <c:ext xmlns:c16="http://schemas.microsoft.com/office/drawing/2014/chart" uri="{C3380CC4-5D6E-409C-BE32-E72D297353CC}">
              <c16:uniqueId val="{00000000-2C0D-4387-9752-BD5FF0A70745}"/>
            </c:ext>
          </c:extLst>
        </c:ser>
        <c:dLbls>
          <c:showLegendKey val="0"/>
          <c:showVal val="0"/>
          <c:showCatName val="0"/>
          <c:showSerName val="0"/>
          <c:showPercent val="0"/>
          <c:showBubbleSize val="0"/>
        </c:dLbls>
        <c:smooth val="0"/>
        <c:axId val="475688432"/>
        <c:axId val="475693112"/>
      </c:lineChart>
      <c:catAx>
        <c:axId val="475688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5693112"/>
        <c:crosses val="autoZero"/>
        <c:auto val="1"/>
        <c:lblAlgn val="ctr"/>
        <c:lblOffset val="100"/>
        <c:noMultiLvlLbl val="0"/>
      </c:catAx>
      <c:valAx>
        <c:axId val="475693112"/>
        <c:scaling>
          <c:orientation val="minMax"/>
        </c:scaling>
        <c:delete val="0"/>
        <c:axPos val="l"/>
        <c:majorGridlines>
          <c:spPr>
            <a:ln w="9525" cap="flat" cmpd="sng" algn="ctr">
              <a:solidFill>
                <a:schemeClr val="tx1">
                  <a:lumMod val="15000"/>
                  <a:lumOff val="85000"/>
                </a:schemeClr>
              </a:solidFill>
              <a:round/>
            </a:ln>
            <a:effectLst/>
          </c:spPr>
        </c:majorGridlines>
        <c:numFmt formatCode="[$₹-445]\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5688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[Madhav_Retails_Dashboard.xlsx]Pivot_Tables!PivotTable3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Category </a:t>
            </a:r>
          </a:p>
        </c:rich>
      </c:tx>
      <c:layout>
        <c:manualLayout>
          <c:xMode val="edge"/>
          <c:yMode val="edge"/>
          <c:x val="0.32341793570219968"/>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Pivot_Tables!$F$1</c:f>
              <c:strCache>
                <c:ptCount val="1"/>
                <c:pt idx="0">
                  <c:v>Total</c:v>
                </c:pt>
              </c:strCache>
            </c:strRef>
          </c:tx>
          <c:spPr>
            <a:solidFill>
              <a:schemeClr val="accent1"/>
            </a:solidFill>
            <a:ln>
              <a:noFill/>
            </a:ln>
            <a:effectLst/>
          </c:spPr>
          <c:invertIfNegative val="0"/>
          <c:cat>
            <c:strRef>
              <c:f>Pivot_Tables!$E$2:$E$4</c:f>
              <c:strCache>
                <c:ptCount val="3"/>
                <c:pt idx="0">
                  <c:v>Clothing</c:v>
                </c:pt>
                <c:pt idx="1">
                  <c:v>Electronics</c:v>
                </c:pt>
                <c:pt idx="2">
                  <c:v>Furniture</c:v>
                </c:pt>
              </c:strCache>
            </c:strRef>
          </c:cat>
          <c:val>
            <c:numRef>
              <c:f>Pivot_Tables!$F$2:$F$4</c:f>
              <c:numCache>
                <c:formatCode>[$₹-445]\ #,##0</c:formatCode>
                <c:ptCount val="3"/>
                <c:pt idx="0">
                  <c:v>13325</c:v>
                </c:pt>
                <c:pt idx="1">
                  <c:v>13162</c:v>
                </c:pt>
                <c:pt idx="2">
                  <c:v>10476</c:v>
                </c:pt>
              </c:numCache>
            </c:numRef>
          </c:val>
          <c:extLst>
            <c:ext xmlns:c16="http://schemas.microsoft.com/office/drawing/2014/chart" uri="{C3380CC4-5D6E-409C-BE32-E72D297353CC}">
              <c16:uniqueId val="{00000000-AF2A-467F-8114-52D04C224141}"/>
            </c:ext>
          </c:extLst>
        </c:ser>
        <c:dLbls>
          <c:showLegendKey val="0"/>
          <c:showVal val="0"/>
          <c:showCatName val="0"/>
          <c:showSerName val="0"/>
          <c:showPercent val="0"/>
          <c:showBubbleSize val="0"/>
        </c:dLbls>
        <c:gapWidth val="219"/>
        <c:overlap val="-27"/>
        <c:axId val="579324792"/>
        <c:axId val="579325152"/>
      </c:barChart>
      <c:catAx>
        <c:axId val="579324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325152"/>
        <c:crosses val="autoZero"/>
        <c:auto val="1"/>
        <c:lblAlgn val="ctr"/>
        <c:lblOffset val="100"/>
        <c:noMultiLvlLbl val="0"/>
      </c:catAx>
      <c:valAx>
        <c:axId val="579325152"/>
        <c:scaling>
          <c:orientation val="minMax"/>
        </c:scaling>
        <c:delete val="0"/>
        <c:axPos val="l"/>
        <c:majorGridlines>
          <c:spPr>
            <a:ln w="9525" cap="flat" cmpd="sng" algn="ctr">
              <a:solidFill>
                <a:schemeClr val="tx1">
                  <a:lumMod val="15000"/>
                  <a:lumOff val="85000"/>
                </a:schemeClr>
              </a:solidFill>
              <a:round/>
            </a:ln>
            <a:effectLst/>
          </c:spPr>
        </c:majorGridlines>
        <c:numFmt formatCode="[$₹-445]\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324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[Madhav_Retails_Dashboard.xlsx]Pivot_Tables!PivotTable6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State</a:t>
            </a:r>
          </a:p>
          <a:p>
            <a:pPr>
              <a:defRPr/>
            </a:pPr>
            <a:endParaRPr lang="en-US"/>
          </a:p>
        </c:rich>
      </c:tx>
      <c:layout>
        <c:manualLayout>
          <c:xMode val="edge"/>
          <c:yMode val="edge"/>
          <c:x val="0.416673665791776"/>
          <c:y val="3.60163312919218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Pivot_Tables!$I$1</c:f>
              <c:strCache>
                <c:ptCount val="1"/>
                <c:pt idx="0">
                  <c:v>Total</c:v>
                </c:pt>
              </c:strCache>
            </c:strRef>
          </c:tx>
          <c:spPr>
            <a:solidFill>
              <a:schemeClr val="accent1"/>
            </a:solidFill>
            <a:ln>
              <a:noFill/>
            </a:ln>
            <a:effectLst/>
          </c:spPr>
          <c:invertIfNegative val="0"/>
          <c:cat>
            <c:strRef>
              <c:f>Pivot_Tables!$H$2:$H$20</c:f>
              <c:strCache>
                <c:ptCount val="19"/>
                <c:pt idx="0">
                  <c:v>Maharashtra</c:v>
                </c:pt>
                <c:pt idx="1">
                  <c:v>Madhya Pradesh</c:v>
                </c:pt>
                <c:pt idx="2">
                  <c:v>Uttar Pradesh</c:v>
                </c:pt>
                <c:pt idx="3">
                  <c:v>Delhi</c:v>
                </c:pt>
                <c:pt idx="4">
                  <c:v>Rajasthan</c:v>
                </c:pt>
                <c:pt idx="5">
                  <c:v>Gujarat</c:v>
                </c:pt>
                <c:pt idx="6">
                  <c:v>Punjab</c:v>
                </c:pt>
                <c:pt idx="7">
                  <c:v>West Bengal</c:v>
                </c:pt>
                <c:pt idx="8">
                  <c:v>Kerala </c:v>
                </c:pt>
                <c:pt idx="9">
                  <c:v>Bihar</c:v>
                </c:pt>
                <c:pt idx="10">
                  <c:v>Andhra Pradesh</c:v>
                </c:pt>
                <c:pt idx="11">
                  <c:v>Karnataka</c:v>
                </c:pt>
                <c:pt idx="12">
                  <c:v>Nagaland</c:v>
                </c:pt>
                <c:pt idx="13">
                  <c:v>Jammu and Kashmir</c:v>
                </c:pt>
                <c:pt idx="14">
                  <c:v>Haryana</c:v>
                </c:pt>
                <c:pt idx="15">
                  <c:v>Himachal Pradesh</c:v>
                </c:pt>
                <c:pt idx="16">
                  <c:v>Goa</c:v>
                </c:pt>
                <c:pt idx="17">
                  <c:v>Tamil Nadu</c:v>
                </c:pt>
                <c:pt idx="18">
                  <c:v>Sikkim</c:v>
                </c:pt>
              </c:strCache>
            </c:strRef>
          </c:cat>
          <c:val>
            <c:numRef>
              <c:f>Pivot_Tables!$I$2:$I$20</c:f>
              <c:numCache>
                <c:formatCode>[$₹-445]\ #,##0</c:formatCode>
                <c:ptCount val="19"/>
                <c:pt idx="0">
                  <c:v>102498</c:v>
                </c:pt>
                <c:pt idx="1">
                  <c:v>87463</c:v>
                </c:pt>
                <c:pt idx="2">
                  <c:v>38362</c:v>
                </c:pt>
                <c:pt idx="3">
                  <c:v>22957</c:v>
                </c:pt>
                <c:pt idx="4">
                  <c:v>22334</c:v>
                </c:pt>
                <c:pt idx="5">
                  <c:v>21371</c:v>
                </c:pt>
                <c:pt idx="6">
                  <c:v>16786</c:v>
                </c:pt>
                <c:pt idx="7">
                  <c:v>14328</c:v>
                </c:pt>
                <c:pt idx="8">
                  <c:v>13871</c:v>
                </c:pt>
                <c:pt idx="9">
                  <c:v>13417</c:v>
                </c:pt>
                <c:pt idx="10">
                  <c:v>13256</c:v>
                </c:pt>
                <c:pt idx="11">
                  <c:v>12520</c:v>
                </c:pt>
                <c:pt idx="12">
                  <c:v>11993</c:v>
                </c:pt>
                <c:pt idx="13">
                  <c:v>10829</c:v>
                </c:pt>
                <c:pt idx="14">
                  <c:v>8863</c:v>
                </c:pt>
                <c:pt idx="15">
                  <c:v>8666</c:v>
                </c:pt>
                <c:pt idx="16">
                  <c:v>6705</c:v>
                </c:pt>
                <c:pt idx="17">
                  <c:v>6276</c:v>
                </c:pt>
                <c:pt idx="18">
                  <c:v>5276</c:v>
                </c:pt>
              </c:numCache>
            </c:numRef>
          </c:val>
          <c:extLst>
            <c:ext xmlns:c16="http://schemas.microsoft.com/office/drawing/2014/chart" uri="{C3380CC4-5D6E-409C-BE32-E72D297353CC}">
              <c16:uniqueId val="{00000000-485D-4772-994C-ACFCE78ACD0F}"/>
            </c:ext>
          </c:extLst>
        </c:ser>
        <c:dLbls>
          <c:showLegendKey val="0"/>
          <c:showVal val="0"/>
          <c:showCatName val="0"/>
          <c:showSerName val="0"/>
          <c:showPercent val="0"/>
          <c:showBubbleSize val="0"/>
        </c:dLbls>
        <c:gapWidth val="182"/>
        <c:axId val="578807232"/>
        <c:axId val="579327672"/>
      </c:barChart>
      <c:catAx>
        <c:axId val="5788072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327672"/>
        <c:crosses val="autoZero"/>
        <c:auto val="1"/>
        <c:lblAlgn val="ctr"/>
        <c:lblOffset val="100"/>
        <c:noMultiLvlLbl val="0"/>
      </c:catAx>
      <c:valAx>
        <c:axId val="579327672"/>
        <c:scaling>
          <c:orientation val="minMax"/>
        </c:scaling>
        <c:delete val="0"/>
        <c:axPos val="b"/>
        <c:majorGridlines>
          <c:spPr>
            <a:ln w="9525" cap="flat" cmpd="sng" algn="ctr">
              <a:solidFill>
                <a:schemeClr val="tx1">
                  <a:lumMod val="15000"/>
                  <a:lumOff val="85000"/>
                </a:schemeClr>
              </a:solidFill>
              <a:round/>
            </a:ln>
            <a:effectLst/>
          </c:spPr>
        </c:majorGridlines>
        <c:numFmt formatCode="[$₹-445]\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8807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[Madhav_Retails_Dashboard.xlsx]Pivot_Tables!PivotTable7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Customers by Revenue</a:t>
            </a:r>
          </a:p>
          <a:p>
            <a:pPr>
              <a:defRPr/>
            </a:pPr>
            <a:endParaRPr lang="en-US"/>
          </a:p>
        </c:rich>
      </c:tx>
      <c:layout>
        <c:manualLayout>
          <c:xMode val="edge"/>
          <c:yMode val="edge"/>
          <c:x val="0.31696522309711284"/>
          <c:y val="3.1386701662292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Pivot_Tables!$F$8</c:f>
              <c:strCache>
                <c:ptCount val="1"/>
                <c:pt idx="0">
                  <c:v>Total</c:v>
                </c:pt>
              </c:strCache>
            </c:strRef>
          </c:tx>
          <c:spPr>
            <a:solidFill>
              <a:schemeClr val="accent1"/>
            </a:solidFill>
            <a:ln>
              <a:noFill/>
            </a:ln>
            <a:effectLst/>
          </c:spPr>
          <c:invertIfNegative val="0"/>
          <c:cat>
            <c:strRef>
              <c:f>Pivot_Tables!$E$9:$E$18</c:f>
              <c:strCache>
                <c:ptCount val="10"/>
                <c:pt idx="0">
                  <c:v>Harivansh</c:v>
                </c:pt>
                <c:pt idx="1">
                  <c:v>Madhav</c:v>
                </c:pt>
                <c:pt idx="2">
                  <c:v>Madan Mohan</c:v>
                </c:pt>
                <c:pt idx="3">
                  <c:v>Shiva</c:v>
                </c:pt>
                <c:pt idx="4">
                  <c:v>Vishakha</c:v>
                </c:pt>
                <c:pt idx="5">
                  <c:v>Vrinda</c:v>
                </c:pt>
                <c:pt idx="6">
                  <c:v>Lalita</c:v>
                </c:pt>
                <c:pt idx="7">
                  <c:v>Priyanka</c:v>
                </c:pt>
                <c:pt idx="8">
                  <c:v>Shruti</c:v>
                </c:pt>
                <c:pt idx="9">
                  <c:v>Abhijeet</c:v>
                </c:pt>
              </c:strCache>
            </c:strRef>
          </c:cat>
          <c:val>
            <c:numRef>
              <c:f>Pivot_Tables!$F$9:$F$18</c:f>
              <c:numCache>
                <c:formatCode>[$₹-445]\ #,##0</c:formatCode>
                <c:ptCount val="10"/>
                <c:pt idx="0">
                  <c:v>9902</c:v>
                </c:pt>
                <c:pt idx="1">
                  <c:v>9365</c:v>
                </c:pt>
                <c:pt idx="2">
                  <c:v>7766</c:v>
                </c:pt>
                <c:pt idx="3">
                  <c:v>6339</c:v>
                </c:pt>
                <c:pt idx="4">
                  <c:v>6120</c:v>
                </c:pt>
                <c:pt idx="5">
                  <c:v>5820</c:v>
                </c:pt>
                <c:pt idx="6">
                  <c:v>5809</c:v>
                </c:pt>
                <c:pt idx="7">
                  <c:v>5762</c:v>
                </c:pt>
                <c:pt idx="8">
                  <c:v>5750</c:v>
                </c:pt>
                <c:pt idx="9">
                  <c:v>5691</c:v>
                </c:pt>
              </c:numCache>
            </c:numRef>
          </c:val>
          <c:extLst>
            <c:ext xmlns:c16="http://schemas.microsoft.com/office/drawing/2014/chart" uri="{C3380CC4-5D6E-409C-BE32-E72D297353CC}">
              <c16:uniqueId val="{00000000-3A98-4867-B212-AD492DB1B758}"/>
            </c:ext>
          </c:extLst>
        </c:ser>
        <c:dLbls>
          <c:showLegendKey val="0"/>
          <c:showVal val="0"/>
          <c:showCatName val="0"/>
          <c:showSerName val="0"/>
          <c:showPercent val="0"/>
          <c:showBubbleSize val="0"/>
        </c:dLbls>
        <c:gapWidth val="182"/>
        <c:axId val="579322272"/>
        <c:axId val="579323352"/>
      </c:barChart>
      <c:catAx>
        <c:axId val="5793222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323352"/>
        <c:crosses val="autoZero"/>
        <c:auto val="1"/>
        <c:lblAlgn val="ctr"/>
        <c:lblOffset val="100"/>
        <c:noMultiLvlLbl val="0"/>
      </c:catAx>
      <c:valAx>
        <c:axId val="579323352"/>
        <c:scaling>
          <c:orientation val="minMax"/>
        </c:scaling>
        <c:delete val="0"/>
        <c:axPos val="b"/>
        <c:majorGridlines>
          <c:spPr>
            <a:ln w="9525" cap="flat" cmpd="sng" algn="ctr">
              <a:solidFill>
                <a:schemeClr val="tx1">
                  <a:lumMod val="15000"/>
                  <a:lumOff val="85000"/>
                </a:schemeClr>
              </a:solidFill>
              <a:round/>
            </a:ln>
            <a:effectLst/>
          </c:spPr>
        </c:majorGridlines>
        <c:numFmt formatCode="[$₹-445]\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322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[Madhav_Retails_Dashboard.xlsx]Pivot_Tables!PivotTable8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 by Revenue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Pivot_Tables!$L$8</c:f>
              <c:strCache>
                <c:ptCount val="1"/>
                <c:pt idx="0">
                  <c:v>Total</c:v>
                </c:pt>
              </c:strCache>
            </c:strRef>
          </c:tx>
          <c:spPr>
            <a:solidFill>
              <a:schemeClr val="accent1"/>
            </a:solidFill>
            <a:ln>
              <a:noFill/>
            </a:ln>
            <a:effectLst/>
          </c:spPr>
          <c:invertIfNegative val="0"/>
          <c:cat>
            <c:strRef>
              <c:f>Pivot_Tables!$K$9:$K$18</c:f>
              <c:strCache>
                <c:ptCount val="10"/>
                <c:pt idx="0">
                  <c:v>Printers</c:v>
                </c:pt>
                <c:pt idx="1">
                  <c:v>Saree</c:v>
                </c:pt>
                <c:pt idx="2">
                  <c:v>Bookcases</c:v>
                </c:pt>
                <c:pt idx="3">
                  <c:v>Phones</c:v>
                </c:pt>
                <c:pt idx="4">
                  <c:v>Electronic Games</c:v>
                </c:pt>
                <c:pt idx="5">
                  <c:v>Chairs</c:v>
                </c:pt>
                <c:pt idx="6">
                  <c:v>Trousers</c:v>
                </c:pt>
                <c:pt idx="7">
                  <c:v>Tables</c:v>
                </c:pt>
                <c:pt idx="8">
                  <c:v>Accessories</c:v>
                </c:pt>
                <c:pt idx="9">
                  <c:v>Stole</c:v>
                </c:pt>
              </c:strCache>
            </c:strRef>
          </c:cat>
          <c:val>
            <c:numRef>
              <c:f>Pivot_Tables!$L$9:$L$18</c:f>
              <c:numCache>
                <c:formatCode>[$₹-445]\ #,##0</c:formatCode>
                <c:ptCount val="10"/>
                <c:pt idx="0">
                  <c:v>59252</c:v>
                </c:pt>
                <c:pt idx="1">
                  <c:v>59094</c:v>
                </c:pt>
                <c:pt idx="2">
                  <c:v>56861</c:v>
                </c:pt>
                <c:pt idx="3">
                  <c:v>46119</c:v>
                </c:pt>
                <c:pt idx="4">
                  <c:v>39168</c:v>
                </c:pt>
                <c:pt idx="5">
                  <c:v>34222</c:v>
                </c:pt>
                <c:pt idx="6">
                  <c:v>30039</c:v>
                </c:pt>
                <c:pt idx="7">
                  <c:v>22614</c:v>
                </c:pt>
                <c:pt idx="8">
                  <c:v>21728</c:v>
                </c:pt>
                <c:pt idx="9">
                  <c:v>18546</c:v>
                </c:pt>
              </c:numCache>
            </c:numRef>
          </c:val>
          <c:extLst>
            <c:ext xmlns:c16="http://schemas.microsoft.com/office/drawing/2014/chart" uri="{C3380CC4-5D6E-409C-BE32-E72D297353CC}">
              <c16:uniqueId val="{00000000-3C55-4CAB-91A6-BCB5D4F4CF6A}"/>
            </c:ext>
          </c:extLst>
        </c:ser>
        <c:dLbls>
          <c:showLegendKey val="0"/>
          <c:showVal val="0"/>
          <c:showCatName val="0"/>
          <c:showSerName val="0"/>
          <c:showPercent val="0"/>
          <c:showBubbleSize val="0"/>
        </c:dLbls>
        <c:gapWidth val="182"/>
        <c:axId val="592675760"/>
        <c:axId val="592673600"/>
      </c:barChart>
      <c:catAx>
        <c:axId val="5926757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673600"/>
        <c:crosses val="autoZero"/>
        <c:auto val="1"/>
        <c:lblAlgn val="ctr"/>
        <c:lblOffset val="100"/>
        <c:noMultiLvlLbl val="0"/>
      </c:catAx>
      <c:valAx>
        <c:axId val="592673600"/>
        <c:scaling>
          <c:orientation val="minMax"/>
        </c:scaling>
        <c:delete val="0"/>
        <c:axPos val="b"/>
        <c:majorGridlines>
          <c:spPr>
            <a:ln w="9525" cap="flat" cmpd="sng" algn="ctr">
              <a:solidFill>
                <a:schemeClr val="tx1">
                  <a:lumMod val="15000"/>
                  <a:lumOff val="85000"/>
                </a:schemeClr>
              </a:solidFill>
              <a:round/>
            </a:ln>
            <a:effectLst/>
          </c:spPr>
        </c:majorGridlines>
        <c:numFmt formatCode="[$₹-445]\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675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257174</xdr:colOff>
      <xdr:row>11</xdr:row>
      <xdr:rowOff>142875</xdr:rowOff>
    </xdr:from>
    <xdr:to>
      <xdr:col>8</xdr:col>
      <xdr:colOff>590549</xdr:colOff>
      <xdr:row>30</xdr:row>
      <xdr:rowOff>57150</xdr:rowOff>
    </xdr:to>
    <xdr:graphicFrame macro="">
      <xdr:nvGraphicFramePr>
        <xdr:cNvPr id="2" name="Chart 1">
          <a:extLst>
            <a:ext uri="{FF2B5EF4-FFF2-40B4-BE49-F238E27FC236}">
              <a16:creationId xmlns:a16="http://schemas.microsoft.com/office/drawing/2014/main" id="{2AC1B68C-C952-494F-BA05-49C1081193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95250</xdr:colOff>
      <xdr:row>11</xdr:row>
      <xdr:rowOff>171450</xdr:rowOff>
    </xdr:from>
    <xdr:to>
      <xdr:col>19</xdr:col>
      <xdr:colOff>190500</xdr:colOff>
      <xdr:row>30</xdr:row>
      <xdr:rowOff>38100</xdr:rowOff>
    </xdr:to>
    <xdr:graphicFrame macro="">
      <xdr:nvGraphicFramePr>
        <xdr:cNvPr id="3" name="Chart 2">
          <a:extLst>
            <a:ext uri="{FF2B5EF4-FFF2-40B4-BE49-F238E27FC236}">
              <a16:creationId xmlns:a16="http://schemas.microsoft.com/office/drawing/2014/main" id="{6E6BB7BA-634B-4C0B-AE99-FB9EEB7871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257174</xdr:colOff>
      <xdr:row>30</xdr:row>
      <xdr:rowOff>104774</xdr:rowOff>
    </xdr:from>
    <xdr:to>
      <xdr:col>9</xdr:col>
      <xdr:colOff>476250</xdr:colOff>
      <xdr:row>53</xdr:row>
      <xdr:rowOff>19050</xdr:rowOff>
    </xdr:to>
    <xdr:graphicFrame macro="">
      <xdr:nvGraphicFramePr>
        <xdr:cNvPr id="4" name="Chart 3">
          <a:extLst>
            <a:ext uri="{FF2B5EF4-FFF2-40B4-BE49-F238E27FC236}">
              <a16:creationId xmlns:a16="http://schemas.microsoft.com/office/drawing/2014/main" id="{BB47326D-2746-496D-BE60-00101CEA7F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595312</xdr:colOff>
      <xdr:row>30</xdr:row>
      <xdr:rowOff>47625</xdr:rowOff>
    </xdr:from>
    <xdr:to>
      <xdr:col>19</xdr:col>
      <xdr:colOff>200025</xdr:colOff>
      <xdr:row>53</xdr:row>
      <xdr:rowOff>9524</xdr:rowOff>
    </xdr:to>
    <xdr:graphicFrame macro="">
      <xdr:nvGraphicFramePr>
        <xdr:cNvPr id="5" name="Chart 4">
          <a:extLst>
            <a:ext uri="{FF2B5EF4-FFF2-40B4-BE49-F238E27FC236}">
              <a16:creationId xmlns:a16="http://schemas.microsoft.com/office/drawing/2014/main" id="{769C1B61-7448-4A62-B928-6926300C67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257174</xdr:colOff>
      <xdr:row>53</xdr:row>
      <xdr:rowOff>171449</xdr:rowOff>
    </xdr:from>
    <xdr:to>
      <xdr:col>10</xdr:col>
      <xdr:colOff>180974</xdr:colOff>
      <xdr:row>74</xdr:row>
      <xdr:rowOff>9524</xdr:rowOff>
    </xdr:to>
    <xdr:graphicFrame macro="">
      <xdr:nvGraphicFramePr>
        <xdr:cNvPr id="6" name="Chart 5">
          <a:extLst>
            <a:ext uri="{FF2B5EF4-FFF2-40B4-BE49-F238E27FC236}">
              <a16:creationId xmlns:a16="http://schemas.microsoft.com/office/drawing/2014/main" id="{C9FDAA30-3293-4326-AEC6-B39C26DBC4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257174</xdr:colOff>
      <xdr:row>6</xdr:row>
      <xdr:rowOff>1</xdr:rowOff>
    </xdr:from>
    <xdr:to>
      <xdr:col>3</xdr:col>
      <xdr:colOff>209550</xdr:colOff>
      <xdr:row>10</xdr:row>
      <xdr:rowOff>66676</xdr:rowOff>
    </xdr:to>
    <xdr:sp macro="" textlink="">
      <xdr:nvSpPr>
        <xdr:cNvPr id="7" name="Rectangle: Rounded Corners 6">
          <a:extLst>
            <a:ext uri="{FF2B5EF4-FFF2-40B4-BE49-F238E27FC236}">
              <a16:creationId xmlns:a16="http://schemas.microsoft.com/office/drawing/2014/main" id="{F5970D37-C611-D5CE-489F-5B9B60BEA1D0}"/>
            </a:ext>
          </a:extLst>
        </xdr:cNvPr>
        <xdr:cNvSpPr/>
      </xdr:nvSpPr>
      <xdr:spPr>
        <a:xfrm>
          <a:off x="257174" y="1143001"/>
          <a:ext cx="1809751" cy="828675"/>
        </a:xfrm>
        <a:prstGeom prst="roundRect">
          <a:avLst/>
        </a:prstGeom>
        <a:solidFill>
          <a:schemeClr val="accent4">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solidFill>
                <a:schemeClr val="bg1"/>
              </a:solidFill>
            </a:rPr>
            <a:t>Total </a:t>
          </a:r>
          <a:r>
            <a:rPr lang="en-US" sz="1200" baseline="0">
              <a:solidFill>
                <a:schemeClr val="bg1"/>
              </a:solidFill>
            </a:rPr>
            <a:t> Revenue</a:t>
          </a:r>
        </a:p>
        <a:p>
          <a:pPr algn="ctr"/>
          <a:r>
            <a:rPr lang="en-US" sz="2400" baseline="0">
              <a:solidFill>
                <a:schemeClr val="bg1"/>
              </a:solidFill>
            </a:rPr>
            <a:t>437,771</a:t>
          </a:r>
        </a:p>
        <a:p>
          <a:pPr algn="l"/>
          <a:endParaRPr lang="en-US" sz="1100">
            <a:solidFill>
              <a:schemeClr val="bg1"/>
            </a:solidFill>
          </a:endParaRPr>
        </a:p>
      </xdr:txBody>
    </xdr:sp>
    <xdr:clientData/>
  </xdr:twoCellAnchor>
  <xdr:twoCellAnchor>
    <xdr:from>
      <xdr:col>5</xdr:col>
      <xdr:colOff>333375</xdr:colOff>
      <xdr:row>5</xdr:row>
      <xdr:rowOff>161926</xdr:rowOff>
    </xdr:from>
    <xdr:to>
      <xdr:col>8</xdr:col>
      <xdr:colOff>228600</xdr:colOff>
      <xdr:row>10</xdr:row>
      <xdr:rowOff>19051</xdr:rowOff>
    </xdr:to>
    <xdr:sp macro="" textlink="">
      <xdr:nvSpPr>
        <xdr:cNvPr id="8" name="Rectangle: Rounded Corners 7">
          <a:extLst>
            <a:ext uri="{FF2B5EF4-FFF2-40B4-BE49-F238E27FC236}">
              <a16:creationId xmlns:a16="http://schemas.microsoft.com/office/drawing/2014/main" id="{6E94FE8D-8C0B-DAC0-FD6E-32F6D50C77D7}"/>
            </a:ext>
          </a:extLst>
        </xdr:cNvPr>
        <xdr:cNvSpPr/>
      </xdr:nvSpPr>
      <xdr:spPr>
        <a:xfrm>
          <a:off x="3429000" y="1114426"/>
          <a:ext cx="1752600" cy="809625"/>
        </a:xfrm>
        <a:prstGeom prst="roundRect">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solidFill>
                <a:schemeClr val="bg2">
                  <a:lumMod val="10000"/>
                </a:schemeClr>
              </a:solidFill>
            </a:rPr>
            <a:t>Total Profit</a:t>
          </a:r>
        </a:p>
        <a:p>
          <a:pPr algn="ctr"/>
          <a:r>
            <a:rPr lang="en-US" sz="2400">
              <a:solidFill>
                <a:schemeClr val="bg2">
                  <a:lumMod val="10000"/>
                </a:schemeClr>
              </a:solidFill>
            </a:rPr>
            <a:t>36,963</a:t>
          </a:r>
        </a:p>
        <a:p>
          <a:pPr algn="l"/>
          <a:endParaRPr lang="en-US" sz="1100"/>
        </a:p>
      </xdr:txBody>
    </xdr:sp>
    <xdr:clientData/>
  </xdr:twoCellAnchor>
  <xdr:twoCellAnchor>
    <xdr:from>
      <xdr:col>11</xdr:col>
      <xdr:colOff>152400</xdr:colOff>
      <xdr:row>5</xdr:row>
      <xdr:rowOff>142876</xdr:rowOff>
    </xdr:from>
    <xdr:to>
      <xdr:col>14</xdr:col>
      <xdr:colOff>85726</xdr:colOff>
      <xdr:row>10</xdr:row>
      <xdr:rowOff>19051</xdr:rowOff>
    </xdr:to>
    <xdr:sp macro="" textlink="">
      <xdr:nvSpPr>
        <xdr:cNvPr id="9" name="Rectangle: Rounded Corners 8">
          <a:extLst>
            <a:ext uri="{FF2B5EF4-FFF2-40B4-BE49-F238E27FC236}">
              <a16:creationId xmlns:a16="http://schemas.microsoft.com/office/drawing/2014/main" id="{9DCC9C30-6BD0-F350-A283-80B4CF8E47D7}"/>
            </a:ext>
          </a:extLst>
        </xdr:cNvPr>
        <xdr:cNvSpPr/>
      </xdr:nvSpPr>
      <xdr:spPr>
        <a:xfrm>
          <a:off x="6962775" y="1095376"/>
          <a:ext cx="1790701" cy="828675"/>
        </a:xfrm>
        <a:prstGeom prst="round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solidFill>
                <a:srgbClr val="002060"/>
              </a:solidFill>
            </a:rPr>
            <a:t>Total Orders</a:t>
          </a:r>
        </a:p>
        <a:p>
          <a:pPr algn="ctr"/>
          <a:r>
            <a:rPr lang="en-US" sz="2400">
              <a:solidFill>
                <a:srgbClr val="002060"/>
              </a:solidFill>
            </a:rPr>
            <a:t>500</a:t>
          </a:r>
        </a:p>
      </xdr:txBody>
    </xdr:sp>
    <xdr:clientData/>
  </xdr:twoCellAnchor>
  <xdr:twoCellAnchor>
    <xdr:from>
      <xdr:col>16</xdr:col>
      <xdr:colOff>238126</xdr:colOff>
      <xdr:row>5</xdr:row>
      <xdr:rowOff>152401</xdr:rowOff>
    </xdr:from>
    <xdr:to>
      <xdr:col>19</xdr:col>
      <xdr:colOff>190500</xdr:colOff>
      <xdr:row>10</xdr:row>
      <xdr:rowOff>19051</xdr:rowOff>
    </xdr:to>
    <xdr:sp macro="" textlink="">
      <xdr:nvSpPr>
        <xdr:cNvPr id="10" name="Rectangle: Rounded Corners 9">
          <a:extLst>
            <a:ext uri="{FF2B5EF4-FFF2-40B4-BE49-F238E27FC236}">
              <a16:creationId xmlns:a16="http://schemas.microsoft.com/office/drawing/2014/main" id="{31A8C44C-BEF3-3F92-8616-85D66654E9E5}"/>
            </a:ext>
          </a:extLst>
        </xdr:cNvPr>
        <xdr:cNvSpPr/>
      </xdr:nvSpPr>
      <xdr:spPr>
        <a:xfrm>
          <a:off x="10144126" y="1104901"/>
          <a:ext cx="1809749" cy="819150"/>
        </a:xfrm>
        <a:prstGeom prst="roundRect">
          <a:avLst/>
        </a:prstGeom>
        <a:solidFill>
          <a:srgbClr val="002060"/>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US" sz="1200">
              <a:solidFill>
                <a:schemeClr val="bg1"/>
              </a:solidFill>
            </a:rPr>
            <a:t>Total</a:t>
          </a:r>
          <a:r>
            <a:rPr lang="en-US" sz="1200" baseline="0">
              <a:solidFill>
                <a:schemeClr val="bg1"/>
              </a:solidFill>
            </a:rPr>
            <a:t> Customers</a:t>
          </a:r>
        </a:p>
        <a:p>
          <a:pPr algn="ctr"/>
          <a:r>
            <a:rPr lang="en-US" sz="2400" baseline="0">
              <a:solidFill>
                <a:schemeClr val="bg1"/>
              </a:solidFill>
            </a:rPr>
            <a:t>336</a:t>
          </a:r>
        </a:p>
        <a:p>
          <a:pPr algn="l"/>
          <a:endParaRPr lang="en-US" sz="1100">
            <a:solidFill>
              <a:schemeClr val="bg1"/>
            </a:solidFill>
          </a:endParaRPr>
        </a:p>
      </xdr:txBody>
    </xdr:sp>
    <xdr:clientData/>
  </xdr:twoCellAnchor>
  <xdr:twoCellAnchor editAs="oneCell">
    <xdr:from>
      <xdr:col>10</xdr:col>
      <xdr:colOff>319087</xdr:colOff>
      <xdr:row>54</xdr:row>
      <xdr:rowOff>9525</xdr:rowOff>
    </xdr:from>
    <xdr:to>
      <xdr:col>14</xdr:col>
      <xdr:colOff>428625</xdr:colOff>
      <xdr:row>64</xdr:row>
      <xdr:rowOff>9525</xdr:rowOff>
    </xdr:to>
    <mc:AlternateContent xmlns:mc="http://schemas.openxmlformats.org/markup-compatibility/2006">
      <mc:Choice xmlns:a14="http://schemas.microsoft.com/office/drawing/2010/main" Requires="a14">
        <xdr:graphicFrame macro="">
          <xdr:nvGraphicFramePr>
            <xdr:cNvPr id="12" name="State">
              <a:extLst>
                <a:ext uri="{FF2B5EF4-FFF2-40B4-BE49-F238E27FC236}">
                  <a16:creationId xmlns:a16="http://schemas.microsoft.com/office/drawing/2014/main" id="{907F9872-9981-457D-91CE-CFF2732F1439}"/>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6415087" y="10296525"/>
              <a:ext cx="2547938" cy="1905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319087</xdr:colOff>
      <xdr:row>65</xdr:row>
      <xdr:rowOff>180973</xdr:rowOff>
    </xdr:from>
    <xdr:to>
      <xdr:col>14</xdr:col>
      <xdr:colOff>428625</xdr:colOff>
      <xdr:row>74</xdr:row>
      <xdr:rowOff>9524</xdr:rowOff>
    </xdr:to>
    <mc:AlternateContent xmlns:mc="http://schemas.openxmlformats.org/markup-compatibility/2006">
      <mc:Choice xmlns:a14="http://schemas.microsoft.com/office/drawing/2010/main" Requires="a14">
        <xdr:graphicFrame macro="">
          <xdr:nvGraphicFramePr>
            <xdr:cNvPr id="13" name="Category">
              <a:extLst>
                <a:ext uri="{FF2B5EF4-FFF2-40B4-BE49-F238E27FC236}">
                  <a16:creationId xmlns:a16="http://schemas.microsoft.com/office/drawing/2014/main" id="{CF641F85-8738-4110-99CE-88454CAD9AF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415087" y="12563473"/>
              <a:ext cx="2547938" cy="15430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314325</xdr:colOff>
      <xdr:row>54</xdr:row>
      <xdr:rowOff>38100</xdr:rowOff>
    </xdr:from>
    <xdr:to>
      <xdr:col>19</xdr:col>
      <xdr:colOff>190500</xdr:colOff>
      <xdr:row>60</xdr:row>
      <xdr:rowOff>180976</xdr:rowOff>
    </xdr:to>
    <mc:AlternateContent xmlns:mc="http://schemas.openxmlformats.org/markup-compatibility/2006">
      <mc:Choice xmlns:a14="http://schemas.microsoft.com/office/drawing/2010/main" Requires="a14">
        <xdr:graphicFrame macro="">
          <xdr:nvGraphicFramePr>
            <xdr:cNvPr id="14" name="Year">
              <a:extLst>
                <a:ext uri="{FF2B5EF4-FFF2-40B4-BE49-F238E27FC236}">
                  <a16:creationId xmlns:a16="http://schemas.microsoft.com/office/drawing/2014/main" id="{C6FEC5CA-C66E-4C59-8954-6011264D6F5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9458325" y="10325100"/>
              <a:ext cx="2314575" cy="12858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20.338785416665" createdVersion="8" refreshedVersion="8" minRefreshableVersion="3" recordCount="1500" xr:uid="{08832A7E-E47A-4346-A410-31A8484AABA4}">
  <cacheSource type="worksheet">
    <worksheetSource name="Clean_Data"/>
  </cacheSource>
  <cacheFields count="18">
    <cacheField name="OrderID" numFmtId="0">
      <sharedItems/>
    </cacheField>
    <cacheField name="Revenue " numFmtId="164">
      <sharedItems containsSemiMixedTypes="0" containsString="0" containsNumber="1" containsInteger="1" minValue="4" maxValue="5729"/>
    </cacheField>
    <cacheField name="Profit" numFmtId="164">
      <sharedItems containsSemiMixedTypes="0" containsString="0" containsNumber="1" containsInteger="1" minValue="-1981" maxValue="1864"/>
    </cacheField>
    <cacheField name="Quantity" numFmtId="1">
      <sharedItems containsSemiMixedTypes="0" containsString="0" containsNumber="1" containsInteger="1" minValue="1" maxValue="14"/>
    </cacheField>
    <cacheField name="Category" numFmtId="0">
      <sharedItems count="3">
        <s v="Electronics"/>
        <s v="Furniture"/>
        <s v="Clothing"/>
      </sharedItems>
    </cacheField>
    <cacheField name="SubCategory" numFmtId="0">
      <sharedItems count="17">
        <s v="Electronic Games"/>
        <s v="Chairs"/>
        <s v="Bookcases"/>
        <s v="Printers"/>
        <s v="Phones"/>
        <s v="Trousers"/>
        <s v="Saree"/>
        <s v="Hankerchief"/>
        <s v="Kurti"/>
        <s v="Skirt"/>
        <s v="Tables"/>
        <s v="Stole"/>
        <s v="Leggings"/>
        <s v="Accessories"/>
        <s v="T-shirt"/>
        <s v="Furnishings"/>
        <s v="Shirt"/>
      </sharedItems>
    </cacheField>
    <cacheField name="PaymentMode" numFmtId="0">
      <sharedItems/>
    </cacheField>
    <cacheField name="OrderDate" numFmtId="165">
      <sharedItems containsSemiMixedTypes="0" containsNonDate="0" containsDate="1" containsString="0" minDate="2018-01-01T00:00:00" maxDate="2019-01-01T00:00:00"/>
    </cacheField>
    <cacheField name="CustomerName" numFmtId="0">
      <sharedItems count="336">
        <s v="Bhawna"/>
        <s v="Harivansh"/>
        <s v="Shiva"/>
        <s v="Sarita"/>
        <s v="Vrinda"/>
        <s v="Lalita"/>
        <s v="Noopur"/>
        <s v="Sanjna"/>
        <s v="Kirti"/>
        <s v="Kushal"/>
        <s v="Ekta"/>
        <s v="Vishakha"/>
        <s v="Gopal"/>
        <s v="Mohan"/>
        <s v="Madhav"/>
        <s v="Nida"/>
        <s v="Madan Mohan"/>
        <s v="Monisha"/>
        <s v="Gaurav"/>
        <s v="Arindam"/>
        <s v="Jay"/>
        <s v="Shruti"/>
        <s v="Devendra"/>
        <s v="Snel"/>
        <s v="Patil"/>
        <s v="Aastha"/>
        <s v="Sheetal"/>
        <s v="Surabhi"/>
        <s v="Pooja"/>
        <s v="Akshay"/>
        <s v="Parth"/>
        <s v="Mane"/>
        <s v="Shrichand"/>
        <s v="Saptadeep"/>
        <s v="Hitesh"/>
        <s v="Vini"/>
        <s v="Megha"/>
        <s v="Sauptik"/>
        <s v="Manju"/>
        <s v="Wale"/>
        <s v="Shourya"/>
        <s v="Dinesh"/>
        <s v="Mansi"/>
        <s v="Savi"/>
        <s v="Sujay"/>
        <s v="Shardul"/>
        <s v="Sudhir"/>
        <s v="Madhulika"/>
        <s v="Sanjana"/>
        <s v="Paridhi"/>
        <s v="Nripraj"/>
        <s v="Aryan"/>
        <s v="Vikash"/>
        <s v="Stuti"/>
        <s v="Rohit"/>
        <s v="Aarushi"/>
        <s v="Parishi"/>
        <s v="Anand"/>
        <s v="Anudeep"/>
        <s v="Yohann"/>
        <s v="Saloni"/>
        <s v="Sudevi"/>
        <s v="Mahima"/>
        <s v="Girase"/>
        <s v="Aditi"/>
        <s v="Arpita"/>
        <s v="Vijay"/>
        <s v="Anjali"/>
        <s v="Arti"/>
        <s v="Kajal"/>
        <s v="Ameesha"/>
        <s v="Anurag"/>
        <s v="Kanak"/>
        <s v="Tanvi"/>
        <s v="Shreya"/>
        <s v="Hazel"/>
        <s v="Abhishek"/>
        <s v="Parna"/>
        <s v="Soumyabrata"/>
        <s v="Hitika"/>
        <s v="Farah"/>
        <s v="Pranjali"/>
        <s v="Riya"/>
        <s v="Rishabh"/>
        <s v="Ajay"/>
        <s v="Priyanka"/>
        <s v="Atharv"/>
        <s v="Mhatre"/>
        <s v="Mukesh"/>
        <s v="Vaibhav"/>
        <s v="Pinky"/>
        <s v="Tulika"/>
        <s v="Shweta"/>
        <s v="Krutika"/>
        <s v="Amlan"/>
        <s v="Chirag"/>
        <s v="Rhea"/>
        <s v="Tushina"/>
        <s v="Manish"/>
        <s v="Mrinal"/>
        <s v="Priyanshu"/>
        <s v="Asish"/>
        <s v="Apsingekar"/>
        <s v="Shatayu"/>
        <s v="Soumya"/>
        <s v="Harsh"/>
        <s v="Jahan"/>
        <s v="Akancha"/>
        <s v="Sonakshi"/>
        <s v="Kishwar"/>
        <s v="Anita"/>
        <s v="Charika"/>
        <s v="Ramesh"/>
        <s v="Muskan"/>
        <s v="Chandni"/>
        <s v="Rohan"/>
        <s v="Phalguni"/>
        <s v="Sweta"/>
        <s v="Aniket"/>
        <s v="Sukrith"/>
        <s v="Monica"/>
        <s v="Ayush"/>
        <s v="Jitesh"/>
        <s v="Pranav"/>
        <s v="Abhijeet"/>
        <s v="Shivanshu"/>
        <s v="Prashant"/>
        <s v="Kasheen"/>
        <s v="Tejeswini"/>
        <s v="Aishwarya"/>
        <s v="Jesal"/>
        <s v="Nikita"/>
        <s v="Shefali"/>
        <s v="Amisha"/>
        <s v="Harshita"/>
        <s v="Brijesh"/>
        <s v="Divyeta"/>
        <s v="Uudhav"/>
        <s v="Ankit"/>
        <s v="Amit"/>
        <s v="Aman"/>
        <s v="Shubham"/>
        <s v="Vivek"/>
        <s v="Vandana"/>
        <s v="Dashyam"/>
        <s v="Bhargav"/>
        <s v="Sandeep"/>
        <s v="Moumita"/>
        <s v="Palak"/>
        <s v="Bhaggyasree"/>
        <s v="Sabah"/>
        <s v="Namrata"/>
        <s v="Sharda"/>
        <s v="Shishu"/>
        <s v="Surbhi"/>
        <s v="Maithilee"/>
        <s v="Sonal"/>
        <s v="Ankur"/>
        <s v="Bathina"/>
        <s v="Aayushi"/>
        <s v="Aditya"/>
        <s v="Shikhar"/>
        <s v="Arsheen"/>
        <s v="Avish"/>
        <s v="Atul"/>
        <s v="Sathya"/>
        <s v="Manshul"/>
        <s v="Ankita"/>
        <s v="Sahil"/>
        <s v="Oshin"/>
        <s v="Shivani"/>
        <s v="Deepak"/>
        <s v="Turumella"/>
        <s v="Mrunal"/>
        <s v="Navdeep"/>
        <s v="Bhavna"/>
        <s v="Pratyusmita"/>
        <s v="Manjiri"/>
        <s v="Sakshi"/>
        <s v="Sneha"/>
        <s v="Soodesh"/>
        <s v="Kartik"/>
        <s v="Pournamasi"/>
        <s v="Komal"/>
        <s v="Sukruta"/>
        <s v="Yaanvi"/>
        <s v="Nidhi"/>
        <s v="Divsha"/>
        <s v="Nishant"/>
        <s v="Amruta"/>
        <s v="Yogesh"/>
        <s v="Dhirajendu"/>
        <s v="Shubhi"/>
        <s v="Aayush"/>
        <s v="Divyansh"/>
        <s v="Mayank"/>
        <s v="Rutuja"/>
        <s v="Karandeep"/>
        <s v="Mitali"/>
        <s v="Kritika"/>
        <s v="Mousam"/>
        <s v="Ginny"/>
        <s v="Ashmeet"/>
        <s v="Suman"/>
        <s v="Swetha"/>
        <s v="Shivam"/>
        <s v="Subhashree"/>
        <s v="Diwakar"/>
        <s v="Dipali"/>
        <s v="Geetanjali"/>
        <s v="Kartikay"/>
        <s v="Shivangi"/>
        <s v="Anmol"/>
        <s v="Saurabh"/>
        <s v="Sukant"/>
        <s v="Ishpreet"/>
        <s v="Siddharth"/>
        <s v="Omkar"/>
        <s v="Manibalan"/>
        <s v="Divyeshkumar"/>
        <s v="Pradeep"/>
        <s v="Ritu"/>
        <s v="Mugdha"/>
        <s v="Nitant"/>
        <s v="Nandita"/>
        <s v="Trupti"/>
        <s v="Kalyani"/>
        <s v="Mukund"/>
        <s v="Ishit"/>
        <s v="Hemant"/>
        <s v="Anchal"/>
        <s v="Sanjova"/>
        <s v="Adhvaita"/>
        <s v="Vaibhavi"/>
        <s v="Bharat"/>
        <s v="Swati"/>
        <s v="Meghana"/>
        <s v="Aakanksha"/>
        <s v="Samiksha"/>
        <s v="Daksh"/>
        <s v="Akash"/>
        <s v="Rashmi"/>
        <s v="Masurkar"/>
        <s v="Jayanti"/>
        <s v="Sanjay"/>
        <s v="Jesslyn"/>
        <s v="Akshat"/>
        <s v="Ashwin"/>
        <s v="Aparajita"/>
        <s v="Yash"/>
        <s v="Ananya"/>
        <s v="Snehal"/>
        <s v="Swapnil"/>
        <s v="Rahul"/>
        <s v="Preksha"/>
        <s v="Suraj"/>
        <s v="Sudheer"/>
        <s v="Aromal"/>
        <s v="Shantanu"/>
        <s v="Neha"/>
        <s v="Ashmi"/>
        <s v="Dheeraj"/>
        <s v="Prajakta"/>
        <s v="Amol"/>
        <s v="Smriti"/>
        <s v="Parnavi"/>
        <s v="Pratiksha"/>
        <s v="Parakh"/>
        <s v="Sandra"/>
        <s v="K"/>
        <s v="Teena"/>
        <s v="Nirja"/>
        <s v="Vineet"/>
        <s v="Abhijit"/>
        <s v="Avni"/>
        <s v="Sanskriti"/>
        <s v="Anisha"/>
        <s v="Bhutekar"/>
        <s v="Anubhaw"/>
        <s v="Gunjal"/>
        <s v="Krishna"/>
        <s v="Chayanika"/>
        <s v="Subhasmita"/>
        <s v="Raksha"/>
        <s v="Syed"/>
        <s v="Suhani"/>
        <s v="Apoorv"/>
        <s v="Jaideep"/>
        <s v="Swetlana"/>
        <s v="Shreyshi"/>
        <s v="Noshiba"/>
        <s v="Rane"/>
        <s v="Piyam"/>
        <s v="Arun"/>
        <s v="Lisha"/>
        <s v="Chetan"/>
        <s v="Sagar"/>
        <s v="Pearl"/>
        <s v="Shyam"/>
        <s v="Akshata"/>
        <s v="Bhishm"/>
        <s v="Duhita"/>
        <s v="Utkarsh"/>
        <s v="Inderpreet"/>
        <s v="Kshitij"/>
        <s v="Shaily"/>
        <s v="Utsav"/>
        <s v="Bhosale"/>
        <s v="Sidharth"/>
        <s v="Parin"/>
        <s v="Sajal"/>
        <s v="Apoorva"/>
        <s v="Nikhil"/>
        <s v="Srishti"/>
        <s v="Tejas"/>
        <s v="Nishi"/>
        <s v="Gunjan"/>
        <s v="Kiran"/>
        <s v="Jaydeep"/>
        <s v="Rachna"/>
        <s v="Dhanraj"/>
        <s v="Tanushree"/>
        <s v="Manisha"/>
        <s v="Sumeet"/>
        <s v="Akanksha"/>
        <s v="Chikku"/>
        <s v="Praneet"/>
        <s v="Paromita"/>
        <s v="Piyali"/>
        <s v="Ashvini"/>
        <s v="Hrisheekesh"/>
        <s v="Divyansha"/>
        <s v="Vipul"/>
        <s v="Hemangi"/>
        <s v="Monu"/>
        <s v="Shreyoshe"/>
      </sharedItems>
    </cacheField>
    <cacheField name="State" numFmtId="0">
      <sharedItems count="19">
        <s v="Madhya Pradesh"/>
        <s v="Uttar Pradesh"/>
        <s v="Maharashtra"/>
        <s v="Karnataka"/>
        <s v="Jammu and Kashmir"/>
        <s v="Nagaland"/>
        <s v="Rajasthan"/>
        <s v="Gujarat"/>
        <s v="Delhi"/>
        <s v="Andhra Pradesh"/>
        <s v="Kerala "/>
        <s v="Himachal Pradesh"/>
        <s v="Bihar"/>
        <s v="Punjab"/>
        <s v="Tamil Nadu"/>
        <s v="Haryana"/>
        <s v="Goa"/>
        <s v="West Bengal"/>
        <s v="Sikkim"/>
      </sharedItems>
    </cacheField>
    <cacheField name="City" numFmtId="0">
      <sharedItems/>
    </cacheField>
    <cacheField name="Year" numFmtId="1">
      <sharedItems containsSemiMixedTypes="0" containsString="0" containsNumber="1" containsInteger="1" minValue="2018" maxValue="2018" count="1">
        <n v="2018"/>
      </sharedItems>
    </cacheField>
    <cacheField name="MonthNumber" numFmtId="1">
      <sharedItems containsSemiMixedTypes="0" containsString="0" containsNumber="1" containsInteger="1" minValue="1" maxValue="12"/>
    </cacheField>
    <cacheField name="MonthName" numFmtId="49">
      <sharedItems/>
    </cacheField>
    <cacheField name="YearMonth" numFmtId="49">
      <sharedItems count="12">
        <s v="2018-06"/>
        <s v="2018-03"/>
        <s v="2018-01"/>
        <s v="2018-04"/>
        <s v="2018-11"/>
        <s v="2018-12"/>
        <s v="2018-08"/>
        <s v="2018-05"/>
        <s v="2018-09"/>
        <s v="2018-07"/>
        <s v="2018-02"/>
        <s v="2018-10"/>
      </sharedItems>
    </cacheField>
    <cacheField name="ProfitMargin" numFmtId="166">
      <sharedItems containsSemiMixedTypes="0" containsString="0" containsNumber="1" minValue="-2.4255319148936172" maxValue="2.25"/>
    </cacheField>
    <cacheField name="Quarter" numFmtId="0">
      <sharedItems/>
    </cacheField>
    <cacheField name="DayofWeek" numFmtId="0">
      <sharedItems/>
    </cacheField>
  </cacheFields>
  <extLst>
    <ext xmlns:x14="http://schemas.microsoft.com/office/spreadsheetml/2009/9/main" uri="{725AE2AE-9491-48be-B2B4-4EB974FC3084}">
      <x14:pivotCacheDefinition pivotCacheId="11276519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s v="B-25681"/>
    <n v="1096"/>
    <n v="658"/>
    <n v="7"/>
    <x v="0"/>
    <x v="0"/>
    <s v="COD"/>
    <d v="2018-06-04T00:00:00"/>
    <x v="0"/>
    <x v="0"/>
    <s v="Indore"/>
    <x v="0"/>
    <n v="6"/>
    <s v="Jun"/>
    <x v="0"/>
    <n v="0.60036496350364965"/>
    <s v="Q2"/>
    <s v="Monday"/>
  </r>
  <r>
    <s v="B-26055"/>
    <n v="5729"/>
    <n v="64"/>
    <n v="14"/>
    <x v="1"/>
    <x v="1"/>
    <s v="EMI"/>
    <d v="2018-03-10T00:00:00"/>
    <x v="1"/>
    <x v="1"/>
    <s v="Mathura"/>
    <x v="0"/>
    <n v="3"/>
    <s v="Mar"/>
    <x v="1"/>
    <n v="1.1171234072263921E-2"/>
    <s v="Q1"/>
    <s v="Saturday"/>
  </r>
  <r>
    <s v="B-25955"/>
    <n v="2927"/>
    <n v="146"/>
    <n v="8"/>
    <x v="1"/>
    <x v="2"/>
    <s v="EMI"/>
    <d v="2018-01-16T00:00:00"/>
    <x v="2"/>
    <x v="2"/>
    <s v="Pune"/>
    <x v="0"/>
    <n v="1"/>
    <s v="Jan"/>
    <x v="2"/>
    <n v="4.9880423641954219E-2"/>
    <s v="Q1"/>
    <s v="Tuesday"/>
  </r>
  <r>
    <s v="B-26093"/>
    <n v="2847"/>
    <n v="712"/>
    <n v="8"/>
    <x v="0"/>
    <x v="3"/>
    <s v="Credit Card"/>
    <d v="2018-03-27T00:00:00"/>
    <x v="3"/>
    <x v="2"/>
    <s v="Pune"/>
    <x v="0"/>
    <n v="3"/>
    <s v="Mar"/>
    <x v="1"/>
    <n v="0.25008781173164735"/>
    <s v="Q1"/>
    <s v="Tuesday"/>
  </r>
  <r>
    <s v="B-25602"/>
    <n v="2617"/>
    <n v="1151"/>
    <n v="4"/>
    <x v="0"/>
    <x v="4"/>
    <s v="Credit Card"/>
    <d v="2018-04-01T00:00:00"/>
    <x v="4"/>
    <x v="2"/>
    <s v="Pune"/>
    <x v="0"/>
    <n v="4"/>
    <s v="Apr"/>
    <x v="3"/>
    <n v="0.43981658387466566"/>
    <s v="Q2"/>
    <s v="Sunday"/>
  </r>
  <r>
    <s v="B-25881"/>
    <n v="2244"/>
    <n v="247"/>
    <n v="4"/>
    <x v="2"/>
    <x v="5"/>
    <s v="Credit Card"/>
    <d v="2018-11-25T00:00:00"/>
    <x v="5"/>
    <x v="1"/>
    <s v="Mathura"/>
    <x v="0"/>
    <n v="11"/>
    <s v="Nov"/>
    <x v="4"/>
    <n v="0.11007130124777184"/>
    <s v="Q4"/>
    <s v="Sunday"/>
  </r>
  <r>
    <s v="B-25696"/>
    <n v="275"/>
    <n v="-275"/>
    <n v="4"/>
    <x v="2"/>
    <x v="6"/>
    <s v="COD"/>
    <d v="2018-06-21T00:00:00"/>
    <x v="6"/>
    <x v="3"/>
    <s v="Bangalore"/>
    <x v="0"/>
    <n v="6"/>
    <s v="Jun"/>
    <x v="0"/>
    <n v="-1"/>
    <s v="Q2"/>
    <s v="Thursday"/>
  </r>
  <r>
    <s v="B-25687"/>
    <n v="387"/>
    <n v="-213"/>
    <n v="5"/>
    <x v="2"/>
    <x v="6"/>
    <s v="UPI"/>
    <d v="2018-06-11T00:00:00"/>
    <x v="7"/>
    <x v="2"/>
    <s v="Mumbai"/>
    <x v="0"/>
    <n v="6"/>
    <s v="Jun"/>
    <x v="0"/>
    <n v="-0.55038759689922478"/>
    <s v="Q2"/>
    <s v="Monday"/>
  </r>
  <r>
    <s v="B-25643"/>
    <n v="50"/>
    <n v="-44"/>
    <n v="2"/>
    <x v="2"/>
    <x v="7"/>
    <s v="UPI"/>
    <d v="2018-04-29T00:00:00"/>
    <x v="8"/>
    <x v="4"/>
    <s v="Kashmir"/>
    <x v="0"/>
    <n v="4"/>
    <s v="Apr"/>
    <x v="3"/>
    <n v="-0.88"/>
    <s v="Q2"/>
    <s v="Sunday"/>
  </r>
  <r>
    <s v="B-25851"/>
    <n v="135"/>
    <n v="-54"/>
    <n v="5"/>
    <x v="2"/>
    <x v="8"/>
    <s v="COD"/>
    <d v="2018-11-06T00:00:00"/>
    <x v="9"/>
    <x v="5"/>
    <s v="Kohima"/>
    <x v="0"/>
    <n v="11"/>
    <s v="Nov"/>
    <x v="4"/>
    <n v="-0.4"/>
    <s v="Q4"/>
    <s v="Tuesday"/>
  </r>
  <r>
    <s v="B-25703"/>
    <n v="231"/>
    <n v="-190"/>
    <n v="9"/>
    <x v="2"/>
    <x v="7"/>
    <s v="COD"/>
    <d v="2018-06-28T00:00:00"/>
    <x v="10"/>
    <x v="0"/>
    <s v="Indore"/>
    <x v="0"/>
    <n v="6"/>
    <s v="Jun"/>
    <x v="0"/>
    <n v="-0.82251082251082253"/>
    <s v="Q2"/>
    <s v="Thursday"/>
  </r>
  <r>
    <s v="B-25887"/>
    <n v="2125"/>
    <n v="-234"/>
    <n v="6"/>
    <x v="0"/>
    <x v="3"/>
    <s v="EMI"/>
    <d v="2018-12-01T00:00:00"/>
    <x v="11"/>
    <x v="1"/>
    <s v="Prayagraj"/>
    <x v="0"/>
    <n v="12"/>
    <s v="Dec"/>
    <x v="5"/>
    <n v="-0.11011764705882353"/>
    <s v="Q4"/>
    <s v="Saturday"/>
  </r>
  <r>
    <s v="B-25923"/>
    <n v="3873"/>
    <n v="-891"/>
    <n v="6"/>
    <x v="0"/>
    <x v="4"/>
    <s v="Credit Card"/>
    <d v="2018-12-27T00:00:00"/>
    <x v="12"/>
    <x v="2"/>
    <s v="Mumbai"/>
    <x v="0"/>
    <n v="12"/>
    <s v="Dec"/>
    <x v="5"/>
    <n v="-0.23005422153369481"/>
    <s v="Q4"/>
    <s v="Thursday"/>
  </r>
  <r>
    <s v="B-25756"/>
    <n v="729"/>
    <n v="-492"/>
    <n v="5"/>
    <x v="1"/>
    <x v="2"/>
    <s v="UPI"/>
    <d v="2018-08-20T00:00:00"/>
    <x v="13"/>
    <x v="2"/>
    <s v="Mumbai"/>
    <x v="0"/>
    <n v="8"/>
    <s v="Aug"/>
    <x v="6"/>
    <n v="-0.67489711934156382"/>
    <s v="Q3"/>
    <s v="Monday"/>
  </r>
  <r>
    <s v="B-25761"/>
    <n v="2188"/>
    <n v="1050"/>
    <n v="5"/>
    <x v="1"/>
    <x v="2"/>
    <s v="Credit Card"/>
    <d v="2018-08-25T00:00:00"/>
    <x v="14"/>
    <x v="1"/>
    <s v="Mathura"/>
    <x v="0"/>
    <n v="8"/>
    <s v="Aug"/>
    <x v="6"/>
    <n v="0.47989031078610606"/>
    <s v="Q3"/>
    <s v="Saturday"/>
  </r>
  <r>
    <s v="B-25655"/>
    <n v="6"/>
    <n v="-3"/>
    <n v="1"/>
    <x v="2"/>
    <x v="7"/>
    <s v="UPI"/>
    <d v="2018-05-11T00:00:00"/>
    <x v="15"/>
    <x v="0"/>
    <s v="Indore"/>
    <x v="0"/>
    <n v="5"/>
    <s v="May"/>
    <x v="7"/>
    <n v="-0.5"/>
    <s v="Q2"/>
    <s v="Friday"/>
  </r>
  <r>
    <s v="B-25786"/>
    <n v="1854"/>
    <n v="433"/>
    <n v="5"/>
    <x v="1"/>
    <x v="2"/>
    <s v="Credit Card"/>
    <d v="2018-09-19T00:00:00"/>
    <x v="16"/>
    <x v="1"/>
    <s v="Mathura"/>
    <x v="0"/>
    <n v="9"/>
    <s v="Sep"/>
    <x v="8"/>
    <n v="0.23354908306364616"/>
    <s v="Q3"/>
    <s v="Wednesday"/>
  </r>
  <r>
    <s v="B-26095"/>
    <n v="6"/>
    <n v="1"/>
    <n v="1"/>
    <x v="2"/>
    <x v="8"/>
    <s v="UPI"/>
    <d v="2018-03-28T00:00:00"/>
    <x v="17"/>
    <x v="6"/>
    <s v="Jaipur"/>
    <x v="0"/>
    <n v="3"/>
    <s v="Mar"/>
    <x v="1"/>
    <n v="0.16666666666666666"/>
    <s v="Q1"/>
    <s v="Wednesday"/>
  </r>
  <r>
    <s v="B-25853"/>
    <n v="2093"/>
    <n v="721"/>
    <n v="5"/>
    <x v="1"/>
    <x v="1"/>
    <s v="Credit Card"/>
    <d v="2018-11-08T00:00:00"/>
    <x v="18"/>
    <x v="7"/>
    <s v="Ahmedabad"/>
    <x v="0"/>
    <n v="11"/>
    <s v="Nov"/>
    <x v="4"/>
    <n v="0.34448160535117056"/>
    <s v="Q4"/>
    <s v="Thursday"/>
  </r>
  <r>
    <s v="B-25735"/>
    <n v="7"/>
    <n v="-1"/>
    <n v="2"/>
    <x v="2"/>
    <x v="9"/>
    <s v="UPI"/>
    <d v="2018-07-30T00:00:00"/>
    <x v="19"/>
    <x v="1"/>
    <s v="Lucknow"/>
    <x v="0"/>
    <n v="7"/>
    <s v="Jul"/>
    <x v="9"/>
    <n v="-0.14285714285714285"/>
    <s v="Q3"/>
    <s v="Monday"/>
  </r>
  <r>
    <s v="B-25910"/>
    <n v="1622"/>
    <n v="-624"/>
    <n v="5"/>
    <x v="1"/>
    <x v="10"/>
    <s v="Credit Card"/>
    <d v="2018-12-14T00:00:00"/>
    <x v="20"/>
    <x v="8"/>
    <s v="Delhi"/>
    <x v="0"/>
    <n v="12"/>
    <s v="Dec"/>
    <x v="5"/>
    <n v="-0.38471023427866829"/>
    <s v="Q4"/>
    <s v="Friday"/>
  </r>
  <r>
    <s v="B-25950"/>
    <n v="1622"/>
    <n v="95"/>
    <n v="5"/>
    <x v="0"/>
    <x v="3"/>
    <s v="Credit Card"/>
    <d v="2018-01-13T00:00:00"/>
    <x v="21"/>
    <x v="0"/>
    <s v="Indore"/>
    <x v="0"/>
    <n v="1"/>
    <s v="Jan"/>
    <x v="2"/>
    <n v="5.8569667077681874E-2"/>
    <s v="Q1"/>
    <s v="Saturday"/>
  </r>
  <r>
    <s v="B-25744"/>
    <n v="373"/>
    <n v="254"/>
    <n v="6"/>
    <x v="0"/>
    <x v="3"/>
    <s v="UPI"/>
    <d v="2018-08-08T00:00:00"/>
    <x v="22"/>
    <x v="9"/>
    <s v="Hyderabad"/>
    <x v="0"/>
    <n v="8"/>
    <s v="Aug"/>
    <x v="6"/>
    <n v="0.68096514745308312"/>
    <s v="Q3"/>
    <s v="Wednesday"/>
  </r>
  <r>
    <s v="B-25845"/>
    <n v="82"/>
    <n v="-33"/>
    <n v="4"/>
    <x v="2"/>
    <x v="8"/>
    <s v="COD"/>
    <d v="2018-11-03T00:00:00"/>
    <x v="23"/>
    <x v="10"/>
    <s v="Thiruvananthapuram"/>
    <x v="0"/>
    <n v="11"/>
    <s v="Nov"/>
    <x v="4"/>
    <n v="-0.40243902439024393"/>
    <s v="Q4"/>
    <s v="Saturday"/>
  </r>
  <r>
    <s v="B-26001"/>
    <n v="8"/>
    <n v="2"/>
    <n v="2"/>
    <x v="2"/>
    <x v="9"/>
    <s v="UPI"/>
    <d v="2018-02-07T00:00:00"/>
    <x v="24"/>
    <x v="8"/>
    <s v="Delhi"/>
    <x v="0"/>
    <n v="2"/>
    <s v="Feb"/>
    <x v="10"/>
    <n v="0.25"/>
    <s v="Q1"/>
    <s v="Wednesday"/>
  </r>
  <r>
    <s v="B-25830"/>
    <n v="1954"/>
    <n v="782"/>
    <n v="3"/>
    <x v="0"/>
    <x v="4"/>
    <s v="Credit Card"/>
    <d v="2018-10-26T00:00:00"/>
    <x v="25"/>
    <x v="11"/>
    <s v="Simla"/>
    <x v="0"/>
    <n v="10"/>
    <s v="Oct"/>
    <x v="11"/>
    <n v="0.40020470829068577"/>
    <s v="Q4"/>
    <s v="Friday"/>
  </r>
  <r>
    <s v="B-25842"/>
    <n v="1543"/>
    <n v="370"/>
    <n v="8"/>
    <x v="0"/>
    <x v="3"/>
    <s v="Credit Card"/>
    <d v="2018-11-02T00:00:00"/>
    <x v="26"/>
    <x v="2"/>
    <s v="Pune"/>
    <x v="0"/>
    <n v="11"/>
    <s v="Nov"/>
    <x v="4"/>
    <n v="0.23979261179520414"/>
    <s v="Q4"/>
    <s v="Friday"/>
  </r>
  <r>
    <s v="B-25778"/>
    <n v="1506"/>
    <n v="-266"/>
    <n v="6"/>
    <x v="0"/>
    <x v="3"/>
    <s v="Credit Card"/>
    <d v="2018-09-11T00:00:00"/>
    <x v="27"/>
    <x v="2"/>
    <s v="Mumbai"/>
    <x v="0"/>
    <n v="9"/>
    <s v="Sep"/>
    <x v="8"/>
    <n v="-0.17662682602921648"/>
    <s v="Q3"/>
    <s v="Tuesday"/>
  </r>
  <r>
    <s v="B-25686"/>
    <n v="1829"/>
    <n v="-56"/>
    <n v="6"/>
    <x v="1"/>
    <x v="10"/>
    <s v="Credit Card"/>
    <d v="2018-06-11T00:00:00"/>
    <x v="28"/>
    <x v="11"/>
    <s v="Simla"/>
    <x v="0"/>
    <n v="6"/>
    <s v="Jun"/>
    <x v="0"/>
    <n v="-3.06178239475123E-2"/>
    <s v="Q2"/>
    <s v="Monday"/>
  </r>
  <r>
    <s v="B-25754"/>
    <n v="9"/>
    <n v="-1"/>
    <n v="3"/>
    <x v="2"/>
    <x v="9"/>
    <s v="UPI"/>
    <d v="2018-08-18T00:00:00"/>
    <x v="29"/>
    <x v="12"/>
    <s v="Patna"/>
    <x v="0"/>
    <n v="8"/>
    <s v="Aug"/>
    <x v="6"/>
    <n v="-0.1111111111111111"/>
    <s v="Q3"/>
    <s v="Saturday"/>
  </r>
  <r>
    <s v="B-26048"/>
    <n v="1461"/>
    <n v="202"/>
    <n v="5"/>
    <x v="1"/>
    <x v="10"/>
    <s v="EMI"/>
    <d v="2018-03-04T00:00:00"/>
    <x v="30"/>
    <x v="2"/>
    <s v="Pune"/>
    <x v="0"/>
    <n v="3"/>
    <s v="Mar"/>
    <x v="1"/>
    <n v="0.13826146475017112"/>
    <s v="Q1"/>
    <s v="Sunday"/>
  </r>
  <r>
    <s v="B-25816"/>
    <n v="391"/>
    <n v="113"/>
    <n v="8"/>
    <x v="2"/>
    <x v="11"/>
    <s v="COD"/>
    <d v="2018-10-12T00:00:00"/>
    <x v="31"/>
    <x v="9"/>
    <s v="Hyderabad"/>
    <x v="0"/>
    <n v="10"/>
    <s v="Oct"/>
    <x v="11"/>
    <n v="0.28900255754475701"/>
    <s v="Q4"/>
    <s v="Friday"/>
  </r>
  <r>
    <s v="B-26022"/>
    <n v="1824"/>
    <n v="1303"/>
    <n v="8"/>
    <x v="0"/>
    <x v="4"/>
    <s v="Credit Card"/>
    <d v="2018-02-18T00:00:00"/>
    <x v="32"/>
    <x v="13"/>
    <s v="Chandigarh"/>
    <x v="0"/>
    <n v="2"/>
    <s v="Feb"/>
    <x v="10"/>
    <n v="0.71436403508771928"/>
    <s v="Q1"/>
    <s v="Sunday"/>
  </r>
  <r>
    <s v="B-25883"/>
    <n v="16"/>
    <n v="-15"/>
    <n v="4"/>
    <x v="2"/>
    <x v="7"/>
    <s v="UPI"/>
    <d v="2018-11-27T00:00:00"/>
    <x v="33"/>
    <x v="7"/>
    <s v="Surat"/>
    <x v="0"/>
    <n v="11"/>
    <s v="Nov"/>
    <x v="4"/>
    <n v="-0.9375"/>
    <s v="Q4"/>
    <s v="Tuesday"/>
  </r>
  <r>
    <s v="B-26003"/>
    <n v="1745"/>
    <n v="122"/>
    <n v="2"/>
    <x v="1"/>
    <x v="10"/>
    <s v="Credit Card"/>
    <d v="2018-02-08T00:00:00"/>
    <x v="34"/>
    <x v="0"/>
    <s v="Bhopal"/>
    <x v="0"/>
    <n v="2"/>
    <s v="Feb"/>
    <x v="10"/>
    <n v="6.9914040114613177E-2"/>
    <s v="Q1"/>
    <s v="Thursday"/>
  </r>
  <r>
    <s v="B-26097"/>
    <n v="663"/>
    <n v="-212"/>
    <n v="5"/>
    <x v="0"/>
    <x v="3"/>
    <s v="UPI"/>
    <d v="2018-03-28T00:00:00"/>
    <x v="35"/>
    <x v="3"/>
    <s v="Bangalore"/>
    <x v="0"/>
    <n v="3"/>
    <s v="Mar"/>
    <x v="1"/>
    <n v="-0.31975867269984914"/>
    <s v="Q1"/>
    <s v="Wednesday"/>
  </r>
  <r>
    <s v="B-25710"/>
    <n v="10"/>
    <n v="-1"/>
    <n v="1"/>
    <x v="2"/>
    <x v="12"/>
    <s v="UPI"/>
    <d v="2018-07-05T00:00:00"/>
    <x v="36"/>
    <x v="2"/>
    <s v="Pune"/>
    <x v="0"/>
    <n v="7"/>
    <s v="Jul"/>
    <x v="9"/>
    <n v="-0.1"/>
    <s v="Q3"/>
    <s v="Thursday"/>
  </r>
  <r>
    <s v="B-25797"/>
    <n v="1630"/>
    <n v="802"/>
    <n v="5"/>
    <x v="1"/>
    <x v="10"/>
    <s v="EMI"/>
    <d v="2018-09-30T00:00:00"/>
    <x v="37"/>
    <x v="0"/>
    <s v="Indore"/>
    <x v="0"/>
    <n v="9"/>
    <s v="Sep"/>
    <x v="8"/>
    <n v="0.4920245398773006"/>
    <s v="Q3"/>
    <s v="Sunday"/>
  </r>
  <r>
    <s v="B-25618"/>
    <n v="12"/>
    <n v="0"/>
    <n v="2"/>
    <x v="2"/>
    <x v="7"/>
    <s v="UPI"/>
    <d v="2018-04-18T00:00:00"/>
    <x v="38"/>
    <x v="9"/>
    <s v="Hyderabad"/>
    <x v="0"/>
    <n v="4"/>
    <s v="Apr"/>
    <x v="3"/>
    <n v="0"/>
    <s v="Q2"/>
    <s v="Wednesday"/>
  </r>
  <r>
    <s v="B-25723"/>
    <n v="12"/>
    <n v="-7"/>
    <n v="2"/>
    <x v="2"/>
    <x v="12"/>
    <s v="UPI"/>
    <d v="2018-07-18T00:00:00"/>
    <x v="39"/>
    <x v="2"/>
    <s v="Mumbai"/>
    <x v="0"/>
    <n v="7"/>
    <s v="Jul"/>
    <x v="9"/>
    <n v="-0.58333333333333337"/>
    <s v="Q3"/>
    <s v="Wednesday"/>
  </r>
  <r>
    <s v="B-25755"/>
    <n v="1709"/>
    <n v="564"/>
    <n v="3"/>
    <x v="2"/>
    <x v="5"/>
    <s v="Credit Card"/>
    <d v="2018-08-19T00:00:00"/>
    <x v="40"/>
    <x v="10"/>
    <s v="Thiruvananthapuram"/>
    <x v="0"/>
    <n v="8"/>
    <s v="Aug"/>
    <x v="6"/>
    <n v="0.33001755412521944"/>
    <s v="Q3"/>
    <s v="Sunday"/>
  </r>
  <r>
    <s v="B-25788"/>
    <n v="12"/>
    <n v="3"/>
    <n v="1"/>
    <x v="2"/>
    <x v="11"/>
    <s v="UPI"/>
    <d v="2018-09-21T00:00:00"/>
    <x v="41"/>
    <x v="14"/>
    <s v="Chennai"/>
    <x v="0"/>
    <n v="9"/>
    <s v="Sep"/>
    <x v="8"/>
    <n v="0.25"/>
    <s v="Q3"/>
    <s v="Friday"/>
  </r>
  <r>
    <s v="B-25681"/>
    <n v="1625"/>
    <n v="-77"/>
    <n v="3"/>
    <x v="0"/>
    <x v="4"/>
    <s v="EMI"/>
    <d v="2018-06-04T00:00:00"/>
    <x v="0"/>
    <x v="0"/>
    <s v="Indore"/>
    <x v="0"/>
    <n v="6"/>
    <s v="Jun"/>
    <x v="0"/>
    <n v="-4.7384615384615386E-2"/>
    <s v="Q2"/>
    <s v="Monday"/>
  </r>
  <r>
    <s v="B-25991"/>
    <n v="13"/>
    <n v="5"/>
    <n v="2"/>
    <x v="2"/>
    <x v="7"/>
    <s v="UPI"/>
    <d v="2018-02-03T00:00:00"/>
    <x v="42"/>
    <x v="0"/>
    <s v="Indore"/>
    <x v="0"/>
    <n v="2"/>
    <s v="Feb"/>
    <x v="10"/>
    <n v="0.38461538461538464"/>
    <s v="Q1"/>
    <s v="Saturday"/>
  </r>
  <r>
    <s v="B-25779"/>
    <n v="1361"/>
    <n v="980"/>
    <n v="3"/>
    <x v="1"/>
    <x v="10"/>
    <s v="COD"/>
    <d v="2018-09-12T00:00:00"/>
    <x v="43"/>
    <x v="2"/>
    <s v="Pune"/>
    <x v="0"/>
    <n v="9"/>
    <s v="Sep"/>
    <x v="8"/>
    <n v="0.7200587803085966"/>
    <s v="Q3"/>
    <s v="Wednesday"/>
  </r>
  <r>
    <s v="B-25909"/>
    <n v="1622"/>
    <n v="-448"/>
    <n v="3"/>
    <x v="0"/>
    <x v="4"/>
    <s v="EMI"/>
    <d v="2018-12-13T00:00:00"/>
    <x v="44"/>
    <x v="2"/>
    <s v="Pune"/>
    <x v="0"/>
    <n v="12"/>
    <s v="Dec"/>
    <x v="5"/>
    <n v="-0.27620221948212081"/>
    <s v="Q4"/>
    <s v="Thursday"/>
  </r>
  <r>
    <s v="B-25943"/>
    <n v="1547"/>
    <n v="340"/>
    <n v="6"/>
    <x v="0"/>
    <x v="13"/>
    <s v="EMI"/>
    <d v="2018-01-09T00:00:00"/>
    <x v="45"/>
    <x v="7"/>
    <s v="Ahmedabad"/>
    <x v="0"/>
    <n v="1"/>
    <s v="Jan"/>
    <x v="2"/>
    <n v="0.21978021978021978"/>
    <s v="Q1"/>
    <s v="Tuesday"/>
  </r>
  <r>
    <s v="B-25935"/>
    <n v="1657"/>
    <n v="460"/>
    <n v="4"/>
    <x v="1"/>
    <x v="1"/>
    <s v="Credit Card"/>
    <d v="2018-01-04T00:00:00"/>
    <x v="46"/>
    <x v="5"/>
    <s v="Kohima"/>
    <x v="0"/>
    <n v="1"/>
    <s v="Jan"/>
    <x v="2"/>
    <n v="0.27761013880506941"/>
    <s v="Q1"/>
    <s v="Thursday"/>
  </r>
  <r>
    <s v="B-25613"/>
    <n v="1603"/>
    <n v="0"/>
    <n v="9"/>
    <x v="2"/>
    <x v="6"/>
    <s v="Credit Card"/>
    <d v="2018-04-12T00:00:00"/>
    <x v="13"/>
    <x v="15"/>
    <s v="Chandigarh"/>
    <x v="0"/>
    <n v="4"/>
    <s v="Apr"/>
    <x v="3"/>
    <n v="0"/>
    <s v="Q2"/>
    <s v="Thursday"/>
  </r>
  <r>
    <s v="B-25729"/>
    <n v="1549"/>
    <n v="-439"/>
    <n v="4"/>
    <x v="0"/>
    <x v="4"/>
    <s v="Credit Card"/>
    <d v="2018-07-22T00:00:00"/>
    <x v="47"/>
    <x v="0"/>
    <s v="Bhopal"/>
    <x v="0"/>
    <n v="7"/>
    <s v="Jul"/>
    <x v="9"/>
    <n v="-0.28340865074241445"/>
    <s v="Q3"/>
    <s v="Sunday"/>
  </r>
  <r>
    <s v="B-25772"/>
    <n v="1183"/>
    <n v="106"/>
    <n v="4"/>
    <x v="0"/>
    <x v="3"/>
    <s v="EMI"/>
    <d v="2018-09-02T00:00:00"/>
    <x v="48"/>
    <x v="12"/>
    <s v="Patna"/>
    <x v="0"/>
    <n v="9"/>
    <s v="Sep"/>
    <x v="8"/>
    <n v="8.960270498732037E-2"/>
    <s v="Q3"/>
    <s v="Sunday"/>
  </r>
  <r>
    <s v="B-25655"/>
    <n v="74"/>
    <n v="-123"/>
    <n v="8"/>
    <x v="2"/>
    <x v="9"/>
    <s v="UPI"/>
    <d v="2018-05-11T00:00:00"/>
    <x v="15"/>
    <x v="0"/>
    <s v="Indore"/>
    <x v="0"/>
    <n v="5"/>
    <s v="May"/>
    <x v="7"/>
    <n v="-1.6621621621621621"/>
    <s v="Q2"/>
    <s v="Friday"/>
  </r>
  <r>
    <s v="B-25640"/>
    <n v="1499"/>
    <n v="239"/>
    <n v="13"/>
    <x v="2"/>
    <x v="6"/>
    <s v="Credit Card"/>
    <d v="2018-04-27T00:00:00"/>
    <x v="49"/>
    <x v="6"/>
    <s v="Jaipur"/>
    <x v="0"/>
    <n v="4"/>
    <s v="Apr"/>
    <x v="3"/>
    <n v="0.15943962641761175"/>
    <s v="Q2"/>
    <s v="Friday"/>
  </r>
  <r>
    <s v="B-25810"/>
    <n v="1120"/>
    <n v="199"/>
    <n v="6"/>
    <x v="2"/>
    <x v="6"/>
    <s v="EMI"/>
    <d v="2018-10-10T00:00:00"/>
    <x v="50"/>
    <x v="13"/>
    <s v="Chandigarh"/>
    <x v="0"/>
    <n v="10"/>
    <s v="Oct"/>
    <x v="11"/>
    <n v="0.17767857142857144"/>
    <s v="Q4"/>
    <s v="Wednesday"/>
  </r>
  <r>
    <s v="B-25801"/>
    <n v="15"/>
    <n v="-2"/>
    <n v="1"/>
    <x v="2"/>
    <x v="14"/>
    <s v="Debit Card"/>
    <d v="2018-10-01T00:00:00"/>
    <x v="51"/>
    <x v="0"/>
    <s v="Bhopal"/>
    <x v="0"/>
    <n v="10"/>
    <s v="Oct"/>
    <x v="11"/>
    <n v="-0.13333333333333333"/>
    <s v="Q4"/>
    <s v="Monday"/>
  </r>
  <r>
    <s v="B-26085"/>
    <n v="1487"/>
    <n v="624"/>
    <n v="3"/>
    <x v="2"/>
    <x v="5"/>
    <s v="Credit Card"/>
    <d v="2018-03-26T00:00:00"/>
    <x v="32"/>
    <x v="13"/>
    <s v="Chandigarh"/>
    <x v="0"/>
    <n v="3"/>
    <s v="Mar"/>
    <x v="1"/>
    <n v="0.41963685272360457"/>
    <s v="Q1"/>
    <s v="Monday"/>
  </r>
  <r>
    <s v="B-25868"/>
    <n v="1118"/>
    <n v="206"/>
    <n v="2"/>
    <x v="1"/>
    <x v="10"/>
    <s v="Credit Card"/>
    <d v="2018-11-18T00:00:00"/>
    <x v="52"/>
    <x v="16"/>
    <s v="Goa"/>
    <x v="0"/>
    <n v="11"/>
    <s v="Nov"/>
    <x v="4"/>
    <n v="0.18425760286225404"/>
    <s v="Q4"/>
    <s v="Sunday"/>
  </r>
  <r>
    <s v="B-25714"/>
    <n v="11"/>
    <n v="-5"/>
    <n v="2"/>
    <x v="2"/>
    <x v="7"/>
    <s v="COD"/>
    <d v="2018-07-09T00:00:00"/>
    <x v="53"/>
    <x v="3"/>
    <s v="Bangalore"/>
    <x v="0"/>
    <n v="7"/>
    <s v="Jul"/>
    <x v="9"/>
    <n v="-0.45454545454545453"/>
    <s v="Q3"/>
    <s v="Monday"/>
  </r>
  <r>
    <s v="B-25784"/>
    <n v="15"/>
    <n v="4"/>
    <n v="1"/>
    <x v="2"/>
    <x v="7"/>
    <s v="Debit Card"/>
    <d v="2018-09-15T00:00:00"/>
    <x v="54"/>
    <x v="6"/>
    <s v="Jaipur"/>
    <x v="0"/>
    <n v="9"/>
    <s v="Sep"/>
    <x v="8"/>
    <n v="0.26666666666666666"/>
    <s v="Q3"/>
    <s v="Saturday"/>
  </r>
  <r>
    <s v="B-25608"/>
    <n v="1364"/>
    <n v="1864"/>
    <n v="5"/>
    <x v="1"/>
    <x v="10"/>
    <s v="Credit Card"/>
    <d v="2018-04-08T00:00:00"/>
    <x v="55"/>
    <x v="14"/>
    <s v="Chennai"/>
    <x v="0"/>
    <n v="4"/>
    <s v="Apr"/>
    <x v="3"/>
    <n v="1.3665689149560116"/>
    <s v="Q2"/>
    <s v="Sunday"/>
  </r>
  <r>
    <s v="B-26051"/>
    <n v="1337"/>
    <n v="147"/>
    <n v="7"/>
    <x v="0"/>
    <x v="3"/>
    <s v="Credit Card"/>
    <d v="2018-03-07T00:00:00"/>
    <x v="56"/>
    <x v="17"/>
    <s v="Kolkata"/>
    <x v="0"/>
    <n v="3"/>
    <s v="Mar"/>
    <x v="1"/>
    <n v="0.1099476439790576"/>
    <s v="Q1"/>
    <s v="Wednesday"/>
  </r>
  <r>
    <s v="B-25900"/>
    <n v="15"/>
    <n v="2"/>
    <n v="1"/>
    <x v="2"/>
    <x v="12"/>
    <s v="Debit Card"/>
    <d v="2018-12-09T00:00:00"/>
    <x v="57"/>
    <x v="13"/>
    <s v="Amritsar"/>
    <x v="0"/>
    <n v="12"/>
    <s v="Dec"/>
    <x v="5"/>
    <n v="0.13333333333333333"/>
    <s v="Q4"/>
    <s v="Sunday"/>
  </r>
  <r>
    <s v="B-25760"/>
    <n v="322"/>
    <n v="-193"/>
    <n v="5"/>
    <x v="0"/>
    <x v="3"/>
    <s v="UPI"/>
    <d v="2018-08-24T00:00:00"/>
    <x v="28"/>
    <x v="16"/>
    <s v="Goa"/>
    <x v="0"/>
    <n v="8"/>
    <s v="Aug"/>
    <x v="6"/>
    <n v="-0.59937888198757761"/>
    <s v="Q3"/>
    <s v="Friday"/>
  </r>
  <r>
    <s v="B-25762"/>
    <n v="1316"/>
    <n v="527"/>
    <n v="7"/>
    <x v="0"/>
    <x v="0"/>
    <s v="Credit Card"/>
    <d v="2018-08-26T00:00:00"/>
    <x v="58"/>
    <x v="0"/>
    <s v="Indore"/>
    <x v="0"/>
    <n v="8"/>
    <s v="Aug"/>
    <x v="6"/>
    <n v="0.40045592705167171"/>
    <s v="Q3"/>
    <s v="Sunday"/>
  </r>
  <r>
    <s v="B-25995"/>
    <n v="1314"/>
    <n v="342"/>
    <n v="3"/>
    <x v="1"/>
    <x v="2"/>
    <s v="Credit Card"/>
    <d v="2018-02-04T00:00:00"/>
    <x v="59"/>
    <x v="8"/>
    <s v="Delhi"/>
    <x v="0"/>
    <n v="2"/>
    <s v="Feb"/>
    <x v="10"/>
    <n v="0.26027397260273971"/>
    <s v="Q1"/>
    <s v="Sunday"/>
  </r>
  <r>
    <s v="B-25965"/>
    <n v="17"/>
    <n v="7"/>
    <n v="3"/>
    <x v="2"/>
    <x v="7"/>
    <s v="Debit Card"/>
    <d v="2018-01-21T00:00:00"/>
    <x v="60"/>
    <x v="17"/>
    <s v="Kolkata"/>
    <x v="0"/>
    <n v="1"/>
    <s v="Jan"/>
    <x v="2"/>
    <n v="0.41176470588235292"/>
    <s v="Q1"/>
    <s v="Sunday"/>
  </r>
  <r>
    <s v="B-25967"/>
    <n v="17"/>
    <n v="2"/>
    <n v="2"/>
    <x v="2"/>
    <x v="9"/>
    <s v="Debit Card"/>
    <d v="2018-01-21T00:00:00"/>
    <x v="61"/>
    <x v="1"/>
    <s v="Prayagraj"/>
    <x v="0"/>
    <n v="1"/>
    <s v="Jan"/>
    <x v="2"/>
    <n v="0.11764705882352941"/>
    <s v="Q1"/>
    <s v="Sunday"/>
  </r>
  <r>
    <s v="B-25674"/>
    <n v="17"/>
    <n v="-12"/>
    <n v="5"/>
    <x v="2"/>
    <x v="9"/>
    <s v="Debit Card"/>
    <d v="2018-05-28T00:00:00"/>
    <x v="62"/>
    <x v="2"/>
    <s v="Pune"/>
    <x v="0"/>
    <n v="5"/>
    <s v="May"/>
    <x v="7"/>
    <n v="-0.70588235294117652"/>
    <s v="Q2"/>
    <s v="Monday"/>
  </r>
  <r>
    <s v="B-25929"/>
    <n v="1308"/>
    <n v="536"/>
    <n v="3"/>
    <x v="1"/>
    <x v="2"/>
    <s v="Credit Card"/>
    <d v="2018-01-02T00:00:00"/>
    <x v="63"/>
    <x v="10"/>
    <s v="Thiruvananthapuram"/>
    <x v="0"/>
    <n v="1"/>
    <s v="Jan"/>
    <x v="2"/>
    <n v="0.40978593272171254"/>
    <s v="Q1"/>
    <s v="Tuesday"/>
  </r>
  <r>
    <s v="B-25777"/>
    <n v="1076"/>
    <n v="-38"/>
    <n v="4"/>
    <x v="0"/>
    <x v="3"/>
    <s v="Credit Card"/>
    <d v="2018-09-10T00:00:00"/>
    <x v="64"/>
    <x v="0"/>
    <s v="Indore"/>
    <x v="0"/>
    <n v="9"/>
    <s v="Sep"/>
    <x v="8"/>
    <n v="-3.5315985130111527E-2"/>
    <s v="Q3"/>
    <s v="Monday"/>
  </r>
  <r>
    <s v="B-26006"/>
    <n v="1301"/>
    <n v="573"/>
    <n v="5"/>
    <x v="0"/>
    <x v="13"/>
    <s v="Credit Card"/>
    <d v="2018-02-09T00:00:00"/>
    <x v="65"/>
    <x v="3"/>
    <s v="Bangalore"/>
    <x v="0"/>
    <n v="2"/>
    <s v="Feb"/>
    <x v="10"/>
    <n v="0.4404304381245196"/>
    <s v="Q1"/>
    <s v="Friday"/>
  </r>
  <r>
    <s v="B-25697"/>
    <n v="1300"/>
    <n v="-16"/>
    <n v="8"/>
    <x v="0"/>
    <x v="3"/>
    <s v="Credit Card"/>
    <d v="2018-06-22T00:00:00"/>
    <x v="66"/>
    <x v="4"/>
    <s v="Kashmir"/>
    <x v="0"/>
    <n v="6"/>
    <s v="Jun"/>
    <x v="0"/>
    <n v="-1.2307692307692308E-2"/>
    <s v="Q2"/>
    <s v="Friday"/>
  </r>
  <r>
    <s v="B-25667"/>
    <n v="11"/>
    <n v="-2"/>
    <n v="4"/>
    <x v="2"/>
    <x v="7"/>
    <s v="COD"/>
    <d v="2018-05-23T00:00:00"/>
    <x v="67"/>
    <x v="15"/>
    <s v="Chandigarh"/>
    <x v="0"/>
    <n v="5"/>
    <s v="May"/>
    <x v="7"/>
    <n v="-0.18181818181818182"/>
    <s v="Q2"/>
    <s v="Wednesday"/>
  </r>
  <r>
    <s v="B-25836"/>
    <n v="1298"/>
    <n v="65"/>
    <n v="9"/>
    <x v="0"/>
    <x v="3"/>
    <s v="EMI"/>
    <d v="2018-10-29T00:00:00"/>
    <x v="68"/>
    <x v="2"/>
    <s v="Pune"/>
    <x v="0"/>
    <n v="10"/>
    <s v="Oct"/>
    <x v="11"/>
    <n v="5.007704160246533E-2"/>
    <s v="Q4"/>
    <s v="Monday"/>
  </r>
  <r>
    <s v="B-25984"/>
    <n v="304"/>
    <n v="97"/>
    <n v="6"/>
    <x v="2"/>
    <x v="11"/>
    <s v="UPI"/>
    <d v="2018-01-30T00:00:00"/>
    <x v="69"/>
    <x v="8"/>
    <s v="Delhi"/>
    <x v="0"/>
    <n v="1"/>
    <s v="Jan"/>
    <x v="2"/>
    <n v="0.31907894736842107"/>
    <s v="Q1"/>
    <s v="Tuesday"/>
  </r>
  <r>
    <s v="B-25728"/>
    <n v="1055"/>
    <n v="264"/>
    <n v="4"/>
    <x v="0"/>
    <x v="3"/>
    <s v="EMI"/>
    <d v="2018-07-22T00:00:00"/>
    <x v="70"/>
    <x v="2"/>
    <s v="Pune"/>
    <x v="0"/>
    <n v="7"/>
    <s v="Jul"/>
    <x v="9"/>
    <n v="0.25023696682464452"/>
    <s v="Q3"/>
    <s v="Sunday"/>
  </r>
  <r>
    <s v="B-25757"/>
    <n v="17"/>
    <n v="-13"/>
    <n v="4"/>
    <x v="2"/>
    <x v="9"/>
    <s v="Debit Card"/>
    <d v="2018-08-21T00:00:00"/>
    <x v="11"/>
    <x v="0"/>
    <s v="Indore"/>
    <x v="0"/>
    <n v="8"/>
    <s v="Aug"/>
    <x v="6"/>
    <n v="-0.76470588235294112"/>
    <s v="Q3"/>
    <s v="Tuesday"/>
  </r>
  <r>
    <s v="B-25957"/>
    <n v="147"/>
    <n v="73"/>
    <n v="3"/>
    <x v="2"/>
    <x v="11"/>
    <s v="COD"/>
    <d v="2018-01-18T00:00:00"/>
    <x v="62"/>
    <x v="0"/>
    <s v="Indore"/>
    <x v="0"/>
    <n v="1"/>
    <s v="Jan"/>
    <x v="2"/>
    <n v="0.49659863945578231"/>
    <s v="Q1"/>
    <s v="Thursday"/>
  </r>
  <r>
    <s v="B-26061"/>
    <n v="965"/>
    <n v="-68"/>
    <n v="3"/>
    <x v="0"/>
    <x v="3"/>
    <s v="COD"/>
    <d v="2018-03-14T00:00:00"/>
    <x v="71"/>
    <x v="0"/>
    <s v="Indore"/>
    <x v="0"/>
    <n v="3"/>
    <s v="Mar"/>
    <x v="1"/>
    <n v="-7.0466321243523311E-2"/>
    <s v="Q1"/>
    <s v="Wednesday"/>
  </r>
  <r>
    <s v="B-25735"/>
    <n v="12"/>
    <n v="-2"/>
    <n v="3"/>
    <x v="2"/>
    <x v="7"/>
    <s v="COD"/>
    <d v="2018-07-30T00:00:00"/>
    <x v="19"/>
    <x v="1"/>
    <s v="Lucknow"/>
    <x v="0"/>
    <n v="7"/>
    <s v="Jul"/>
    <x v="9"/>
    <n v="-0.16666666666666666"/>
    <s v="Q3"/>
    <s v="Monday"/>
  </r>
  <r>
    <s v="B-25616"/>
    <n v="14"/>
    <n v="-2"/>
    <n v="3"/>
    <x v="2"/>
    <x v="7"/>
    <s v="UPI"/>
    <d v="2018-04-15T00:00:00"/>
    <x v="72"/>
    <x v="16"/>
    <s v="Goa"/>
    <x v="0"/>
    <n v="4"/>
    <s v="Apr"/>
    <x v="3"/>
    <n v="-0.14285714285714285"/>
    <s v="Q2"/>
    <s v="Sunday"/>
  </r>
  <r>
    <s v="B-25666"/>
    <n v="934"/>
    <n v="-916"/>
    <n v="7"/>
    <x v="0"/>
    <x v="0"/>
    <s v="COD"/>
    <d v="2018-05-22T00:00:00"/>
    <x v="73"/>
    <x v="13"/>
    <s v="Chandigarh"/>
    <x v="0"/>
    <n v="5"/>
    <s v="May"/>
    <x v="7"/>
    <n v="-0.98072805139186292"/>
    <s v="Q2"/>
    <s v="Tuesday"/>
  </r>
  <r>
    <s v="B-25675"/>
    <n v="929"/>
    <n v="-93"/>
    <n v="9"/>
    <x v="2"/>
    <x v="6"/>
    <s v="COD"/>
    <d v="2018-05-31T00:00:00"/>
    <x v="74"/>
    <x v="0"/>
    <s v="Bhopal"/>
    <x v="0"/>
    <n v="5"/>
    <s v="May"/>
    <x v="7"/>
    <n v="-0.10010764262648009"/>
    <s v="Q2"/>
    <s v="Thursday"/>
  </r>
  <r>
    <s v="B-26079"/>
    <n v="18"/>
    <n v="3"/>
    <n v="2"/>
    <x v="2"/>
    <x v="7"/>
    <s v="Debit Card"/>
    <d v="2018-03-22T00:00:00"/>
    <x v="75"/>
    <x v="3"/>
    <s v="Bangalore"/>
    <x v="0"/>
    <n v="3"/>
    <s v="Mar"/>
    <x v="1"/>
    <n v="0.16666666666666666"/>
    <s v="Q1"/>
    <s v="Thursday"/>
  </r>
  <r>
    <s v="B-25850"/>
    <n v="916"/>
    <n v="192"/>
    <n v="11"/>
    <x v="0"/>
    <x v="4"/>
    <s v="COD"/>
    <d v="2018-11-05T00:00:00"/>
    <x v="76"/>
    <x v="16"/>
    <s v="Goa"/>
    <x v="0"/>
    <n v="11"/>
    <s v="Nov"/>
    <x v="4"/>
    <n v="0.20960698689956331"/>
    <s v="Q4"/>
    <s v="Monday"/>
  </r>
  <r>
    <s v="B-25693"/>
    <n v="76"/>
    <n v="-72"/>
    <n v="9"/>
    <x v="2"/>
    <x v="7"/>
    <s v="COD"/>
    <d v="2018-06-18T00:00:00"/>
    <x v="77"/>
    <x v="0"/>
    <s v="Bhopal"/>
    <x v="0"/>
    <n v="6"/>
    <s v="Jun"/>
    <x v="0"/>
    <n v="-0.94736842105263153"/>
    <s v="Q2"/>
    <s v="Monday"/>
  </r>
  <r>
    <s v="B-25852"/>
    <n v="869"/>
    <n v="67"/>
    <n v="4"/>
    <x v="1"/>
    <x v="10"/>
    <s v="COD"/>
    <d v="2018-11-07T00:00:00"/>
    <x v="78"/>
    <x v="9"/>
    <s v="Hyderabad"/>
    <x v="0"/>
    <n v="11"/>
    <s v="Nov"/>
    <x v="4"/>
    <n v="7.7100115074798622E-2"/>
    <s v="Q4"/>
    <s v="Wednesday"/>
  </r>
  <r>
    <s v="B-25860"/>
    <n v="112"/>
    <n v="24"/>
    <n v="3"/>
    <x v="2"/>
    <x v="8"/>
    <s v="COD"/>
    <d v="2018-11-15T00:00:00"/>
    <x v="29"/>
    <x v="14"/>
    <s v="Chennai"/>
    <x v="0"/>
    <n v="11"/>
    <s v="Nov"/>
    <x v="4"/>
    <n v="0.21428571428571427"/>
    <s v="Q4"/>
    <s v="Thursday"/>
  </r>
  <r>
    <s v="B-25853"/>
    <n v="39"/>
    <n v="16"/>
    <n v="6"/>
    <x v="2"/>
    <x v="9"/>
    <s v="UPI"/>
    <d v="2018-11-08T00:00:00"/>
    <x v="18"/>
    <x v="7"/>
    <s v="Ahmedabad"/>
    <x v="0"/>
    <n v="11"/>
    <s v="Nov"/>
    <x v="4"/>
    <n v="0.41025641025641024"/>
    <s v="Q4"/>
    <s v="Thursday"/>
  </r>
  <r>
    <s v="B-25898"/>
    <n v="857"/>
    <n v="-274"/>
    <n v="2"/>
    <x v="1"/>
    <x v="10"/>
    <s v="COD"/>
    <d v="2018-12-07T00:00:00"/>
    <x v="76"/>
    <x v="6"/>
    <s v="Udaipur"/>
    <x v="0"/>
    <n v="12"/>
    <s v="Dec"/>
    <x v="5"/>
    <n v="-0.31971995332555425"/>
    <s v="Q4"/>
    <s v="Friday"/>
  </r>
  <r>
    <s v="B-26100"/>
    <n v="828"/>
    <n v="230"/>
    <n v="2"/>
    <x v="1"/>
    <x v="1"/>
    <s v="COD"/>
    <d v="2018-03-31T00:00:00"/>
    <x v="79"/>
    <x v="0"/>
    <s v="Indore"/>
    <x v="0"/>
    <n v="3"/>
    <s v="Mar"/>
    <x v="1"/>
    <n v="0.27777777777777779"/>
    <s v="Q1"/>
    <s v="Saturday"/>
  </r>
  <r>
    <s v="B-25653"/>
    <n v="1279"/>
    <n v="-640"/>
    <n v="8"/>
    <x v="0"/>
    <x v="3"/>
    <s v="EMI"/>
    <d v="2018-05-08T00:00:00"/>
    <x v="80"/>
    <x v="5"/>
    <s v="Kohima"/>
    <x v="0"/>
    <n v="5"/>
    <s v="May"/>
    <x v="7"/>
    <n v="-0.5003909304143862"/>
    <s v="Q2"/>
    <s v="Tuesday"/>
  </r>
  <r>
    <s v="B-25839"/>
    <n v="1250"/>
    <n v="486"/>
    <n v="7"/>
    <x v="2"/>
    <x v="6"/>
    <s v="EMI"/>
    <d v="2018-10-30T00:00:00"/>
    <x v="81"/>
    <x v="17"/>
    <s v="Kolkata"/>
    <x v="0"/>
    <n v="10"/>
    <s v="Oct"/>
    <x v="11"/>
    <n v="0.38879999999999998"/>
    <s v="Q4"/>
    <s v="Tuesday"/>
  </r>
  <r>
    <s v="B-25651"/>
    <n v="823"/>
    <n v="-18"/>
    <n v="7"/>
    <x v="1"/>
    <x v="1"/>
    <s v="COD"/>
    <d v="2018-05-07T00:00:00"/>
    <x v="71"/>
    <x v="0"/>
    <s v="Indore"/>
    <x v="0"/>
    <n v="5"/>
    <s v="May"/>
    <x v="7"/>
    <n v="-2.187120291616039E-2"/>
    <s v="Q2"/>
    <s v="Monday"/>
  </r>
  <r>
    <s v="B-25957"/>
    <n v="1157"/>
    <n v="-13"/>
    <n v="9"/>
    <x v="1"/>
    <x v="2"/>
    <s v="Credit Card"/>
    <d v="2018-01-18T00:00:00"/>
    <x v="62"/>
    <x v="0"/>
    <s v="Indore"/>
    <x v="0"/>
    <n v="1"/>
    <s v="Jan"/>
    <x v="2"/>
    <n v="-1.1235955056179775E-2"/>
    <s v="Q1"/>
    <s v="Thursday"/>
  </r>
  <r>
    <s v="B-25704"/>
    <n v="126"/>
    <n v="-63"/>
    <n v="3"/>
    <x v="0"/>
    <x v="13"/>
    <s v="UPI"/>
    <d v="2018-06-29T00:00:00"/>
    <x v="82"/>
    <x v="2"/>
    <s v="Mumbai"/>
    <x v="0"/>
    <n v="6"/>
    <s v="Jun"/>
    <x v="0"/>
    <n v="-0.5"/>
    <s v="Q2"/>
    <s v="Friday"/>
  </r>
  <r>
    <s v="B-25730"/>
    <n v="1145"/>
    <n v="-706"/>
    <n v="3"/>
    <x v="0"/>
    <x v="4"/>
    <s v="Credit Card"/>
    <d v="2018-07-22T00:00:00"/>
    <x v="83"/>
    <x v="6"/>
    <s v="Jaipur"/>
    <x v="0"/>
    <n v="7"/>
    <s v="Jul"/>
    <x v="9"/>
    <n v="-0.61659388646288205"/>
    <s v="Q3"/>
    <s v="Sunday"/>
  </r>
  <r>
    <s v="B-26052"/>
    <n v="774"/>
    <n v="170"/>
    <n v="3"/>
    <x v="0"/>
    <x v="13"/>
    <s v="COD"/>
    <d v="2018-03-08T00:00:00"/>
    <x v="84"/>
    <x v="3"/>
    <s v="Bangalore"/>
    <x v="0"/>
    <n v="3"/>
    <s v="Mar"/>
    <x v="1"/>
    <n v="0.21963824289405684"/>
    <s v="Q1"/>
    <s v="Thursday"/>
  </r>
  <r>
    <s v="B-25656"/>
    <n v="24"/>
    <n v="-1"/>
    <n v="2"/>
    <x v="2"/>
    <x v="7"/>
    <s v="COD"/>
    <d v="2018-05-11T00:00:00"/>
    <x v="85"/>
    <x v="2"/>
    <s v="Pune"/>
    <x v="0"/>
    <n v="5"/>
    <s v="May"/>
    <x v="7"/>
    <n v="-4.1666666666666664E-2"/>
    <s v="Q2"/>
    <s v="Friday"/>
  </r>
  <r>
    <s v="B-26033"/>
    <n v="774"/>
    <n v="170"/>
    <n v="3"/>
    <x v="0"/>
    <x v="13"/>
    <s v="COD"/>
    <d v="2018-02-22T00:00:00"/>
    <x v="86"/>
    <x v="17"/>
    <s v="Kolkata"/>
    <x v="0"/>
    <n v="2"/>
    <s v="Feb"/>
    <x v="10"/>
    <n v="0.21963824289405684"/>
    <s v="Q1"/>
    <s v="Thursday"/>
  </r>
  <r>
    <s v="B-25850"/>
    <n v="93"/>
    <n v="-1"/>
    <n v="2"/>
    <x v="2"/>
    <x v="7"/>
    <s v="COD"/>
    <d v="2018-11-05T00:00:00"/>
    <x v="76"/>
    <x v="16"/>
    <s v="Goa"/>
    <x v="0"/>
    <n v="11"/>
    <s v="Nov"/>
    <x v="4"/>
    <n v="-1.0752688172043012E-2"/>
    <s v="Q4"/>
    <s v="Monday"/>
  </r>
  <r>
    <s v="B-25945"/>
    <n v="765"/>
    <n v="-36"/>
    <n v="3"/>
    <x v="0"/>
    <x v="0"/>
    <s v="COD"/>
    <d v="2018-01-11T00:00:00"/>
    <x v="87"/>
    <x v="0"/>
    <s v="Indore"/>
    <x v="0"/>
    <n v="1"/>
    <s v="Jan"/>
    <x v="2"/>
    <n v="-4.7058823529411764E-2"/>
    <s v="Q1"/>
    <s v="Thursday"/>
  </r>
  <r>
    <s v="B-26086"/>
    <n v="762"/>
    <n v="101"/>
    <n v="6"/>
    <x v="0"/>
    <x v="3"/>
    <s v="COD"/>
    <d v="2018-03-26T00:00:00"/>
    <x v="88"/>
    <x v="15"/>
    <s v="Chandigarh"/>
    <x v="0"/>
    <n v="3"/>
    <s v="Mar"/>
    <x v="1"/>
    <n v="0.13254593175853019"/>
    <s v="Q1"/>
    <s v="Monday"/>
  </r>
  <r>
    <s v="B-25752"/>
    <n v="761"/>
    <n v="266"/>
    <n v="9"/>
    <x v="0"/>
    <x v="0"/>
    <s v="COD"/>
    <d v="2018-08-14T00:00:00"/>
    <x v="89"/>
    <x v="0"/>
    <s v="Indore"/>
    <x v="0"/>
    <n v="8"/>
    <s v="Aug"/>
    <x v="6"/>
    <n v="0.34954007884362681"/>
    <s v="Q3"/>
    <s v="Tuesday"/>
  </r>
  <r>
    <s v="B-26098"/>
    <n v="96"/>
    <n v="-48"/>
    <n v="5"/>
    <x v="2"/>
    <x v="12"/>
    <s v="UPI"/>
    <d v="2018-03-29T00:00:00"/>
    <x v="90"/>
    <x v="4"/>
    <s v="Kashmir"/>
    <x v="0"/>
    <n v="3"/>
    <s v="Mar"/>
    <x v="1"/>
    <n v="-0.5"/>
    <s v="Q1"/>
    <s v="Thursday"/>
  </r>
  <r>
    <s v="B-26067"/>
    <n v="1137"/>
    <n v="-14"/>
    <n v="7"/>
    <x v="0"/>
    <x v="3"/>
    <s v="EMI"/>
    <d v="2018-03-16T00:00:00"/>
    <x v="91"/>
    <x v="0"/>
    <s v="Bhopal"/>
    <x v="0"/>
    <n v="3"/>
    <s v="Mar"/>
    <x v="1"/>
    <n v="-1.2313104661389622E-2"/>
    <s v="Q1"/>
    <s v="Friday"/>
  </r>
  <r>
    <s v="B-25730"/>
    <n v="18"/>
    <n v="8"/>
    <n v="2"/>
    <x v="2"/>
    <x v="7"/>
    <s v="Debit Card"/>
    <d v="2018-07-22T00:00:00"/>
    <x v="83"/>
    <x v="6"/>
    <s v="Jaipur"/>
    <x v="0"/>
    <n v="7"/>
    <s v="Jul"/>
    <x v="9"/>
    <n v="0.44444444444444442"/>
    <s v="Q3"/>
    <s v="Sunday"/>
  </r>
  <r>
    <s v="B-25986"/>
    <n v="749"/>
    <n v="-307"/>
    <n v="7"/>
    <x v="1"/>
    <x v="15"/>
    <s v="COD"/>
    <d v="2018-01-31T00:00:00"/>
    <x v="92"/>
    <x v="6"/>
    <s v="Udaipur"/>
    <x v="0"/>
    <n v="1"/>
    <s v="Jan"/>
    <x v="2"/>
    <n v="-0.40987983978638182"/>
    <s v="Q1"/>
    <s v="Wednesday"/>
  </r>
  <r>
    <s v="B-26067"/>
    <n v="1120"/>
    <n v="199"/>
    <n v="6"/>
    <x v="2"/>
    <x v="6"/>
    <s v="EMI"/>
    <d v="2018-03-16T00:00:00"/>
    <x v="91"/>
    <x v="0"/>
    <s v="Bhopal"/>
    <x v="0"/>
    <n v="3"/>
    <s v="Mar"/>
    <x v="1"/>
    <n v="0.17767857142857144"/>
    <s v="Q1"/>
    <s v="Friday"/>
  </r>
  <r>
    <s v="B-25953"/>
    <n v="744"/>
    <n v="119"/>
    <n v="6"/>
    <x v="0"/>
    <x v="3"/>
    <s v="COD"/>
    <d v="2018-01-14T00:00:00"/>
    <x v="93"/>
    <x v="9"/>
    <s v="Hyderabad"/>
    <x v="0"/>
    <n v="1"/>
    <s v="Jan"/>
    <x v="2"/>
    <n v="0.15994623655913978"/>
    <s v="Q1"/>
    <s v="Sunday"/>
  </r>
  <r>
    <s v="B-25952"/>
    <n v="14"/>
    <n v="0"/>
    <n v="4"/>
    <x v="2"/>
    <x v="7"/>
    <s v="UPI"/>
    <d v="2018-01-13T00:00:00"/>
    <x v="85"/>
    <x v="0"/>
    <s v="Indore"/>
    <x v="0"/>
    <n v="1"/>
    <s v="Jan"/>
    <x v="2"/>
    <n v="0"/>
    <s v="Q1"/>
    <s v="Saturday"/>
  </r>
  <r>
    <s v="B-25903"/>
    <n v="19"/>
    <n v="8"/>
    <n v="2"/>
    <x v="2"/>
    <x v="7"/>
    <s v="Debit Card"/>
    <d v="2018-12-10T00:00:00"/>
    <x v="94"/>
    <x v="0"/>
    <s v="Indore"/>
    <x v="0"/>
    <n v="12"/>
    <s v="Dec"/>
    <x v="5"/>
    <n v="0.42105263157894735"/>
    <s v="Q4"/>
    <s v="Monday"/>
  </r>
  <r>
    <s v="B-25650"/>
    <n v="512"/>
    <n v="-225"/>
    <n v="5"/>
    <x v="2"/>
    <x v="6"/>
    <s v="COD"/>
    <d v="2018-05-06T00:00:00"/>
    <x v="95"/>
    <x v="2"/>
    <s v="Mumbai"/>
    <x v="0"/>
    <n v="5"/>
    <s v="May"/>
    <x v="7"/>
    <n v="-0.439453125"/>
    <s v="Q2"/>
    <s v="Sunday"/>
  </r>
  <r>
    <s v="B-25970"/>
    <n v="742"/>
    <n v="198"/>
    <n v="2"/>
    <x v="1"/>
    <x v="2"/>
    <s v="COD"/>
    <d v="2018-01-22T00:00:00"/>
    <x v="96"/>
    <x v="2"/>
    <s v="Mumbai"/>
    <x v="0"/>
    <n v="1"/>
    <s v="Jan"/>
    <x v="2"/>
    <n v="0.26684636118598382"/>
    <s v="Q1"/>
    <s v="Monday"/>
  </r>
  <r>
    <s v="B-26062"/>
    <n v="44"/>
    <n v="-40"/>
    <n v="3"/>
    <x v="2"/>
    <x v="11"/>
    <s v="COD"/>
    <d v="2018-03-15T00:00:00"/>
    <x v="97"/>
    <x v="16"/>
    <s v="Goa"/>
    <x v="0"/>
    <n v="3"/>
    <s v="Mar"/>
    <x v="1"/>
    <n v="-0.90909090909090906"/>
    <s v="Q1"/>
    <s v="Thursday"/>
  </r>
  <r>
    <s v="B-25643"/>
    <n v="1061"/>
    <n v="-36"/>
    <n v="8"/>
    <x v="1"/>
    <x v="2"/>
    <s v="EMI"/>
    <d v="2018-04-29T00:00:00"/>
    <x v="8"/>
    <x v="4"/>
    <s v="Kashmir"/>
    <x v="0"/>
    <n v="4"/>
    <s v="Apr"/>
    <x v="3"/>
    <n v="-3.3930254476908575E-2"/>
    <s v="Q2"/>
    <s v="Sunday"/>
  </r>
  <r>
    <s v="B-25632"/>
    <n v="19"/>
    <n v="-2"/>
    <n v="2"/>
    <x v="2"/>
    <x v="12"/>
    <s v="Debit Card"/>
    <d v="2018-04-25T00:00:00"/>
    <x v="98"/>
    <x v="11"/>
    <s v="Simla"/>
    <x v="0"/>
    <n v="4"/>
    <s v="Apr"/>
    <x v="3"/>
    <n v="-0.10526315789473684"/>
    <s v="Q2"/>
    <s v="Wednesday"/>
  </r>
  <r>
    <s v="B-25821"/>
    <n v="17"/>
    <n v="0"/>
    <n v="1"/>
    <x v="2"/>
    <x v="7"/>
    <s v="COD"/>
    <d v="2018-10-16T00:00:00"/>
    <x v="84"/>
    <x v="17"/>
    <s v="Kolkata"/>
    <x v="0"/>
    <n v="10"/>
    <s v="Oct"/>
    <x v="11"/>
    <n v="0"/>
    <s v="Q4"/>
    <s v="Tuesday"/>
  </r>
  <r>
    <s v="B-25878"/>
    <n v="741"/>
    <n v="267"/>
    <n v="5"/>
    <x v="1"/>
    <x v="2"/>
    <s v="COD"/>
    <d v="2018-11-24T00:00:00"/>
    <x v="99"/>
    <x v="2"/>
    <s v="Mumbai"/>
    <x v="0"/>
    <n v="11"/>
    <s v="Nov"/>
    <x v="4"/>
    <n v="0.36032388663967613"/>
    <s v="Q4"/>
    <s v="Saturday"/>
  </r>
  <r>
    <s v="B-25752"/>
    <n v="735"/>
    <n v="-235"/>
    <n v="6"/>
    <x v="0"/>
    <x v="3"/>
    <s v="COD"/>
    <d v="2018-08-14T00:00:00"/>
    <x v="89"/>
    <x v="0"/>
    <s v="Indore"/>
    <x v="0"/>
    <n v="8"/>
    <s v="Aug"/>
    <x v="6"/>
    <n v="-0.31972789115646261"/>
    <s v="Q3"/>
    <s v="Tuesday"/>
  </r>
  <r>
    <s v="B-25750"/>
    <n v="19"/>
    <n v="-1"/>
    <n v="1"/>
    <x v="2"/>
    <x v="16"/>
    <s v="Debit Card"/>
    <d v="2018-08-14T00:00:00"/>
    <x v="100"/>
    <x v="0"/>
    <s v="Indore"/>
    <x v="0"/>
    <n v="8"/>
    <s v="Aug"/>
    <x v="6"/>
    <n v="-5.2631578947368418E-2"/>
    <s v="Q3"/>
    <s v="Tuesday"/>
  </r>
  <r>
    <s v="B-25657"/>
    <n v="1021"/>
    <n v="-48"/>
    <n v="4"/>
    <x v="0"/>
    <x v="0"/>
    <s v="EMI"/>
    <d v="2018-05-13T00:00:00"/>
    <x v="91"/>
    <x v="0"/>
    <s v="Bhopal"/>
    <x v="0"/>
    <n v="5"/>
    <s v="May"/>
    <x v="7"/>
    <n v="-4.701273261508325E-2"/>
    <s v="Q2"/>
    <s v="Sunday"/>
  </r>
  <r>
    <s v="B-25787"/>
    <n v="556"/>
    <n v="-209"/>
    <n v="7"/>
    <x v="2"/>
    <x v="6"/>
    <s v="COD"/>
    <d v="2018-09-20T00:00:00"/>
    <x v="101"/>
    <x v="4"/>
    <s v="Kashmir"/>
    <x v="0"/>
    <n v="9"/>
    <s v="Sep"/>
    <x v="8"/>
    <n v="-0.37589928057553956"/>
    <s v="Q3"/>
    <s v="Thursday"/>
  </r>
  <r>
    <s v="B-25808"/>
    <n v="63"/>
    <n v="-17"/>
    <n v="6"/>
    <x v="2"/>
    <x v="12"/>
    <s v="COD"/>
    <d v="2018-10-08T00:00:00"/>
    <x v="102"/>
    <x v="12"/>
    <s v="Patna"/>
    <x v="0"/>
    <n v="10"/>
    <s v="Oct"/>
    <x v="11"/>
    <n v="-0.26984126984126983"/>
    <s v="Q4"/>
    <s v="Monday"/>
  </r>
  <r>
    <s v="B-25885"/>
    <n v="734"/>
    <n v="248"/>
    <n v="2"/>
    <x v="1"/>
    <x v="1"/>
    <s v="COD"/>
    <d v="2018-11-28T00:00:00"/>
    <x v="103"/>
    <x v="0"/>
    <s v="Indore"/>
    <x v="0"/>
    <n v="11"/>
    <s v="Nov"/>
    <x v="4"/>
    <n v="0.33787465940054495"/>
    <s v="Q4"/>
    <s v="Wednesday"/>
  </r>
  <r>
    <s v="B-25778"/>
    <n v="933"/>
    <n v="166"/>
    <n v="5"/>
    <x v="2"/>
    <x v="6"/>
    <s v="Credit Card"/>
    <d v="2018-09-11T00:00:00"/>
    <x v="27"/>
    <x v="2"/>
    <s v="Mumbai"/>
    <x v="0"/>
    <n v="9"/>
    <s v="Sep"/>
    <x v="8"/>
    <n v="0.17792068595927116"/>
    <s v="Q3"/>
    <s v="Tuesday"/>
  </r>
  <r>
    <s v="B-25759"/>
    <n v="20"/>
    <n v="-9"/>
    <n v="6"/>
    <x v="2"/>
    <x v="7"/>
    <s v="Debit Card"/>
    <d v="2018-08-23T00:00:00"/>
    <x v="104"/>
    <x v="18"/>
    <s v="Gangtok"/>
    <x v="0"/>
    <n v="8"/>
    <s v="Aug"/>
    <x v="6"/>
    <n v="-0.45"/>
    <s v="Q3"/>
    <s v="Thursday"/>
  </r>
  <r>
    <s v="B-25747"/>
    <n v="877"/>
    <n v="395"/>
    <n v="2"/>
    <x v="1"/>
    <x v="2"/>
    <s v="Credit Card"/>
    <d v="2018-08-11T00:00:00"/>
    <x v="105"/>
    <x v="0"/>
    <s v="Bhopal"/>
    <x v="0"/>
    <n v="8"/>
    <s v="Aug"/>
    <x v="6"/>
    <n v="0.45039908779931587"/>
    <s v="Q3"/>
    <s v="Saturday"/>
  </r>
  <r>
    <s v="B-25878"/>
    <n v="719"/>
    <n v="303"/>
    <n v="6"/>
    <x v="1"/>
    <x v="1"/>
    <s v="COD"/>
    <d v="2018-11-24T00:00:00"/>
    <x v="99"/>
    <x v="2"/>
    <s v="Mumbai"/>
    <x v="0"/>
    <n v="11"/>
    <s v="Nov"/>
    <x v="4"/>
    <n v="0.42141863699582754"/>
    <s v="Q4"/>
    <s v="Saturday"/>
  </r>
  <r>
    <s v="B-25603"/>
    <n v="12"/>
    <n v="1"/>
    <n v="2"/>
    <x v="2"/>
    <x v="7"/>
    <s v="COD"/>
    <d v="2018-04-03T00:00:00"/>
    <x v="106"/>
    <x v="0"/>
    <s v="Bhopal"/>
    <x v="0"/>
    <n v="4"/>
    <s v="Apr"/>
    <x v="3"/>
    <n v="8.3333333333333329E-2"/>
    <s v="Q2"/>
    <s v="Tuesday"/>
  </r>
  <r>
    <s v="B-25691"/>
    <n v="714"/>
    <n v="56"/>
    <n v="4"/>
    <x v="2"/>
    <x v="6"/>
    <s v="COD"/>
    <d v="2018-06-16T00:00:00"/>
    <x v="107"/>
    <x v="2"/>
    <s v="Mumbai"/>
    <x v="0"/>
    <n v="6"/>
    <s v="Jun"/>
    <x v="0"/>
    <n v="7.8431372549019607E-2"/>
    <s v="Q2"/>
    <s v="Saturday"/>
  </r>
  <r>
    <s v="B-25607"/>
    <n v="50"/>
    <n v="-15"/>
    <n v="4"/>
    <x v="2"/>
    <x v="12"/>
    <s v="COD"/>
    <d v="2018-04-06T00:00:00"/>
    <x v="108"/>
    <x v="4"/>
    <s v="Kashmir"/>
    <x v="0"/>
    <n v="4"/>
    <s v="Apr"/>
    <x v="3"/>
    <n v="-0.3"/>
    <s v="Q2"/>
    <s v="Friday"/>
  </r>
  <r>
    <s v="B-25708"/>
    <n v="709"/>
    <n v="-100"/>
    <n v="5"/>
    <x v="0"/>
    <x v="4"/>
    <s v="COD"/>
    <d v="2018-07-01T00:00:00"/>
    <x v="109"/>
    <x v="0"/>
    <s v="Indore"/>
    <x v="0"/>
    <n v="7"/>
    <s v="Jul"/>
    <x v="9"/>
    <n v="-0.14104372355430184"/>
    <s v="Q3"/>
    <s v="Sunday"/>
  </r>
  <r>
    <s v="B-26021"/>
    <n v="21"/>
    <n v="-12"/>
    <n v="3"/>
    <x v="2"/>
    <x v="7"/>
    <s v="Debit Card"/>
    <d v="2018-02-17T00:00:00"/>
    <x v="110"/>
    <x v="10"/>
    <s v="Thiruvananthapuram"/>
    <x v="0"/>
    <n v="2"/>
    <s v="Feb"/>
    <x v="10"/>
    <n v="-0.5714285714285714"/>
    <s v="Q1"/>
    <s v="Saturday"/>
  </r>
  <r>
    <s v="B-25831"/>
    <n v="693"/>
    <n v="254"/>
    <n v="6"/>
    <x v="2"/>
    <x v="6"/>
    <s v="COD"/>
    <d v="2018-10-27T00:00:00"/>
    <x v="62"/>
    <x v="18"/>
    <s v="Gangtok"/>
    <x v="0"/>
    <n v="10"/>
    <s v="Oct"/>
    <x v="11"/>
    <n v="0.36652236652236653"/>
    <s v="Q4"/>
    <s v="Saturday"/>
  </r>
  <r>
    <s v="B-25850"/>
    <n v="24"/>
    <n v="1"/>
    <n v="4"/>
    <x v="2"/>
    <x v="7"/>
    <s v="COD"/>
    <d v="2018-11-05T00:00:00"/>
    <x v="76"/>
    <x v="16"/>
    <s v="Goa"/>
    <x v="0"/>
    <n v="11"/>
    <s v="Nov"/>
    <x v="4"/>
    <n v="4.1666666666666664E-2"/>
    <s v="Q4"/>
    <s v="Monday"/>
  </r>
  <r>
    <s v="B-25670"/>
    <n v="24"/>
    <n v="1"/>
    <n v="2"/>
    <x v="2"/>
    <x v="7"/>
    <s v="UPI"/>
    <d v="2018-05-25T00:00:00"/>
    <x v="111"/>
    <x v="16"/>
    <s v="Goa"/>
    <x v="0"/>
    <n v="5"/>
    <s v="May"/>
    <x v="7"/>
    <n v="4.1666666666666664E-2"/>
    <s v="Q2"/>
    <s v="Friday"/>
  </r>
  <r>
    <s v="B-25852"/>
    <n v="24"/>
    <n v="1"/>
    <n v="2"/>
    <x v="2"/>
    <x v="7"/>
    <s v="COD"/>
    <d v="2018-11-07T00:00:00"/>
    <x v="78"/>
    <x v="9"/>
    <s v="Hyderabad"/>
    <x v="0"/>
    <n v="11"/>
    <s v="Nov"/>
    <x v="4"/>
    <n v="4.1666666666666664E-2"/>
    <s v="Q4"/>
    <s v="Wednesday"/>
  </r>
  <r>
    <s v="B-26029"/>
    <n v="21"/>
    <n v="10"/>
    <n v="1"/>
    <x v="2"/>
    <x v="14"/>
    <s v="Debit Card"/>
    <d v="2018-02-20T00:00:00"/>
    <x v="112"/>
    <x v="7"/>
    <s v="Ahmedabad"/>
    <x v="0"/>
    <n v="2"/>
    <s v="Feb"/>
    <x v="10"/>
    <n v="0.47619047619047616"/>
    <s v="Q1"/>
    <s v="Tuesday"/>
  </r>
  <r>
    <s v="B-25959"/>
    <n v="681"/>
    <n v="259"/>
    <n v="4"/>
    <x v="1"/>
    <x v="1"/>
    <s v="COD"/>
    <d v="2018-01-18T00:00:00"/>
    <x v="113"/>
    <x v="0"/>
    <s v="Indore"/>
    <x v="0"/>
    <n v="1"/>
    <s v="Jan"/>
    <x v="2"/>
    <n v="0.38032305433186492"/>
    <s v="Q1"/>
    <s v="Thursday"/>
  </r>
  <r>
    <s v="B-25676"/>
    <n v="674"/>
    <n v="-187"/>
    <n v="2"/>
    <x v="1"/>
    <x v="10"/>
    <s v="COD"/>
    <d v="2018-06-01T00:00:00"/>
    <x v="114"/>
    <x v="6"/>
    <s v="Jaipur"/>
    <x v="0"/>
    <n v="6"/>
    <s v="Jun"/>
    <x v="0"/>
    <n v="-0.27744807121661719"/>
    <s v="Q2"/>
    <s v="Friday"/>
  </r>
  <r>
    <s v="B-26097"/>
    <n v="671"/>
    <n v="-309"/>
    <n v="5"/>
    <x v="0"/>
    <x v="0"/>
    <s v="COD"/>
    <d v="2018-03-28T00:00:00"/>
    <x v="35"/>
    <x v="3"/>
    <s v="Bangalore"/>
    <x v="0"/>
    <n v="3"/>
    <s v="Mar"/>
    <x v="1"/>
    <n v="-0.46050670640834573"/>
    <s v="Q1"/>
    <s v="Wednesday"/>
  </r>
  <r>
    <s v="B-25888"/>
    <n v="646"/>
    <n v="-213"/>
    <n v="3"/>
    <x v="0"/>
    <x v="0"/>
    <s v="COD"/>
    <d v="2018-12-02T00:00:00"/>
    <x v="115"/>
    <x v="13"/>
    <s v="Amritsar"/>
    <x v="0"/>
    <n v="12"/>
    <s v="Dec"/>
    <x v="5"/>
    <n v="-0.32972136222910214"/>
    <s v="Q4"/>
    <s v="Sunday"/>
  </r>
  <r>
    <s v="B-25911"/>
    <n v="40"/>
    <n v="15"/>
    <n v="1"/>
    <x v="2"/>
    <x v="8"/>
    <s v="COD"/>
    <d v="2018-12-15T00:00:00"/>
    <x v="116"/>
    <x v="0"/>
    <s v="Bhopal"/>
    <x v="0"/>
    <n v="12"/>
    <s v="Dec"/>
    <x v="5"/>
    <n v="0.375"/>
    <s v="Q4"/>
    <s v="Saturday"/>
  </r>
  <r>
    <s v="B-25662"/>
    <n v="24"/>
    <n v="-2"/>
    <n v="2"/>
    <x v="2"/>
    <x v="14"/>
    <s v="COD"/>
    <d v="2018-05-17T00:00:00"/>
    <x v="117"/>
    <x v="2"/>
    <s v="Mumbai"/>
    <x v="0"/>
    <n v="5"/>
    <s v="May"/>
    <x v="7"/>
    <n v="-8.3333333333333329E-2"/>
    <s v="Q2"/>
    <s v="Thursday"/>
  </r>
  <r>
    <s v="B-25950"/>
    <n v="644"/>
    <n v="167"/>
    <n v="2"/>
    <x v="0"/>
    <x v="3"/>
    <s v="COD"/>
    <d v="2018-01-13T00:00:00"/>
    <x v="21"/>
    <x v="0"/>
    <s v="Indore"/>
    <x v="0"/>
    <n v="1"/>
    <s v="Jan"/>
    <x v="2"/>
    <n v="0.25931677018633542"/>
    <s v="Q1"/>
    <s v="Saturday"/>
  </r>
  <r>
    <s v="B-25847"/>
    <n v="643"/>
    <n v="225"/>
    <n v="2"/>
    <x v="0"/>
    <x v="3"/>
    <s v="COD"/>
    <d v="2018-11-03T00:00:00"/>
    <x v="118"/>
    <x v="15"/>
    <s v="Chandigarh"/>
    <x v="0"/>
    <n v="11"/>
    <s v="Nov"/>
    <x v="4"/>
    <n v="0.34992223950233281"/>
    <s v="Q4"/>
    <s v="Saturday"/>
  </r>
  <r>
    <s v="B-25796"/>
    <n v="632"/>
    <n v="-316"/>
    <n v="6"/>
    <x v="2"/>
    <x v="6"/>
    <s v="COD"/>
    <d v="2018-09-24T00:00:00"/>
    <x v="119"/>
    <x v="2"/>
    <s v="Mumbai"/>
    <x v="0"/>
    <n v="9"/>
    <s v="Sep"/>
    <x v="8"/>
    <n v="-0.5"/>
    <s v="Q3"/>
    <s v="Monday"/>
  </r>
  <r>
    <s v="B-25693"/>
    <n v="632"/>
    <n v="316"/>
    <n v="6"/>
    <x v="2"/>
    <x v="6"/>
    <s v="COD"/>
    <d v="2018-06-18T00:00:00"/>
    <x v="77"/>
    <x v="0"/>
    <s v="Bhopal"/>
    <x v="0"/>
    <n v="6"/>
    <s v="Jun"/>
    <x v="0"/>
    <n v="0.5"/>
    <s v="Q2"/>
    <s v="Monday"/>
  </r>
  <r>
    <s v="B-25993"/>
    <n v="610"/>
    <n v="208"/>
    <n v="3"/>
    <x v="0"/>
    <x v="3"/>
    <s v="COD"/>
    <d v="2018-02-03T00:00:00"/>
    <x v="14"/>
    <x v="8"/>
    <s v="Delhi"/>
    <x v="0"/>
    <n v="2"/>
    <s v="Feb"/>
    <x v="10"/>
    <n v="0.34098360655737703"/>
    <s v="Q1"/>
    <s v="Saturday"/>
  </r>
  <r>
    <s v="B-26052"/>
    <n v="78"/>
    <n v="-28"/>
    <n v="6"/>
    <x v="2"/>
    <x v="8"/>
    <s v="UPI"/>
    <d v="2018-03-08T00:00:00"/>
    <x v="84"/>
    <x v="3"/>
    <s v="Bangalore"/>
    <x v="0"/>
    <n v="3"/>
    <s v="Mar"/>
    <x v="1"/>
    <n v="-0.35897435897435898"/>
    <s v="Q1"/>
    <s v="Thursday"/>
  </r>
  <r>
    <s v="B-25930"/>
    <n v="595"/>
    <n v="119"/>
    <n v="4"/>
    <x v="1"/>
    <x v="2"/>
    <s v="COD"/>
    <d v="2018-01-03T00:00:00"/>
    <x v="120"/>
    <x v="13"/>
    <s v="Chandigarh"/>
    <x v="0"/>
    <n v="1"/>
    <s v="Jan"/>
    <x v="2"/>
    <n v="0.2"/>
    <s v="Q1"/>
    <s v="Wednesday"/>
  </r>
  <r>
    <s v="B-25785"/>
    <n v="595"/>
    <n v="292"/>
    <n v="3"/>
    <x v="2"/>
    <x v="6"/>
    <s v="COD"/>
    <d v="2018-09-15T00:00:00"/>
    <x v="121"/>
    <x v="17"/>
    <s v="Kolkata"/>
    <x v="0"/>
    <n v="9"/>
    <s v="Sep"/>
    <x v="8"/>
    <n v="0.49075630252100838"/>
    <s v="Q3"/>
    <s v="Saturday"/>
  </r>
  <r>
    <s v="B-26093"/>
    <n v="852"/>
    <n v="51"/>
    <n v="5"/>
    <x v="1"/>
    <x v="2"/>
    <s v="Credit Card"/>
    <d v="2018-03-27T00:00:00"/>
    <x v="3"/>
    <x v="2"/>
    <s v="Pune"/>
    <x v="0"/>
    <n v="3"/>
    <s v="Mar"/>
    <x v="1"/>
    <n v="5.9859154929577461E-2"/>
    <s v="Q1"/>
    <s v="Tuesday"/>
  </r>
  <r>
    <s v="B-26053"/>
    <n v="594"/>
    <n v="89"/>
    <n v="3"/>
    <x v="1"/>
    <x v="2"/>
    <s v="COD"/>
    <d v="2018-03-09T00:00:00"/>
    <x v="8"/>
    <x v="4"/>
    <s v="Kashmir"/>
    <x v="0"/>
    <n v="3"/>
    <s v="Mar"/>
    <x v="1"/>
    <n v="0.14983164983164984"/>
    <s v="Q1"/>
    <s v="Friday"/>
  </r>
  <r>
    <s v="B-26019"/>
    <n v="585"/>
    <n v="175"/>
    <n v="13"/>
    <x v="2"/>
    <x v="14"/>
    <s v="COD"/>
    <d v="2018-02-15T00:00:00"/>
    <x v="122"/>
    <x v="1"/>
    <s v="Lucknow"/>
    <x v="0"/>
    <n v="2"/>
    <s v="Feb"/>
    <x v="10"/>
    <n v="0.29914529914529914"/>
    <s v="Q1"/>
    <s v="Thursday"/>
  </r>
  <r>
    <s v="B-26070"/>
    <n v="582"/>
    <n v="262"/>
    <n v="5"/>
    <x v="1"/>
    <x v="15"/>
    <s v="COD"/>
    <d v="2018-03-18T00:00:00"/>
    <x v="21"/>
    <x v="3"/>
    <s v="Bangalore"/>
    <x v="0"/>
    <n v="3"/>
    <s v="Mar"/>
    <x v="1"/>
    <n v="0.45017182130584193"/>
    <s v="Q1"/>
    <s v="Sunday"/>
  </r>
  <r>
    <s v="B-25870"/>
    <n v="845"/>
    <n v="84"/>
    <n v="7"/>
    <x v="2"/>
    <x v="6"/>
    <s v="Credit Card"/>
    <d v="2018-11-20T00:00:00"/>
    <x v="123"/>
    <x v="9"/>
    <s v="Hyderabad"/>
    <x v="0"/>
    <n v="11"/>
    <s v="Nov"/>
    <x v="4"/>
    <n v="9.9408284023668636E-2"/>
    <s v="Q4"/>
    <s v="Tuesday"/>
  </r>
  <r>
    <s v="B-25855"/>
    <n v="829"/>
    <n v="19"/>
    <n v="4"/>
    <x v="0"/>
    <x v="3"/>
    <s v="Credit Card"/>
    <d v="2018-11-08T00:00:00"/>
    <x v="124"/>
    <x v="0"/>
    <s v="Bhopal"/>
    <x v="0"/>
    <n v="11"/>
    <s v="Nov"/>
    <x v="4"/>
    <n v="2.2919179734620022E-2"/>
    <s v="Q4"/>
    <s v="Thursday"/>
  </r>
  <r>
    <s v="B-25602"/>
    <n v="561"/>
    <n v="212"/>
    <n v="3"/>
    <x v="2"/>
    <x v="6"/>
    <s v="COD"/>
    <d v="2018-04-01T00:00:00"/>
    <x v="4"/>
    <x v="2"/>
    <s v="Pune"/>
    <x v="0"/>
    <n v="4"/>
    <s v="Apr"/>
    <x v="3"/>
    <n v="0.37789661319073081"/>
    <s v="Q2"/>
    <s v="Sunday"/>
  </r>
  <r>
    <s v="B-25728"/>
    <n v="771"/>
    <n v="-424"/>
    <n v="2"/>
    <x v="0"/>
    <x v="4"/>
    <s v="Credit Card"/>
    <d v="2018-07-22T00:00:00"/>
    <x v="70"/>
    <x v="2"/>
    <s v="Pune"/>
    <x v="0"/>
    <n v="7"/>
    <s v="Jul"/>
    <x v="9"/>
    <n v="-0.54993514915693908"/>
    <s v="Q3"/>
    <s v="Sunday"/>
  </r>
  <r>
    <s v="B-25803"/>
    <n v="765"/>
    <n v="8"/>
    <n v="6"/>
    <x v="2"/>
    <x v="6"/>
    <s v="EMI"/>
    <d v="2018-10-05T00:00:00"/>
    <x v="125"/>
    <x v="0"/>
    <s v="Indore"/>
    <x v="0"/>
    <n v="10"/>
    <s v="Oct"/>
    <x v="11"/>
    <n v="1.045751633986928E-2"/>
    <s v="Q4"/>
    <s v="Friday"/>
  </r>
  <r>
    <s v="B-25996"/>
    <n v="31"/>
    <n v="2"/>
    <n v="2"/>
    <x v="2"/>
    <x v="7"/>
    <s v="COD"/>
    <d v="2018-02-04T00:00:00"/>
    <x v="126"/>
    <x v="8"/>
    <s v="Delhi"/>
    <x v="0"/>
    <n v="2"/>
    <s v="Feb"/>
    <x v="10"/>
    <n v="6.4516129032258063E-2"/>
    <s v="Q1"/>
    <s v="Sunday"/>
  </r>
  <r>
    <s v="B-26078"/>
    <n v="557"/>
    <n v="-111"/>
    <n v="2"/>
    <x v="0"/>
    <x v="0"/>
    <s v="COD"/>
    <d v="2018-03-22T00:00:00"/>
    <x v="127"/>
    <x v="17"/>
    <s v="Kolkata"/>
    <x v="0"/>
    <n v="3"/>
    <s v="Mar"/>
    <x v="1"/>
    <n v="-0.1992818671454219"/>
    <s v="Q1"/>
    <s v="Thursday"/>
  </r>
  <r>
    <s v="B-25803"/>
    <n v="757"/>
    <n v="371"/>
    <n v="2"/>
    <x v="0"/>
    <x v="3"/>
    <s v="Credit Card"/>
    <d v="2018-10-05T00:00:00"/>
    <x v="125"/>
    <x v="0"/>
    <s v="Indore"/>
    <x v="0"/>
    <n v="10"/>
    <s v="Oct"/>
    <x v="11"/>
    <n v="0.49009247027741082"/>
    <s v="Q4"/>
    <s v="Friday"/>
  </r>
  <r>
    <s v="B-25682"/>
    <n v="545"/>
    <n v="-73"/>
    <n v="11"/>
    <x v="0"/>
    <x v="4"/>
    <s v="COD"/>
    <d v="2018-06-07T00:00:00"/>
    <x v="93"/>
    <x v="12"/>
    <s v="Patna"/>
    <x v="0"/>
    <n v="6"/>
    <s v="Jun"/>
    <x v="0"/>
    <n v="-0.13394495412844037"/>
    <s v="Q2"/>
    <s v="Thursday"/>
  </r>
  <r>
    <s v="B-25749"/>
    <n v="1052"/>
    <n v="-82"/>
    <n v="3"/>
    <x v="1"/>
    <x v="2"/>
    <s v="UPI"/>
    <d v="2018-08-13T00:00:00"/>
    <x v="121"/>
    <x v="2"/>
    <s v="Mumbai"/>
    <x v="0"/>
    <n v="8"/>
    <s v="Aug"/>
    <x v="6"/>
    <n v="-7.7946768060836502E-2"/>
    <s v="Q3"/>
    <s v="Monday"/>
  </r>
  <r>
    <s v="B-25962"/>
    <n v="544"/>
    <n v="-152"/>
    <n v="3"/>
    <x v="1"/>
    <x v="2"/>
    <s v="COD"/>
    <d v="2018-01-19T00:00:00"/>
    <x v="128"/>
    <x v="2"/>
    <s v="Pune"/>
    <x v="0"/>
    <n v="1"/>
    <s v="Jan"/>
    <x v="2"/>
    <n v="-0.27941176470588236"/>
    <s v="Q1"/>
    <s v="Friday"/>
  </r>
  <r>
    <s v="B-25899"/>
    <n v="22"/>
    <n v="9"/>
    <n v="2"/>
    <x v="2"/>
    <x v="12"/>
    <s v="Debit Card"/>
    <d v="2018-12-08T00:00:00"/>
    <x v="129"/>
    <x v="1"/>
    <s v="Prayagraj"/>
    <x v="0"/>
    <n v="12"/>
    <s v="Dec"/>
    <x v="5"/>
    <n v="0.40909090909090912"/>
    <s v="Q4"/>
    <s v="Saturday"/>
  </r>
  <r>
    <s v="B-25845"/>
    <n v="757"/>
    <n v="371"/>
    <n v="2"/>
    <x v="0"/>
    <x v="3"/>
    <s v="Credit Card"/>
    <d v="2018-11-03T00:00:00"/>
    <x v="23"/>
    <x v="10"/>
    <s v="Thiruvananthapuram"/>
    <x v="0"/>
    <n v="11"/>
    <s v="Nov"/>
    <x v="4"/>
    <n v="0.49009247027741082"/>
    <s v="Q4"/>
    <s v="Saturday"/>
  </r>
  <r>
    <s v="B-25951"/>
    <n v="742"/>
    <n v="198"/>
    <n v="2"/>
    <x v="1"/>
    <x v="2"/>
    <s v="Credit Card"/>
    <d v="2018-01-13T00:00:00"/>
    <x v="130"/>
    <x v="17"/>
    <s v="Kolkata"/>
    <x v="0"/>
    <n v="1"/>
    <s v="Jan"/>
    <x v="2"/>
    <n v="0.26684636118598382"/>
    <s v="Q1"/>
    <s v="Saturday"/>
  </r>
  <r>
    <s v="B-25828"/>
    <n v="537"/>
    <n v="107"/>
    <n v="3"/>
    <x v="2"/>
    <x v="6"/>
    <s v="COD"/>
    <d v="2018-10-24T00:00:00"/>
    <x v="131"/>
    <x v="13"/>
    <s v="Chandigarh"/>
    <x v="0"/>
    <n v="10"/>
    <s v="Oct"/>
    <x v="11"/>
    <n v="0.19925512104283055"/>
    <s v="Q4"/>
    <s v="Wednesday"/>
  </r>
  <r>
    <s v="B-25803"/>
    <n v="536"/>
    <n v="91"/>
    <n v="1"/>
    <x v="2"/>
    <x v="5"/>
    <s v="COD"/>
    <d v="2018-10-05T00:00:00"/>
    <x v="125"/>
    <x v="0"/>
    <s v="Indore"/>
    <x v="0"/>
    <n v="10"/>
    <s v="Oct"/>
    <x v="11"/>
    <n v="0.16977611940298507"/>
    <s v="Q4"/>
    <s v="Friday"/>
  </r>
  <r>
    <s v="B-25656"/>
    <n v="6"/>
    <n v="3"/>
    <n v="1"/>
    <x v="2"/>
    <x v="7"/>
    <s v="COD"/>
    <d v="2018-05-11T00:00:00"/>
    <x v="85"/>
    <x v="2"/>
    <s v="Pune"/>
    <x v="0"/>
    <n v="5"/>
    <s v="May"/>
    <x v="7"/>
    <n v="0.5"/>
    <s v="Q2"/>
    <s v="Friday"/>
  </r>
  <r>
    <s v="B-25681"/>
    <n v="523"/>
    <n v="204"/>
    <n v="7"/>
    <x v="2"/>
    <x v="5"/>
    <s v="COD"/>
    <d v="2018-06-04T00:00:00"/>
    <x v="0"/>
    <x v="0"/>
    <s v="Indore"/>
    <x v="0"/>
    <n v="6"/>
    <s v="Jun"/>
    <x v="0"/>
    <n v="0.39005736137667302"/>
    <s v="Q2"/>
    <s v="Monday"/>
  </r>
  <r>
    <s v="B-25658"/>
    <n v="27"/>
    <n v="9"/>
    <n v="2"/>
    <x v="2"/>
    <x v="14"/>
    <s v="UPI"/>
    <d v="2018-05-14T00:00:00"/>
    <x v="132"/>
    <x v="6"/>
    <s v="Jaipur"/>
    <x v="0"/>
    <n v="5"/>
    <s v="May"/>
    <x v="7"/>
    <n v="0.33333333333333331"/>
    <s v="Q2"/>
    <s v="Monday"/>
  </r>
  <r>
    <s v="B-25698"/>
    <n v="516"/>
    <n v="392"/>
    <n v="8"/>
    <x v="1"/>
    <x v="1"/>
    <s v="COD"/>
    <d v="2018-06-23T00:00:00"/>
    <x v="133"/>
    <x v="14"/>
    <s v="Chennai"/>
    <x v="0"/>
    <n v="6"/>
    <s v="Jun"/>
    <x v="0"/>
    <n v="0.75968992248062017"/>
    <s v="Q2"/>
    <s v="Saturday"/>
  </r>
  <r>
    <s v="B-25832"/>
    <n v="504"/>
    <n v="116"/>
    <n v="3"/>
    <x v="1"/>
    <x v="2"/>
    <s v="COD"/>
    <d v="2018-10-28T00:00:00"/>
    <x v="134"/>
    <x v="2"/>
    <s v="Mumbai"/>
    <x v="0"/>
    <n v="10"/>
    <s v="Oct"/>
    <x v="11"/>
    <n v="0.23015873015873015"/>
    <s v="Q4"/>
    <s v="Sunday"/>
  </r>
  <r>
    <s v="B-25886"/>
    <n v="502"/>
    <n v="84"/>
    <n v="4"/>
    <x v="0"/>
    <x v="4"/>
    <s v="COD"/>
    <d v="2018-11-28T00:00:00"/>
    <x v="135"/>
    <x v="6"/>
    <s v="Udaipur"/>
    <x v="0"/>
    <n v="11"/>
    <s v="Nov"/>
    <x v="4"/>
    <n v="0.16733067729083664"/>
    <s v="Q4"/>
    <s v="Wednesday"/>
  </r>
  <r>
    <s v="B-25897"/>
    <n v="734"/>
    <n v="213"/>
    <n v="6"/>
    <x v="0"/>
    <x v="0"/>
    <s v="Credit Card"/>
    <d v="2018-12-06T00:00:00"/>
    <x v="115"/>
    <x v="0"/>
    <s v="Indore"/>
    <x v="0"/>
    <n v="12"/>
    <s v="Dec"/>
    <x v="5"/>
    <n v="0.2901907356948229"/>
    <s v="Q4"/>
    <s v="Thursday"/>
  </r>
  <r>
    <s v="B-25873"/>
    <n v="42"/>
    <n v="12"/>
    <n v="2"/>
    <x v="2"/>
    <x v="8"/>
    <s v="COD"/>
    <d v="2018-11-23T00:00:00"/>
    <x v="136"/>
    <x v="0"/>
    <s v="Indore"/>
    <x v="0"/>
    <n v="11"/>
    <s v="Nov"/>
    <x v="4"/>
    <n v="0.2857142857142857"/>
    <s v="Q4"/>
    <s v="Friday"/>
  </r>
  <r>
    <s v="B-25858"/>
    <n v="29"/>
    <n v="11"/>
    <n v="4"/>
    <x v="2"/>
    <x v="9"/>
    <s v="COD"/>
    <d v="2018-11-13T00:00:00"/>
    <x v="137"/>
    <x v="2"/>
    <s v="Mumbai"/>
    <x v="0"/>
    <n v="11"/>
    <s v="Nov"/>
    <x v="4"/>
    <n v="0.37931034482758619"/>
    <s v="Q4"/>
    <s v="Tuesday"/>
  </r>
  <r>
    <s v="B-25867"/>
    <n v="240"/>
    <n v="12"/>
    <n v="6"/>
    <x v="2"/>
    <x v="8"/>
    <s v="UPI"/>
    <d v="2018-11-17T00:00:00"/>
    <x v="138"/>
    <x v="18"/>
    <s v="Gangtok"/>
    <x v="0"/>
    <n v="11"/>
    <s v="Nov"/>
    <x v="4"/>
    <n v="0.05"/>
    <s v="Q4"/>
    <s v="Saturday"/>
  </r>
  <r>
    <s v="B-25633"/>
    <n v="496"/>
    <n v="-79"/>
    <n v="2"/>
    <x v="2"/>
    <x v="5"/>
    <s v="COD"/>
    <d v="2018-04-26T00:00:00"/>
    <x v="139"/>
    <x v="18"/>
    <s v="Gangtok"/>
    <x v="0"/>
    <n v="4"/>
    <s v="Apr"/>
    <x v="3"/>
    <n v="-0.15927419354838709"/>
    <s v="Q2"/>
    <s v="Thursday"/>
  </r>
  <r>
    <s v="B-25609"/>
    <n v="485"/>
    <n v="29"/>
    <n v="4"/>
    <x v="0"/>
    <x v="0"/>
    <s v="COD"/>
    <d v="2018-04-09T00:00:00"/>
    <x v="122"/>
    <x v="1"/>
    <s v="Lucknow"/>
    <x v="0"/>
    <n v="4"/>
    <s v="Apr"/>
    <x v="3"/>
    <n v="5.9793814432989693E-2"/>
    <s v="Q2"/>
    <s v="Monday"/>
  </r>
  <r>
    <s v="B-25896"/>
    <n v="31"/>
    <n v="-11"/>
    <n v="3"/>
    <x v="2"/>
    <x v="9"/>
    <s v="UPI"/>
    <d v="2018-12-05T00:00:00"/>
    <x v="140"/>
    <x v="2"/>
    <s v="Mumbai"/>
    <x v="0"/>
    <n v="12"/>
    <s v="Dec"/>
    <x v="5"/>
    <n v="-0.35483870967741937"/>
    <s v="Q4"/>
    <s v="Wednesday"/>
  </r>
  <r>
    <s v="B-26000"/>
    <n v="676"/>
    <n v="151"/>
    <n v="3"/>
    <x v="0"/>
    <x v="3"/>
    <s v="Credit Card"/>
    <d v="2018-02-06T00:00:00"/>
    <x v="141"/>
    <x v="8"/>
    <s v="Delhi"/>
    <x v="0"/>
    <n v="2"/>
    <s v="Feb"/>
    <x v="10"/>
    <n v="0.22337278106508876"/>
    <s v="Q1"/>
    <s v="Tuesday"/>
  </r>
  <r>
    <s v="B-25959"/>
    <n v="23"/>
    <n v="8"/>
    <n v="2"/>
    <x v="2"/>
    <x v="7"/>
    <s v="Debit Card"/>
    <d v="2018-01-18T00:00:00"/>
    <x v="113"/>
    <x v="0"/>
    <s v="Indore"/>
    <x v="0"/>
    <n v="1"/>
    <s v="Jan"/>
    <x v="2"/>
    <n v="0.34782608695652173"/>
    <s v="Q1"/>
    <s v="Thursday"/>
  </r>
  <r>
    <s v="B-25940"/>
    <n v="13"/>
    <n v="3"/>
    <n v="2"/>
    <x v="2"/>
    <x v="7"/>
    <s v="COD"/>
    <d v="2018-01-06T00:00:00"/>
    <x v="142"/>
    <x v="16"/>
    <s v="Goa"/>
    <x v="0"/>
    <n v="1"/>
    <s v="Jan"/>
    <x v="2"/>
    <n v="0.23076923076923078"/>
    <s v="Q1"/>
    <s v="Saturday"/>
  </r>
  <r>
    <s v="B-26087"/>
    <n v="180"/>
    <n v="0"/>
    <n v="8"/>
    <x v="2"/>
    <x v="11"/>
    <s v="COD"/>
    <d v="2018-03-26T00:00:00"/>
    <x v="143"/>
    <x v="11"/>
    <s v="Simla"/>
    <x v="0"/>
    <n v="3"/>
    <s v="Mar"/>
    <x v="1"/>
    <n v="0"/>
    <s v="Q1"/>
    <s v="Monday"/>
  </r>
  <r>
    <s v="B-26055"/>
    <n v="671"/>
    <n v="114"/>
    <n v="9"/>
    <x v="0"/>
    <x v="4"/>
    <s v="Credit Card"/>
    <d v="2018-03-10T00:00:00"/>
    <x v="1"/>
    <x v="1"/>
    <s v="Mathura"/>
    <x v="0"/>
    <n v="3"/>
    <s v="Mar"/>
    <x v="1"/>
    <n v="0.16989567809239942"/>
    <s v="Q1"/>
    <s v="Saturday"/>
  </r>
  <r>
    <s v="B-25980"/>
    <n v="22"/>
    <n v="11"/>
    <n v="3"/>
    <x v="2"/>
    <x v="8"/>
    <s v="COD"/>
    <d v="2018-01-27T00:00:00"/>
    <x v="92"/>
    <x v="6"/>
    <s v="Udaipur"/>
    <x v="0"/>
    <n v="1"/>
    <s v="Jan"/>
    <x v="2"/>
    <n v="0.5"/>
    <s v="Q1"/>
    <s v="Saturday"/>
  </r>
  <r>
    <s v="B-25653"/>
    <n v="668"/>
    <n v="-31"/>
    <n v="3"/>
    <x v="0"/>
    <x v="3"/>
    <s v="Credit Card"/>
    <d v="2018-05-08T00:00:00"/>
    <x v="80"/>
    <x v="5"/>
    <s v="Kohima"/>
    <x v="0"/>
    <n v="5"/>
    <s v="May"/>
    <x v="7"/>
    <n v="-4.6407185628742513E-2"/>
    <s v="Q2"/>
    <s v="Tuesday"/>
  </r>
  <r>
    <s v="B-26052"/>
    <n v="145"/>
    <n v="0"/>
    <n v="3"/>
    <x v="2"/>
    <x v="6"/>
    <s v="UPI"/>
    <d v="2018-03-08T00:00:00"/>
    <x v="84"/>
    <x v="3"/>
    <s v="Bangalore"/>
    <x v="0"/>
    <n v="3"/>
    <s v="Mar"/>
    <x v="1"/>
    <n v="0"/>
    <s v="Q1"/>
    <s v="Thursday"/>
  </r>
  <r>
    <s v="B-25877"/>
    <n v="24"/>
    <n v="8"/>
    <n v="2"/>
    <x v="2"/>
    <x v="9"/>
    <s v="Debit Card"/>
    <d v="2018-11-24T00:00:00"/>
    <x v="144"/>
    <x v="7"/>
    <s v="Surat"/>
    <x v="0"/>
    <n v="11"/>
    <s v="Nov"/>
    <x v="4"/>
    <n v="0.33333333333333331"/>
    <s v="Q4"/>
    <s v="Saturday"/>
  </r>
  <r>
    <s v="B-25608"/>
    <n v="476"/>
    <n v="0"/>
    <n v="3"/>
    <x v="1"/>
    <x v="1"/>
    <s v="COD"/>
    <d v="2018-04-08T00:00:00"/>
    <x v="55"/>
    <x v="14"/>
    <s v="Chennai"/>
    <x v="0"/>
    <n v="4"/>
    <s v="Apr"/>
    <x v="3"/>
    <n v="0"/>
    <s v="Q2"/>
    <s v="Sunday"/>
  </r>
  <r>
    <s v="B-25897"/>
    <n v="24"/>
    <n v="11"/>
    <n v="5"/>
    <x v="2"/>
    <x v="7"/>
    <s v="Debit Card"/>
    <d v="2018-12-06T00:00:00"/>
    <x v="115"/>
    <x v="0"/>
    <s v="Indore"/>
    <x v="0"/>
    <n v="12"/>
    <s v="Dec"/>
    <x v="5"/>
    <n v="0.45833333333333331"/>
    <s v="Q4"/>
    <s v="Thursday"/>
  </r>
  <r>
    <s v="B-25881"/>
    <n v="37"/>
    <n v="3"/>
    <n v="3"/>
    <x v="2"/>
    <x v="7"/>
    <s v="COD"/>
    <d v="2018-11-25T00:00:00"/>
    <x v="5"/>
    <x v="1"/>
    <s v="Mathura"/>
    <x v="0"/>
    <n v="11"/>
    <s v="Nov"/>
    <x v="4"/>
    <n v="8.1081081081081086E-2"/>
    <s v="Q4"/>
    <s v="Sunday"/>
  </r>
  <r>
    <s v="B-25905"/>
    <n v="152"/>
    <n v="50"/>
    <n v="6"/>
    <x v="2"/>
    <x v="11"/>
    <s v="UPI"/>
    <d v="2018-12-11T00:00:00"/>
    <x v="145"/>
    <x v="8"/>
    <s v="Delhi"/>
    <x v="0"/>
    <n v="12"/>
    <s v="Dec"/>
    <x v="5"/>
    <n v="0.32894736842105265"/>
    <s v="Q4"/>
    <s v="Tuesday"/>
  </r>
  <r>
    <s v="B-25818"/>
    <n v="32"/>
    <n v="11"/>
    <n v="2"/>
    <x v="2"/>
    <x v="12"/>
    <s v="UPI"/>
    <d v="2018-10-14T00:00:00"/>
    <x v="146"/>
    <x v="0"/>
    <s v="Indore"/>
    <x v="0"/>
    <n v="10"/>
    <s v="Oct"/>
    <x v="11"/>
    <n v="0.34375"/>
    <s v="Q4"/>
    <s v="Sunday"/>
  </r>
  <r>
    <s v="B-25835"/>
    <n v="52"/>
    <n v="11"/>
    <n v="5"/>
    <x v="2"/>
    <x v="12"/>
    <s v="COD"/>
    <d v="2018-10-29T00:00:00"/>
    <x v="147"/>
    <x v="7"/>
    <s v="Ahmedabad"/>
    <x v="0"/>
    <n v="10"/>
    <s v="Oct"/>
    <x v="11"/>
    <n v="0.21153846153846154"/>
    <s v="Q4"/>
    <s v="Monday"/>
  </r>
  <r>
    <s v="B-26081"/>
    <n v="24"/>
    <n v="11"/>
    <n v="3"/>
    <x v="2"/>
    <x v="7"/>
    <s v="Debit Card"/>
    <d v="2018-03-22T00:00:00"/>
    <x v="55"/>
    <x v="14"/>
    <s v="Chennai"/>
    <x v="0"/>
    <n v="3"/>
    <s v="Mar"/>
    <x v="1"/>
    <n v="0.45833333333333331"/>
    <s v="Q1"/>
    <s v="Thursday"/>
  </r>
  <r>
    <s v="B-25730"/>
    <n v="473"/>
    <n v="42"/>
    <n v="4"/>
    <x v="1"/>
    <x v="1"/>
    <s v="COD"/>
    <d v="2018-07-22T00:00:00"/>
    <x v="83"/>
    <x v="6"/>
    <s v="Jaipur"/>
    <x v="0"/>
    <n v="7"/>
    <s v="Jul"/>
    <x v="9"/>
    <n v="8.8794926004228336E-2"/>
    <s v="Q3"/>
    <s v="Sunday"/>
  </r>
  <r>
    <s v="B-25837"/>
    <n v="263"/>
    <n v="50"/>
    <n v="5"/>
    <x v="2"/>
    <x v="11"/>
    <s v="COD"/>
    <d v="2018-10-29T00:00:00"/>
    <x v="148"/>
    <x v="2"/>
    <s v="Mumbai"/>
    <x v="0"/>
    <n v="10"/>
    <s v="Oct"/>
    <x v="11"/>
    <n v="0.19011406844106463"/>
    <s v="Q4"/>
    <s v="Monday"/>
  </r>
  <r>
    <s v="B-25893"/>
    <n v="61"/>
    <n v="11"/>
    <n v="3"/>
    <x v="2"/>
    <x v="8"/>
    <s v="COD"/>
    <d v="2018-12-04T00:00:00"/>
    <x v="4"/>
    <x v="1"/>
    <s v="Mathura"/>
    <x v="0"/>
    <n v="12"/>
    <s v="Dec"/>
    <x v="5"/>
    <n v="0.18032786885245902"/>
    <s v="Q4"/>
    <s v="Tuesday"/>
  </r>
  <r>
    <s v="B-25689"/>
    <n v="469"/>
    <n v="-459"/>
    <n v="3"/>
    <x v="0"/>
    <x v="0"/>
    <s v="COD"/>
    <d v="2018-06-14T00:00:00"/>
    <x v="149"/>
    <x v="2"/>
    <s v="Mumbai"/>
    <x v="0"/>
    <n v="6"/>
    <s v="Jun"/>
    <x v="0"/>
    <n v="-0.97867803837953093"/>
    <s v="Q2"/>
    <s v="Thursday"/>
  </r>
  <r>
    <s v="B-26028"/>
    <n v="1272"/>
    <n v="547"/>
    <n v="2"/>
    <x v="0"/>
    <x v="4"/>
    <s v="COD"/>
    <d v="2018-02-20T00:00:00"/>
    <x v="38"/>
    <x v="9"/>
    <s v="Hyderabad"/>
    <x v="0"/>
    <n v="2"/>
    <s v="Feb"/>
    <x v="10"/>
    <n v="0.43003144654088049"/>
    <s v="Q1"/>
    <s v="Tuesday"/>
  </r>
  <r>
    <s v="B-26081"/>
    <n v="169"/>
    <n v="0"/>
    <n v="3"/>
    <x v="0"/>
    <x v="13"/>
    <s v="COD"/>
    <d v="2018-03-22T00:00:00"/>
    <x v="55"/>
    <x v="14"/>
    <s v="Chennai"/>
    <x v="0"/>
    <n v="3"/>
    <s v="Mar"/>
    <x v="1"/>
    <n v="0"/>
    <s v="Q1"/>
    <s v="Thursday"/>
  </r>
  <r>
    <s v="B-25903"/>
    <n v="25"/>
    <n v="11"/>
    <n v="3"/>
    <x v="2"/>
    <x v="12"/>
    <s v="Debit Card"/>
    <d v="2018-12-10T00:00:00"/>
    <x v="94"/>
    <x v="0"/>
    <s v="Indore"/>
    <x v="0"/>
    <n v="12"/>
    <s v="Dec"/>
    <x v="5"/>
    <n v="0.44"/>
    <s v="Q4"/>
    <s v="Monday"/>
  </r>
  <r>
    <s v="B-25651"/>
    <n v="457"/>
    <n v="-41"/>
    <n v="4"/>
    <x v="2"/>
    <x v="6"/>
    <s v="COD"/>
    <d v="2018-05-07T00:00:00"/>
    <x v="71"/>
    <x v="0"/>
    <s v="Indore"/>
    <x v="0"/>
    <n v="5"/>
    <s v="May"/>
    <x v="7"/>
    <n v="-8.9715536105032828E-2"/>
    <s v="Q2"/>
    <s v="Monday"/>
  </r>
  <r>
    <s v="B-25903"/>
    <n v="455"/>
    <n v="77"/>
    <n v="8"/>
    <x v="0"/>
    <x v="13"/>
    <s v="COD"/>
    <d v="2018-12-10T00:00:00"/>
    <x v="94"/>
    <x v="0"/>
    <s v="Indore"/>
    <x v="0"/>
    <n v="12"/>
    <s v="Dec"/>
    <x v="5"/>
    <n v="0.16923076923076924"/>
    <s v="Q4"/>
    <s v="Monday"/>
  </r>
  <r>
    <s v="B-26086"/>
    <n v="25"/>
    <n v="2"/>
    <n v="2"/>
    <x v="2"/>
    <x v="7"/>
    <s v="Debit Card"/>
    <d v="2018-03-26T00:00:00"/>
    <x v="88"/>
    <x v="15"/>
    <s v="Chandigarh"/>
    <x v="0"/>
    <n v="3"/>
    <s v="Mar"/>
    <x v="1"/>
    <n v="0.08"/>
    <s v="Q1"/>
    <s v="Monday"/>
  </r>
  <r>
    <s v="B-25654"/>
    <n v="450"/>
    <n v="-90"/>
    <n v="3"/>
    <x v="0"/>
    <x v="3"/>
    <s v="COD"/>
    <d v="2018-05-10T00:00:00"/>
    <x v="150"/>
    <x v="2"/>
    <s v="Mumbai"/>
    <x v="0"/>
    <n v="5"/>
    <s v="May"/>
    <x v="7"/>
    <n v="-0.2"/>
    <s v="Q2"/>
    <s v="Thursday"/>
  </r>
  <r>
    <s v="B-25720"/>
    <n v="30"/>
    <n v="-35"/>
    <n v="1"/>
    <x v="1"/>
    <x v="1"/>
    <s v="COD"/>
    <d v="2018-07-15T00:00:00"/>
    <x v="151"/>
    <x v="13"/>
    <s v="Chandigarh"/>
    <x v="0"/>
    <n v="7"/>
    <s v="Jul"/>
    <x v="9"/>
    <n v="-1.1666666666666667"/>
    <s v="Q3"/>
    <s v="Sunday"/>
  </r>
  <r>
    <s v="B-26057"/>
    <n v="659"/>
    <n v="-37"/>
    <n v="2"/>
    <x v="1"/>
    <x v="2"/>
    <s v="Credit Card"/>
    <d v="2018-03-10T00:00:00"/>
    <x v="152"/>
    <x v="10"/>
    <s v="Thiruvananthapuram"/>
    <x v="0"/>
    <n v="3"/>
    <s v="Mar"/>
    <x v="1"/>
    <n v="-5.614567526555387E-2"/>
    <s v="Q1"/>
    <s v="Saturday"/>
  </r>
  <r>
    <s v="B-25798"/>
    <n v="448"/>
    <n v="148"/>
    <n v="2"/>
    <x v="0"/>
    <x v="3"/>
    <s v="COD"/>
    <d v="2018-10-01T00:00:00"/>
    <x v="153"/>
    <x v="9"/>
    <s v="Hyderabad"/>
    <x v="0"/>
    <n v="10"/>
    <s v="Oct"/>
    <x v="11"/>
    <n v="0.33035714285714285"/>
    <s v="Q4"/>
    <s v="Monday"/>
  </r>
  <r>
    <s v="B-25961"/>
    <n v="446"/>
    <n v="53"/>
    <n v="3"/>
    <x v="0"/>
    <x v="3"/>
    <s v="COD"/>
    <d v="2018-01-18T00:00:00"/>
    <x v="154"/>
    <x v="7"/>
    <s v="Ahmedabad"/>
    <x v="0"/>
    <n v="1"/>
    <s v="Jan"/>
    <x v="2"/>
    <n v="0.11883408071748879"/>
    <s v="Q1"/>
    <s v="Thursday"/>
  </r>
  <r>
    <s v="B-25701"/>
    <n v="98"/>
    <n v="-45"/>
    <n v="2"/>
    <x v="1"/>
    <x v="1"/>
    <s v="UPI"/>
    <d v="2018-06-26T00:00:00"/>
    <x v="155"/>
    <x v="0"/>
    <s v="Indore"/>
    <x v="0"/>
    <n v="6"/>
    <s v="Jun"/>
    <x v="0"/>
    <n v="-0.45918367346938777"/>
    <s v="Q2"/>
    <s v="Tuesday"/>
  </r>
  <r>
    <s v="B-26055"/>
    <n v="443"/>
    <n v="11"/>
    <n v="1"/>
    <x v="2"/>
    <x v="6"/>
    <s v="COD"/>
    <d v="2018-03-10T00:00:00"/>
    <x v="1"/>
    <x v="1"/>
    <s v="Mathura"/>
    <x v="0"/>
    <n v="3"/>
    <s v="Mar"/>
    <x v="1"/>
    <n v="2.4830699774266364E-2"/>
    <s v="Q1"/>
    <s v="Saturday"/>
  </r>
  <r>
    <s v="B-25653"/>
    <n v="427"/>
    <n v="-50"/>
    <n v="7"/>
    <x v="0"/>
    <x v="4"/>
    <s v="COD"/>
    <d v="2018-05-08T00:00:00"/>
    <x v="80"/>
    <x v="5"/>
    <s v="Kohima"/>
    <x v="0"/>
    <n v="5"/>
    <s v="May"/>
    <x v="7"/>
    <n v="-0.117096018735363"/>
    <s v="Q2"/>
    <s v="Tuesday"/>
  </r>
  <r>
    <s v="B-25670"/>
    <n v="656"/>
    <n v="-36"/>
    <n v="2"/>
    <x v="1"/>
    <x v="2"/>
    <s v="Credit Card"/>
    <d v="2018-05-25T00:00:00"/>
    <x v="111"/>
    <x v="16"/>
    <s v="Goa"/>
    <x v="0"/>
    <n v="5"/>
    <s v="May"/>
    <x v="7"/>
    <n v="-5.4878048780487805E-2"/>
    <s v="Q2"/>
    <s v="Friday"/>
  </r>
  <r>
    <s v="B-26056"/>
    <n v="424"/>
    <n v="161"/>
    <n v="2"/>
    <x v="2"/>
    <x v="6"/>
    <s v="COD"/>
    <d v="2018-03-10T00:00:00"/>
    <x v="156"/>
    <x v="12"/>
    <s v="Patna"/>
    <x v="0"/>
    <n v="3"/>
    <s v="Mar"/>
    <x v="1"/>
    <n v="0.37971698113207547"/>
    <s v="Q1"/>
    <s v="Saturday"/>
  </r>
  <r>
    <s v="B-26061"/>
    <n v="27"/>
    <n v="8"/>
    <n v="2"/>
    <x v="2"/>
    <x v="14"/>
    <s v="Debit Card"/>
    <d v="2018-03-14T00:00:00"/>
    <x v="71"/>
    <x v="0"/>
    <s v="Indore"/>
    <x v="0"/>
    <n v="3"/>
    <s v="Mar"/>
    <x v="1"/>
    <n v="0.29629629629629628"/>
    <s v="Q1"/>
    <s v="Wednesday"/>
  </r>
  <r>
    <s v="B-25602"/>
    <n v="424"/>
    <n v="-272"/>
    <n v="5"/>
    <x v="0"/>
    <x v="4"/>
    <s v="COD"/>
    <d v="2018-04-01T00:00:00"/>
    <x v="4"/>
    <x v="2"/>
    <s v="Pune"/>
    <x v="0"/>
    <n v="4"/>
    <s v="Apr"/>
    <x v="3"/>
    <n v="-0.64150943396226412"/>
    <s v="Q2"/>
    <s v="Sunday"/>
  </r>
  <r>
    <s v="B-26016"/>
    <n v="202"/>
    <n v="4"/>
    <n v="4"/>
    <x v="2"/>
    <x v="7"/>
    <s v="COD"/>
    <d v="2018-02-14T00:00:00"/>
    <x v="75"/>
    <x v="3"/>
    <s v="Bangalore"/>
    <x v="0"/>
    <n v="2"/>
    <s v="Feb"/>
    <x v="10"/>
    <n v="1.9801980198019802E-2"/>
    <s v="Q1"/>
    <s v="Wednesday"/>
  </r>
  <r>
    <s v="B-25873"/>
    <n v="1275"/>
    <n v="357"/>
    <n v="2"/>
    <x v="0"/>
    <x v="4"/>
    <s v="UPI"/>
    <d v="2018-11-23T00:00:00"/>
    <x v="136"/>
    <x v="0"/>
    <s v="Indore"/>
    <x v="0"/>
    <n v="11"/>
    <s v="Nov"/>
    <x v="4"/>
    <n v="0.28000000000000003"/>
    <s v="Q4"/>
    <s v="Friday"/>
  </r>
  <r>
    <s v="B-25761"/>
    <n v="418"/>
    <n v="70"/>
    <n v="7"/>
    <x v="0"/>
    <x v="4"/>
    <s v="COD"/>
    <d v="2018-08-25T00:00:00"/>
    <x v="14"/>
    <x v="1"/>
    <s v="Mathura"/>
    <x v="0"/>
    <n v="8"/>
    <s v="Aug"/>
    <x v="6"/>
    <n v="0.1674641148325359"/>
    <s v="Q3"/>
    <s v="Saturday"/>
  </r>
  <r>
    <s v="B-25819"/>
    <n v="417"/>
    <n v="49"/>
    <n v="3"/>
    <x v="0"/>
    <x v="0"/>
    <s v="COD"/>
    <d v="2018-10-15T00:00:00"/>
    <x v="157"/>
    <x v="0"/>
    <s v="Bhopal"/>
    <x v="0"/>
    <n v="10"/>
    <s v="Oct"/>
    <x v="11"/>
    <n v="0.11750599520383694"/>
    <s v="Q4"/>
    <s v="Monday"/>
  </r>
  <r>
    <s v="B-25853"/>
    <n v="199"/>
    <n v="48"/>
    <n v="4"/>
    <x v="2"/>
    <x v="11"/>
    <s v="UPI"/>
    <d v="2018-11-08T00:00:00"/>
    <x v="18"/>
    <x v="7"/>
    <s v="Ahmedabad"/>
    <x v="0"/>
    <n v="11"/>
    <s v="Nov"/>
    <x v="4"/>
    <n v="0.24120603015075376"/>
    <s v="Q4"/>
    <s v="Thursday"/>
  </r>
  <r>
    <s v="B-25662"/>
    <n v="385"/>
    <n v="-77"/>
    <n v="11"/>
    <x v="1"/>
    <x v="15"/>
    <s v="UPI"/>
    <d v="2018-05-17T00:00:00"/>
    <x v="117"/>
    <x v="2"/>
    <s v="Mumbai"/>
    <x v="0"/>
    <n v="5"/>
    <s v="May"/>
    <x v="7"/>
    <n v="-0.2"/>
    <s v="Q2"/>
    <s v="Thursday"/>
  </r>
  <r>
    <s v="B-25993"/>
    <n v="414"/>
    <n v="199"/>
    <n v="3"/>
    <x v="0"/>
    <x v="4"/>
    <s v="COD"/>
    <d v="2018-02-03T00:00:00"/>
    <x v="14"/>
    <x v="8"/>
    <s v="Delhi"/>
    <x v="0"/>
    <n v="2"/>
    <s v="Feb"/>
    <x v="10"/>
    <n v="0.48067632850241548"/>
    <s v="Q1"/>
    <s v="Saturday"/>
  </r>
  <r>
    <s v="B-25703"/>
    <n v="97"/>
    <n v="-45"/>
    <n v="4"/>
    <x v="2"/>
    <x v="6"/>
    <s v="COD"/>
    <d v="2018-06-28T00:00:00"/>
    <x v="10"/>
    <x v="0"/>
    <s v="Indore"/>
    <x v="0"/>
    <n v="6"/>
    <s v="Jun"/>
    <x v="0"/>
    <n v="-0.46391752577319589"/>
    <s v="Q2"/>
    <s v="Thursday"/>
  </r>
  <r>
    <s v="B-25848"/>
    <n v="648"/>
    <n v="50"/>
    <n v="6"/>
    <x v="0"/>
    <x v="0"/>
    <s v="Credit Card"/>
    <d v="2018-11-03T00:00:00"/>
    <x v="115"/>
    <x v="11"/>
    <s v="Simla"/>
    <x v="0"/>
    <n v="11"/>
    <s v="Nov"/>
    <x v="4"/>
    <n v="7.716049382716049E-2"/>
    <s v="Q4"/>
    <s v="Saturday"/>
  </r>
  <r>
    <s v="B-25678"/>
    <n v="27"/>
    <n v="-25"/>
    <n v="2"/>
    <x v="2"/>
    <x v="16"/>
    <s v="Debit Card"/>
    <d v="2018-06-03T00:00:00"/>
    <x v="158"/>
    <x v="3"/>
    <s v="Bangalore"/>
    <x v="0"/>
    <n v="6"/>
    <s v="Jun"/>
    <x v="0"/>
    <n v="-0.92592592592592593"/>
    <s v="Q2"/>
    <s v="Sunday"/>
  </r>
  <r>
    <s v="B-25925"/>
    <n v="27"/>
    <n v="12"/>
    <n v="1"/>
    <x v="2"/>
    <x v="11"/>
    <s v="Debit Card"/>
    <d v="2018-12-29T00:00:00"/>
    <x v="21"/>
    <x v="2"/>
    <s v="Mumbai"/>
    <x v="0"/>
    <n v="12"/>
    <s v="Dec"/>
    <x v="5"/>
    <n v="0.44444444444444442"/>
    <s v="Q4"/>
    <s v="Saturday"/>
  </r>
  <r>
    <s v="B-25977"/>
    <n v="27"/>
    <n v="1"/>
    <n v="1"/>
    <x v="2"/>
    <x v="11"/>
    <s v="UPI"/>
    <d v="2018-01-27T00:00:00"/>
    <x v="159"/>
    <x v="7"/>
    <s v="Surat"/>
    <x v="0"/>
    <n v="1"/>
    <s v="Jan"/>
    <x v="2"/>
    <n v="3.7037037037037035E-2"/>
    <s v="Q1"/>
    <s v="Saturday"/>
  </r>
  <r>
    <s v="B-25797"/>
    <n v="413"/>
    <n v="-314"/>
    <n v="9"/>
    <x v="1"/>
    <x v="1"/>
    <s v="COD"/>
    <d v="2018-09-30T00:00:00"/>
    <x v="37"/>
    <x v="0"/>
    <s v="Indore"/>
    <x v="0"/>
    <n v="9"/>
    <s v="Sep"/>
    <x v="8"/>
    <n v="-0.76029055690072644"/>
    <s v="Q3"/>
    <s v="Sunday"/>
  </r>
  <r>
    <s v="B-26067"/>
    <n v="53"/>
    <n v="2"/>
    <n v="4"/>
    <x v="2"/>
    <x v="7"/>
    <s v="COD"/>
    <d v="2018-03-16T00:00:00"/>
    <x v="91"/>
    <x v="0"/>
    <s v="Bhopal"/>
    <x v="0"/>
    <n v="3"/>
    <s v="Mar"/>
    <x v="1"/>
    <n v="3.7735849056603772E-2"/>
    <s v="Q1"/>
    <s v="Friday"/>
  </r>
  <r>
    <s v="B-25810"/>
    <n v="29"/>
    <n v="8"/>
    <n v="5"/>
    <x v="2"/>
    <x v="7"/>
    <s v="UPI"/>
    <d v="2018-10-10T00:00:00"/>
    <x v="50"/>
    <x v="13"/>
    <s v="Chandigarh"/>
    <x v="0"/>
    <n v="10"/>
    <s v="Oct"/>
    <x v="11"/>
    <n v="0.27586206896551724"/>
    <s v="Q4"/>
    <s v="Wednesday"/>
  </r>
  <r>
    <s v="B-25648"/>
    <n v="30"/>
    <n v="13"/>
    <n v="1"/>
    <x v="2"/>
    <x v="14"/>
    <s v="UPI"/>
    <d v="2018-05-04T00:00:00"/>
    <x v="160"/>
    <x v="13"/>
    <s v="Chandigarh"/>
    <x v="0"/>
    <n v="5"/>
    <s v="May"/>
    <x v="7"/>
    <n v="0.43333333333333335"/>
    <s v="Q2"/>
    <s v="Friday"/>
  </r>
  <r>
    <s v="B-25933"/>
    <n v="412"/>
    <n v="412"/>
    <n v="6"/>
    <x v="2"/>
    <x v="6"/>
    <s v="COD"/>
    <d v="2018-01-04T00:00:00"/>
    <x v="161"/>
    <x v="2"/>
    <s v="Mumbai"/>
    <x v="0"/>
    <n v="1"/>
    <s v="Jan"/>
    <x v="2"/>
    <n v="1"/>
    <s v="Q1"/>
    <s v="Thursday"/>
  </r>
  <r>
    <s v="B-25942"/>
    <n v="646"/>
    <n v="-23"/>
    <n v="2"/>
    <x v="0"/>
    <x v="3"/>
    <s v="Credit Card"/>
    <d v="2018-01-08T00:00:00"/>
    <x v="157"/>
    <x v="9"/>
    <s v="Hyderabad"/>
    <x v="0"/>
    <n v="1"/>
    <s v="Jan"/>
    <x v="2"/>
    <n v="-3.5603715170278639E-2"/>
    <s v="Q1"/>
    <s v="Monday"/>
  </r>
  <r>
    <s v="B-25656"/>
    <n v="30"/>
    <n v="-5"/>
    <n v="5"/>
    <x v="2"/>
    <x v="11"/>
    <s v="UPI"/>
    <d v="2018-05-11T00:00:00"/>
    <x v="85"/>
    <x v="2"/>
    <s v="Pune"/>
    <x v="0"/>
    <n v="5"/>
    <s v="May"/>
    <x v="7"/>
    <n v="-0.16666666666666666"/>
    <s v="Q2"/>
    <s v="Friday"/>
  </r>
  <r>
    <s v="B-26067"/>
    <n v="618"/>
    <n v="27"/>
    <n v="4"/>
    <x v="1"/>
    <x v="2"/>
    <s v="Credit Card"/>
    <d v="2018-03-16T00:00:00"/>
    <x v="91"/>
    <x v="0"/>
    <s v="Bhopal"/>
    <x v="0"/>
    <n v="3"/>
    <s v="Mar"/>
    <x v="1"/>
    <n v="4.3689320388349516E-2"/>
    <s v="Q1"/>
    <s v="Friday"/>
  </r>
  <r>
    <s v="B-25673"/>
    <n v="143"/>
    <n v="-124"/>
    <n v="5"/>
    <x v="2"/>
    <x v="6"/>
    <s v="UPI"/>
    <d v="2018-05-28T00:00:00"/>
    <x v="162"/>
    <x v="7"/>
    <s v="Ahmedabad"/>
    <x v="0"/>
    <n v="5"/>
    <s v="May"/>
    <x v="7"/>
    <n v="-0.86713286713286708"/>
    <s v="Q2"/>
    <s v="Monday"/>
  </r>
  <r>
    <s v="B-25797"/>
    <n v="31"/>
    <n v="1"/>
    <n v="2"/>
    <x v="2"/>
    <x v="7"/>
    <s v="UPI"/>
    <d v="2018-09-30T00:00:00"/>
    <x v="37"/>
    <x v="0"/>
    <s v="Indore"/>
    <x v="0"/>
    <n v="9"/>
    <s v="Sep"/>
    <x v="8"/>
    <n v="3.2258064516129031E-2"/>
    <s v="Q3"/>
    <s v="Sunday"/>
  </r>
  <r>
    <s v="B-26098"/>
    <n v="409"/>
    <n v="86"/>
    <n v="3"/>
    <x v="2"/>
    <x v="6"/>
    <s v="COD"/>
    <d v="2018-03-29T00:00:00"/>
    <x v="90"/>
    <x v="4"/>
    <s v="Kashmir"/>
    <x v="0"/>
    <n v="3"/>
    <s v="Mar"/>
    <x v="1"/>
    <n v="0.21026894865525672"/>
    <s v="Q1"/>
    <s v="Thursday"/>
  </r>
  <r>
    <s v="B-25656"/>
    <n v="406"/>
    <n v="126"/>
    <n v="2"/>
    <x v="2"/>
    <x v="6"/>
    <s v="COD"/>
    <d v="2018-05-11T00:00:00"/>
    <x v="85"/>
    <x v="2"/>
    <s v="Pune"/>
    <x v="0"/>
    <n v="5"/>
    <s v="May"/>
    <x v="7"/>
    <n v="0.31034482758620691"/>
    <s v="Q2"/>
    <s v="Friday"/>
  </r>
  <r>
    <s v="B-25791"/>
    <n v="565"/>
    <n v="66"/>
    <n v="7"/>
    <x v="2"/>
    <x v="6"/>
    <s v="Credit Card"/>
    <d v="2018-09-24T00:00:00"/>
    <x v="163"/>
    <x v="10"/>
    <s v="Thiruvananthapuram"/>
    <x v="0"/>
    <n v="9"/>
    <s v="Sep"/>
    <x v="8"/>
    <n v="0.1168141592920354"/>
    <s v="Q3"/>
    <s v="Monday"/>
  </r>
  <r>
    <s v="B-26053"/>
    <n v="85"/>
    <n v="2"/>
    <n v="6"/>
    <x v="2"/>
    <x v="11"/>
    <s v="COD"/>
    <d v="2018-03-09T00:00:00"/>
    <x v="8"/>
    <x v="4"/>
    <s v="Kashmir"/>
    <x v="0"/>
    <n v="3"/>
    <s v="Mar"/>
    <x v="1"/>
    <n v="2.3529411764705882E-2"/>
    <s v="Q1"/>
    <s v="Friday"/>
  </r>
  <r>
    <s v="B-25983"/>
    <n v="561"/>
    <n v="118"/>
    <n v="5"/>
    <x v="1"/>
    <x v="2"/>
    <s v="Credit Card"/>
    <d v="2018-01-30T00:00:00"/>
    <x v="164"/>
    <x v="8"/>
    <s v="Delhi"/>
    <x v="0"/>
    <n v="1"/>
    <s v="Jan"/>
    <x v="2"/>
    <n v="0.21033868092691621"/>
    <s v="Q1"/>
    <s v="Tuesday"/>
  </r>
  <r>
    <s v="B-25743"/>
    <n v="503"/>
    <n v="-56"/>
    <n v="2"/>
    <x v="2"/>
    <x v="5"/>
    <s v="COD"/>
    <d v="2018-08-07T00:00:00"/>
    <x v="140"/>
    <x v="5"/>
    <s v="Kohima"/>
    <x v="0"/>
    <n v="8"/>
    <s v="Aug"/>
    <x v="6"/>
    <n v="-0.11133200795228629"/>
    <s v="Q3"/>
    <s v="Tuesday"/>
  </r>
  <r>
    <s v="B-25867"/>
    <n v="31"/>
    <n v="14"/>
    <n v="3"/>
    <x v="2"/>
    <x v="11"/>
    <s v="UPI"/>
    <d v="2018-11-17T00:00:00"/>
    <x v="138"/>
    <x v="18"/>
    <s v="Gangtok"/>
    <x v="0"/>
    <n v="11"/>
    <s v="Nov"/>
    <x v="4"/>
    <n v="0.45161290322580644"/>
    <s v="Q4"/>
    <s v="Saturday"/>
  </r>
  <r>
    <s v="B-25973"/>
    <n v="398"/>
    <n v="111"/>
    <n v="8"/>
    <x v="2"/>
    <x v="7"/>
    <s v="COD"/>
    <d v="2018-01-24T00:00:00"/>
    <x v="16"/>
    <x v="1"/>
    <s v="Mathura"/>
    <x v="0"/>
    <n v="1"/>
    <s v="Jan"/>
    <x v="2"/>
    <n v="0.27889447236180903"/>
    <s v="Q1"/>
    <s v="Wednesday"/>
  </r>
  <r>
    <s v="B-25895"/>
    <n v="388"/>
    <n v="93"/>
    <n v="2"/>
    <x v="1"/>
    <x v="2"/>
    <s v="COD"/>
    <d v="2018-12-04T00:00:00"/>
    <x v="165"/>
    <x v="7"/>
    <s v="Surat"/>
    <x v="0"/>
    <n v="12"/>
    <s v="Dec"/>
    <x v="5"/>
    <n v="0.23969072164948454"/>
    <s v="Q4"/>
    <s v="Tuesday"/>
  </r>
  <r>
    <s v="B-26003"/>
    <n v="498"/>
    <n v="-116"/>
    <n v="4"/>
    <x v="2"/>
    <x v="6"/>
    <s v="UPI"/>
    <d v="2018-02-08T00:00:00"/>
    <x v="34"/>
    <x v="0"/>
    <s v="Bhopal"/>
    <x v="0"/>
    <n v="2"/>
    <s v="Feb"/>
    <x v="10"/>
    <n v="-0.23293172690763053"/>
    <s v="Q1"/>
    <s v="Thursday"/>
  </r>
  <r>
    <s v="B-25717"/>
    <n v="561"/>
    <n v="212"/>
    <n v="3"/>
    <x v="2"/>
    <x v="6"/>
    <s v="Credit Card"/>
    <d v="2018-07-12T00:00:00"/>
    <x v="166"/>
    <x v="1"/>
    <s v="Lucknow"/>
    <x v="0"/>
    <n v="7"/>
    <s v="Jul"/>
    <x v="9"/>
    <n v="0.37789661319073081"/>
    <s v="Q3"/>
    <s v="Thursday"/>
  </r>
  <r>
    <s v="B-26064"/>
    <n v="61"/>
    <n v="3"/>
    <n v="4"/>
    <x v="2"/>
    <x v="7"/>
    <s v="COD"/>
    <d v="2018-03-16T00:00:00"/>
    <x v="167"/>
    <x v="2"/>
    <s v="Mumbai"/>
    <x v="0"/>
    <n v="3"/>
    <s v="Mar"/>
    <x v="1"/>
    <n v="4.9180327868852458E-2"/>
    <s v="Q1"/>
    <s v="Friday"/>
  </r>
  <r>
    <s v="B-25630"/>
    <n v="34"/>
    <n v="-22"/>
    <n v="4"/>
    <x v="2"/>
    <x v="14"/>
    <s v="COD"/>
    <d v="2018-04-24T00:00:00"/>
    <x v="168"/>
    <x v="13"/>
    <s v="Chandigarh"/>
    <x v="0"/>
    <n v="4"/>
    <s v="Apr"/>
    <x v="3"/>
    <n v="-0.6470588235294118"/>
    <s v="Q2"/>
    <s v="Tuesday"/>
  </r>
  <r>
    <s v="B-26050"/>
    <n v="32"/>
    <n v="6"/>
    <n v="3"/>
    <x v="2"/>
    <x v="16"/>
    <s v="UPI"/>
    <d v="2018-03-06T00:00:00"/>
    <x v="49"/>
    <x v="6"/>
    <s v="Jaipur"/>
    <x v="0"/>
    <n v="3"/>
    <s v="Mar"/>
    <x v="1"/>
    <n v="0.1875"/>
    <s v="Q1"/>
    <s v="Tuesday"/>
  </r>
  <r>
    <s v="B-25786"/>
    <n v="623"/>
    <n v="-192"/>
    <n v="3"/>
    <x v="1"/>
    <x v="10"/>
    <s v="UPI"/>
    <d v="2018-09-19T00:00:00"/>
    <x v="16"/>
    <x v="1"/>
    <s v="Mathura"/>
    <x v="0"/>
    <n v="9"/>
    <s v="Sep"/>
    <x v="8"/>
    <n v="-0.30818619582664525"/>
    <s v="Q3"/>
    <s v="Wednesday"/>
  </r>
  <r>
    <s v="B-26035"/>
    <n v="520"/>
    <n v="151"/>
    <n v="3"/>
    <x v="0"/>
    <x v="4"/>
    <s v="Credit Card"/>
    <d v="2018-02-23T00:00:00"/>
    <x v="90"/>
    <x v="4"/>
    <s v="Kashmir"/>
    <x v="0"/>
    <n v="2"/>
    <s v="Feb"/>
    <x v="10"/>
    <n v="0.29038461538461541"/>
    <s v="Q1"/>
    <s v="Friday"/>
  </r>
  <r>
    <s v="B-25693"/>
    <n v="32"/>
    <n v="-16"/>
    <n v="6"/>
    <x v="2"/>
    <x v="6"/>
    <s v="UPI"/>
    <d v="2018-06-18T00:00:00"/>
    <x v="77"/>
    <x v="0"/>
    <s v="Bhopal"/>
    <x v="0"/>
    <n v="6"/>
    <s v="Jun"/>
    <x v="0"/>
    <n v="-0.5"/>
    <s v="Q2"/>
    <s v="Monday"/>
  </r>
  <r>
    <s v="B-25703"/>
    <n v="32"/>
    <n v="-5"/>
    <n v="5"/>
    <x v="2"/>
    <x v="7"/>
    <s v="UPI"/>
    <d v="2018-06-28T00:00:00"/>
    <x v="10"/>
    <x v="0"/>
    <s v="Indore"/>
    <x v="0"/>
    <n v="6"/>
    <s v="Jun"/>
    <x v="0"/>
    <n v="-0.15625"/>
    <s v="Q2"/>
    <s v="Thursday"/>
  </r>
  <r>
    <s v="B-25966"/>
    <n v="510"/>
    <n v="234"/>
    <n v="6"/>
    <x v="0"/>
    <x v="0"/>
    <s v="EMI"/>
    <d v="2018-01-21T00:00:00"/>
    <x v="104"/>
    <x v="6"/>
    <s v="Udaipur"/>
    <x v="0"/>
    <n v="1"/>
    <s v="Jan"/>
    <x v="2"/>
    <n v="0.45882352941176469"/>
    <s v="Q1"/>
    <s v="Sunday"/>
  </r>
  <r>
    <s v="B-26060"/>
    <n v="382"/>
    <n v="68"/>
    <n v="3"/>
    <x v="2"/>
    <x v="6"/>
    <s v="COD"/>
    <d v="2018-03-13T00:00:00"/>
    <x v="95"/>
    <x v="2"/>
    <s v="Mumbai"/>
    <x v="0"/>
    <n v="3"/>
    <s v="Mar"/>
    <x v="1"/>
    <n v="0.17801047120418848"/>
    <s v="Q1"/>
    <s v="Tuesday"/>
  </r>
  <r>
    <s v="B-25898"/>
    <n v="33"/>
    <n v="13"/>
    <n v="3"/>
    <x v="2"/>
    <x v="12"/>
    <s v="UPI"/>
    <d v="2018-12-07T00:00:00"/>
    <x v="76"/>
    <x v="6"/>
    <s v="Udaipur"/>
    <x v="0"/>
    <n v="12"/>
    <s v="Dec"/>
    <x v="5"/>
    <n v="0.39393939393939392"/>
    <s v="Q4"/>
    <s v="Friday"/>
  </r>
  <r>
    <s v="B-25686"/>
    <n v="381"/>
    <n v="-13"/>
    <n v="2"/>
    <x v="2"/>
    <x v="6"/>
    <s v="COD"/>
    <d v="2018-06-11T00:00:00"/>
    <x v="28"/>
    <x v="11"/>
    <s v="Simla"/>
    <x v="0"/>
    <n v="6"/>
    <s v="Jun"/>
    <x v="0"/>
    <n v="-3.4120734908136482E-2"/>
    <s v="Q2"/>
    <s v="Monday"/>
  </r>
  <r>
    <s v="B-26051"/>
    <n v="490"/>
    <n v="88"/>
    <n v="2"/>
    <x v="0"/>
    <x v="13"/>
    <s v="EMI"/>
    <d v="2018-03-07T00:00:00"/>
    <x v="56"/>
    <x v="17"/>
    <s v="Kolkata"/>
    <x v="0"/>
    <n v="3"/>
    <s v="Mar"/>
    <x v="1"/>
    <n v="0.17959183673469387"/>
    <s v="Q1"/>
    <s v="Wednesday"/>
  </r>
  <r>
    <s v="B-25854"/>
    <n v="381"/>
    <n v="144"/>
    <n v="2"/>
    <x v="2"/>
    <x v="6"/>
    <s v="COD"/>
    <d v="2018-11-08T00:00:00"/>
    <x v="141"/>
    <x v="2"/>
    <s v="Pune"/>
    <x v="0"/>
    <n v="11"/>
    <s v="Nov"/>
    <x v="4"/>
    <n v="0.37795275590551181"/>
    <s v="Q4"/>
    <s v="Thursday"/>
  </r>
  <r>
    <s v="B-26050"/>
    <n v="487"/>
    <n v="143"/>
    <n v="4"/>
    <x v="0"/>
    <x v="4"/>
    <s v="EMI"/>
    <d v="2018-03-06T00:00:00"/>
    <x v="49"/>
    <x v="6"/>
    <s v="Jaipur"/>
    <x v="0"/>
    <n v="3"/>
    <s v="Mar"/>
    <x v="1"/>
    <n v="0.29363449691991789"/>
    <s v="Q1"/>
    <s v="Tuesday"/>
  </r>
  <r>
    <s v="B-25961"/>
    <n v="366"/>
    <n v="84"/>
    <n v="3"/>
    <x v="1"/>
    <x v="2"/>
    <s v="COD"/>
    <d v="2018-01-18T00:00:00"/>
    <x v="154"/>
    <x v="7"/>
    <s v="Ahmedabad"/>
    <x v="0"/>
    <n v="1"/>
    <s v="Jan"/>
    <x v="2"/>
    <n v="0.22950819672131148"/>
    <s v="Q1"/>
    <s v="Thursday"/>
  </r>
  <r>
    <s v="B-25701"/>
    <n v="33"/>
    <n v="-29"/>
    <n v="3"/>
    <x v="2"/>
    <x v="16"/>
    <s v="UPI"/>
    <d v="2018-06-26T00:00:00"/>
    <x v="155"/>
    <x v="0"/>
    <s v="Indore"/>
    <x v="0"/>
    <n v="6"/>
    <s v="Jun"/>
    <x v="0"/>
    <n v="-0.87878787878787878"/>
    <s v="Q2"/>
    <s v="Tuesday"/>
  </r>
  <r>
    <s v="B-25970"/>
    <n v="365"/>
    <n v="107"/>
    <n v="3"/>
    <x v="0"/>
    <x v="4"/>
    <s v="COD"/>
    <d v="2018-01-22T00:00:00"/>
    <x v="96"/>
    <x v="2"/>
    <s v="Mumbai"/>
    <x v="0"/>
    <n v="1"/>
    <s v="Jan"/>
    <x v="2"/>
    <n v="0.29315068493150687"/>
    <s v="Q1"/>
    <s v="Monday"/>
  </r>
  <r>
    <s v="B-25933"/>
    <n v="207"/>
    <n v="-100"/>
    <n v="2"/>
    <x v="2"/>
    <x v="6"/>
    <s v="UPI"/>
    <d v="2018-01-04T00:00:00"/>
    <x v="161"/>
    <x v="2"/>
    <s v="Mumbai"/>
    <x v="0"/>
    <n v="1"/>
    <s v="Jan"/>
    <x v="2"/>
    <n v="-0.48309178743961351"/>
    <s v="Q1"/>
    <s v="Thursday"/>
  </r>
  <r>
    <s v="B-26081"/>
    <n v="359"/>
    <n v="-338"/>
    <n v="5"/>
    <x v="1"/>
    <x v="2"/>
    <s v="COD"/>
    <d v="2018-03-22T00:00:00"/>
    <x v="55"/>
    <x v="14"/>
    <s v="Chennai"/>
    <x v="0"/>
    <n v="3"/>
    <s v="Mar"/>
    <x v="1"/>
    <n v="-0.9415041782729805"/>
    <s v="Q1"/>
    <s v="Thursday"/>
  </r>
  <r>
    <s v="B-25650"/>
    <n v="351"/>
    <n v="-47"/>
    <n v="8"/>
    <x v="0"/>
    <x v="4"/>
    <s v="COD"/>
    <d v="2018-05-06T00:00:00"/>
    <x v="95"/>
    <x v="2"/>
    <s v="Mumbai"/>
    <x v="0"/>
    <n v="5"/>
    <s v="May"/>
    <x v="7"/>
    <n v="-0.13390313390313391"/>
    <s v="Q2"/>
    <s v="Sunday"/>
  </r>
  <r>
    <s v="B-25850"/>
    <n v="485"/>
    <n v="199"/>
    <n v="4"/>
    <x v="2"/>
    <x v="6"/>
    <s v="EMI"/>
    <d v="2018-11-05T00:00:00"/>
    <x v="76"/>
    <x v="16"/>
    <s v="Goa"/>
    <x v="0"/>
    <n v="11"/>
    <s v="Nov"/>
    <x v="4"/>
    <n v="0.41030927835051545"/>
    <s v="Q4"/>
    <s v="Monday"/>
  </r>
  <r>
    <s v="B-25643"/>
    <n v="37"/>
    <n v="-23"/>
    <n v="4"/>
    <x v="2"/>
    <x v="16"/>
    <s v="UPI"/>
    <d v="2018-04-29T00:00:00"/>
    <x v="8"/>
    <x v="4"/>
    <s v="Kashmir"/>
    <x v="0"/>
    <n v="4"/>
    <s v="Apr"/>
    <x v="3"/>
    <n v="-0.6216216216216216"/>
    <s v="Q2"/>
    <s v="Sunday"/>
  </r>
  <r>
    <s v="B-26100"/>
    <n v="34"/>
    <n v="10"/>
    <n v="2"/>
    <x v="2"/>
    <x v="14"/>
    <s v="Debit Card"/>
    <d v="2018-03-31T00:00:00"/>
    <x v="79"/>
    <x v="0"/>
    <s v="Indore"/>
    <x v="0"/>
    <n v="3"/>
    <s v="Mar"/>
    <x v="1"/>
    <n v="0.29411764705882354"/>
    <s v="Q1"/>
    <s v="Saturday"/>
  </r>
  <r>
    <s v="B-25964"/>
    <n v="346"/>
    <n v="108"/>
    <n v="3"/>
    <x v="1"/>
    <x v="1"/>
    <s v="COD"/>
    <d v="2018-01-20T00:00:00"/>
    <x v="169"/>
    <x v="2"/>
    <s v="Pune"/>
    <x v="0"/>
    <n v="1"/>
    <s v="Jan"/>
    <x v="2"/>
    <n v="0.31213872832369943"/>
    <s v="Q1"/>
    <s v="Saturday"/>
  </r>
  <r>
    <s v="B-25676"/>
    <n v="342"/>
    <n v="-103"/>
    <n v="4"/>
    <x v="0"/>
    <x v="0"/>
    <s v="COD"/>
    <d v="2018-06-01T00:00:00"/>
    <x v="114"/>
    <x v="6"/>
    <s v="Jaipur"/>
    <x v="0"/>
    <n v="6"/>
    <s v="Jun"/>
    <x v="0"/>
    <n v="-0.30116959064327486"/>
    <s v="Q2"/>
    <s v="Friday"/>
  </r>
  <r>
    <s v="B-25628"/>
    <n v="35"/>
    <n v="-8"/>
    <n v="2"/>
    <x v="1"/>
    <x v="15"/>
    <s v="Debit Card"/>
    <d v="2018-04-24T00:00:00"/>
    <x v="28"/>
    <x v="12"/>
    <s v="Patna"/>
    <x v="0"/>
    <n v="4"/>
    <s v="Apr"/>
    <x v="3"/>
    <n v="-0.22857142857142856"/>
    <s v="Q2"/>
    <s v="Tuesday"/>
  </r>
  <r>
    <s v="B-25891"/>
    <n v="121"/>
    <n v="41"/>
    <n v="4"/>
    <x v="2"/>
    <x v="11"/>
    <s v="UPI"/>
    <d v="2018-12-04T00:00:00"/>
    <x v="170"/>
    <x v="0"/>
    <s v="Indore"/>
    <x v="0"/>
    <n v="12"/>
    <s v="Dec"/>
    <x v="5"/>
    <n v="0.33884297520661155"/>
    <s v="Q4"/>
    <s v="Tuesday"/>
  </r>
  <r>
    <s v="B-25903"/>
    <n v="336"/>
    <n v="57"/>
    <n v="2"/>
    <x v="0"/>
    <x v="4"/>
    <s v="COD"/>
    <d v="2018-12-10T00:00:00"/>
    <x v="94"/>
    <x v="0"/>
    <s v="Indore"/>
    <x v="0"/>
    <n v="12"/>
    <s v="Dec"/>
    <x v="5"/>
    <n v="0.16964285714285715"/>
    <s v="Q4"/>
    <s v="Monday"/>
  </r>
  <r>
    <s v="B-25851"/>
    <n v="336"/>
    <n v="71"/>
    <n v="3"/>
    <x v="1"/>
    <x v="2"/>
    <s v="COD"/>
    <d v="2018-11-06T00:00:00"/>
    <x v="9"/>
    <x v="5"/>
    <s v="Kohima"/>
    <x v="0"/>
    <n v="11"/>
    <s v="Nov"/>
    <x v="4"/>
    <n v="0.21130952380952381"/>
    <s v="Q4"/>
    <s v="Tuesday"/>
  </r>
  <r>
    <s v="B-26089"/>
    <n v="27"/>
    <n v="4"/>
    <n v="1"/>
    <x v="2"/>
    <x v="7"/>
    <s v="COD"/>
    <d v="2018-03-26T00:00:00"/>
    <x v="72"/>
    <x v="16"/>
    <s v="Goa"/>
    <x v="0"/>
    <n v="3"/>
    <s v="Mar"/>
    <x v="1"/>
    <n v="0.14814814814814814"/>
    <s v="Q1"/>
    <s v="Monday"/>
  </r>
  <r>
    <s v="B-25996"/>
    <n v="333"/>
    <n v="50"/>
    <n v="2"/>
    <x v="0"/>
    <x v="4"/>
    <s v="COD"/>
    <d v="2018-02-04T00:00:00"/>
    <x v="126"/>
    <x v="8"/>
    <s v="Delhi"/>
    <x v="0"/>
    <n v="2"/>
    <s v="Feb"/>
    <x v="10"/>
    <n v="0.15015015015015015"/>
    <s v="Q1"/>
    <s v="Sunday"/>
  </r>
  <r>
    <s v="B-25881"/>
    <n v="36"/>
    <n v="7"/>
    <n v="3"/>
    <x v="2"/>
    <x v="12"/>
    <s v="Debit Card"/>
    <d v="2018-11-25T00:00:00"/>
    <x v="5"/>
    <x v="1"/>
    <s v="Mathura"/>
    <x v="0"/>
    <n v="11"/>
    <s v="Nov"/>
    <x v="4"/>
    <n v="0.19444444444444445"/>
    <s v="Q4"/>
    <s v="Sunday"/>
  </r>
  <r>
    <s v="B-25621"/>
    <n v="333"/>
    <n v="-15"/>
    <n v="3"/>
    <x v="0"/>
    <x v="4"/>
    <s v="COD"/>
    <d v="2018-04-20T00:00:00"/>
    <x v="171"/>
    <x v="0"/>
    <s v="Bhopal"/>
    <x v="0"/>
    <n v="4"/>
    <s v="Apr"/>
    <x v="3"/>
    <n v="-4.5045045045045043E-2"/>
    <s v="Q2"/>
    <s v="Friday"/>
  </r>
  <r>
    <s v="B-25727"/>
    <n v="327"/>
    <n v="114"/>
    <n v="4"/>
    <x v="2"/>
    <x v="5"/>
    <s v="COD"/>
    <d v="2018-07-22T00:00:00"/>
    <x v="172"/>
    <x v="0"/>
    <s v="Indore"/>
    <x v="0"/>
    <n v="7"/>
    <s v="Jul"/>
    <x v="9"/>
    <n v="0.34862385321100919"/>
    <s v="Q3"/>
    <s v="Sunday"/>
  </r>
  <r>
    <s v="B-25843"/>
    <n v="18"/>
    <n v="6"/>
    <n v="3"/>
    <x v="2"/>
    <x v="7"/>
    <s v="UPI"/>
    <d v="2018-11-03T00:00:00"/>
    <x v="173"/>
    <x v="2"/>
    <s v="Mumbai"/>
    <x v="0"/>
    <n v="11"/>
    <s v="Nov"/>
    <x v="4"/>
    <n v="0.33333333333333331"/>
    <s v="Q4"/>
    <s v="Saturday"/>
  </r>
  <r>
    <s v="B-26050"/>
    <n v="325"/>
    <n v="32"/>
    <n v="7"/>
    <x v="2"/>
    <x v="14"/>
    <s v="COD"/>
    <d v="2018-03-06T00:00:00"/>
    <x v="49"/>
    <x v="6"/>
    <s v="Jaipur"/>
    <x v="0"/>
    <n v="3"/>
    <s v="Mar"/>
    <x v="1"/>
    <n v="9.8461538461538461E-2"/>
    <s v="Q1"/>
    <s v="Tuesday"/>
  </r>
  <r>
    <s v="B-25741"/>
    <n v="482"/>
    <n v="-6"/>
    <n v="7"/>
    <x v="0"/>
    <x v="0"/>
    <s v="EMI"/>
    <d v="2018-08-03T00:00:00"/>
    <x v="174"/>
    <x v="0"/>
    <s v="Indore"/>
    <x v="0"/>
    <n v="8"/>
    <s v="Aug"/>
    <x v="6"/>
    <n v="-1.2448132780082987E-2"/>
    <s v="Q3"/>
    <s v="Friday"/>
  </r>
  <r>
    <s v="B-25756"/>
    <n v="465"/>
    <n v="-33"/>
    <n v="4"/>
    <x v="0"/>
    <x v="4"/>
    <s v="EMI"/>
    <d v="2018-08-20T00:00:00"/>
    <x v="13"/>
    <x v="2"/>
    <s v="Mumbai"/>
    <x v="0"/>
    <n v="8"/>
    <s v="Aug"/>
    <x v="6"/>
    <n v="-7.0967741935483872E-2"/>
    <s v="Q3"/>
    <s v="Monday"/>
  </r>
  <r>
    <s v="B-25787"/>
    <n v="40"/>
    <n v="-12"/>
    <n v="3"/>
    <x v="2"/>
    <x v="16"/>
    <s v="COD"/>
    <d v="2018-09-20T00:00:00"/>
    <x v="101"/>
    <x v="4"/>
    <s v="Kashmir"/>
    <x v="0"/>
    <n v="9"/>
    <s v="Sep"/>
    <x v="8"/>
    <n v="-0.3"/>
    <s v="Q3"/>
    <s v="Thursday"/>
  </r>
  <r>
    <s v="B-25603"/>
    <n v="107"/>
    <n v="36"/>
    <n v="6"/>
    <x v="2"/>
    <x v="11"/>
    <s v="COD"/>
    <d v="2018-04-03T00:00:00"/>
    <x v="106"/>
    <x v="0"/>
    <s v="Bhopal"/>
    <x v="0"/>
    <n v="4"/>
    <s v="Apr"/>
    <x v="3"/>
    <n v="0.3364485981308411"/>
    <s v="Q2"/>
    <s v="Tuesday"/>
  </r>
  <r>
    <s v="B-25655"/>
    <n v="312"/>
    <n v="-312"/>
    <n v="7"/>
    <x v="1"/>
    <x v="1"/>
    <s v="COD"/>
    <d v="2018-05-11T00:00:00"/>
    <x v="15"/>
    <x v="0"/>
    <s v="Indore"/>
    <x v="0"/>
    <n v="5"/>
    <s v="May"/>
    <x v="7"/>
    <n v="-1"/>
    <s v="Q2"/>
    <s v="Friday"/>
  </r>
  <r>
    <s v="B-26096"/>
    <n v="451"/>
    <n v="25"/>
    <n v="3"/>
    <x v="0"/>
    <x v="4"/>
    <s v="EMI"/>
    <d v="2018-03-28T00:00:00"/>
    <x v="86"/>
    <x v="17"/>
    <s v="Kolkata"/>
    <x v="0"/>
    <n v="3"/>
    <s v="Mar"/>
    <x v="1"/>
    <n v="5.543237250554324E-2"/>
    <s v="Q1"/>
    <s v="Wednesday"/>
  </r>
  <r>
    <s v="B-25962"/>
    <n v="312"/>
    <n v="62"/>
    <n v="1"/>
    <x v="0"/>
    <x v="0"/>
    <s v="COD"/>
    <d v="2018-01-19T00:00:00"/>
    <x v="128"/>
    <x v="2"/>
    <s v="Pune"/>
    <x v="0"/>
    <n v="1"/>
    <s v="Jan"/>
    <x v="2"/>
    <n v="0.19871794871794871"/>
    <s v="Q1"/>
    <s v="Friday"/>
  </r>
  <r>
    <s v="B-26007"/>
    <n v="311"/>
    <n v="72"/>
    <n v="2"/>
    <x v="1"/>
    <x v="2"/>
    <s v="COD"/>
    <d v="2018-02-09T00:00:00"/>
    <x v="141"/>
    <x v="4"/>
    <s v="Kashmir"/>
    <x v="0"/>
    <n v="2"/>
    <s v="Feb"/>
    <x v="10"/>
    <n v="0.23151125401929259"/>
    <s v="Q1"/>
    <s v="Friday"/>
  </r>
  <r>
    <s v="B-26088"/>
    <n v="11"/>
    <n v="5"/>
    <n v="2"/>
    <x v="2"/>
    <x v="7"/>
    <s v="UPI"/>
    <d v="2018-03-26T00:00:00"/>
    <x v="175"/>
    <x v="18"/>
    <s v="Gangtok"/>
    <x v="0"/>
    <n v="3"/>
    <s v="Mar"/>
    <x v="1"/>
    <n v="0.45454545454545453"/>
    <s v="Q1"/>
    <s v="Monday"/>
  </r>
  <r>
    <s v="B-25673"/>
    <n v="37"/>
    <n v="-5"/>
    <n v="3"/>
    <x v="2"/>
    <x v="14"/>
    <s v="Debit Card"/>
    <d v="2018-05-28T00:00:00"/>
    <x v="162"/>
    <x v="7"/>
    <s v="Ahmedabad"/>
    <x v="0"/>
    <n v="5"/>
    <s v="May"/>
    <x v="7"/>
    <n v="-0.13513513513513514"/>
    <s v="Q2"/>
    <s v="Monday"/>
  </r>
  <r>
    <s v="B-25664"/>
    <n v="444"/>
    <n v="-200"/>
    <n v="4"/>
    <x v="0"/>
    <x v="4"/>
    <s v="EMI"/>
    <d v="2018-05-20T00:00:00"/>
    <x v="176"/>
    <x v="12"/>
    <s v="Patna"/>
    <x v="0"/>
    <n v="5"/>
    <s v="May"/>
    <x v="7"/>
    <n v="-0.45045045045045046"/>
    <s v="Q2"/>
    <s v="Sunday"/>
  </r>
  <r>
    <s v="B-25642"/>
    <n v="434"/>
    <n v="26"/>
    <n v="11"/>
    <x v="2"/>
    <x v="16"/>
    <s v="Credit Card"/>
    <d v="2018-04-28T00:00:00"/>
    <x v="84"/>
    <x v="3"/>
    <s v="Bangalore"/>
    <x v="0"/>
    <n v="4"/>
    <s v="Apr"/>
    <x v="3"/>
    <n v="5.9907834101382486E-2"/>
    <s v="Q2"/>
    <s v="Saturday"/>
  </r>
  <r>
    <s v="B-25987"/>
    <n v="299"/>
    <n v="0"/>
    <n v="6"/>
    <x v="2"/>
    <x v="11"/>
    <s v="COD"/>
    <d v="2018-01-31T00:00:00"/>
    <x v="177"/>
    <x v="8"/>
    <s v="Delhi"/>
    <x v="0"/>
    <n v="1"/>
    <s v="Jan"/>
    <x v="2"/>
    <n v="0"/>
    <s v="Q1"/>
    <s v="Wednesday"/>
  </r>
  <r>
    <s v="B-25903"/>
    <n v="37"/>
    <n v="17"/>
    <n v="3"/>
    <x v="2"/>
    <x v="7"/>
    <s v="Debit Card"/>
    <d v="2018-12-10T00:00:00"/>
    <x v="94"/>
    <x v="0"/>
    <s v="Indore"/>
    <x v="0"/>
    <n v="12"/>
    <s v="Dec"/>
    <x v="5"/>
    <n v="0.45945945945945948"/>
    <s v="Q4"/>
    <s v="Monday"/>
  </r>
  <r>
    <s v="B-25770"/>
    <n v="299"/>
    <n v="113"/>
    <n v="2"/>
    <x v="1"/>
    <x v="2"/>
    <s v="COD"/>
    <d v="2018-09-02T00:00:00"/>
    <x v="178"/>
    <x v="0"/>
    <s v="Indore"/>
    <x v="0"/>
    <n v="9"/>
    <s v="Sep"/>
    <x v="8"/>
    <n v="0.3779264214046823"/>
    <s v="Q3"/>
    <s v="Sunday"/>
  </r>
  <r>
    <s v="B-25840"/>
    <n v="298"/>
    <n v="74"/>
    <n v="2"/>
    <x v="1"/>
    <x v="2"/>
    <s v="COD"/>
    <d v="2018-10-31T00:00:00"/>
    <x v="179"/>
    <x v="3"/>
    <s v="Bangalore"/>
    <x v="0"/>
    <n v="10"/>
    <s v="Oct"/>
    <x v="11"/>
    <n v="0.24832214765100671"/>
    <s v="Q4"/>
    <s v="Wednesday"/>
  </r>
  <r>
    <s v="B-25846"/>
    <n v="94"/>
    <n v="7"/>
    <n v="7"/>
    <x v="2"/>
    <x v="12"/>
    <s v="UPI"/>
    <d v="2018-11-03T00:00:00"/>
    <x v="180"/>
    <x v="13"/>
    <s v="Chandigarh"/>
    <x v="0"/>
    <n v="11"/>
    <s v="Nov"/>
    <x v="4"/>
    <n v="7.4468085106382975E-2"/>
    <s v="Q4"/>
    <s v="Saturday"/>
  </r>
  <r>
    <s v="B-25745"/>
    <n v="296"/>
    <n v="225"/>
    <n v="11"/>
    <x v="2"/>
    <x v="6"/>
    <s v="COD"/>
    <d v="2018-08-09T00:00:00"/>
    <x v="181"/>
    <x v="7"/>
    <s v="Ahmedabad"/>
    <x v="0"/>
    <n v="8"/>
    <s v="Aug"/>
    <x v="6"/>
    <n v="0.76013513513513509"/>
    <s v="Q3"/>
    <s v="Thursday"/>
  </r>
  <r>
    <s v="B-26073"/>
    <n v="37"/>
    <n v="17"/>
    <n v="3"/>
    <x v="2"/>
    <x v="7"/>
    <s v="Debit Card"/>
    <d v="2018-03-21T00:00:00"/>
    <x v="182"/>
    <x v="0"/>
    <s v="Indore"/>
    <x v="0"/>
    <n v="3"/>
    <s v="Mar"/>
    <x v="1"/>
    <n v="0.45945945945945948"/>
    <s v="Q1"/>
    <s v="Wednesday"/>
  </r>
  <r>
    <s v="B-26030"/>
    <n v="291"/>
    <n v="93"/>
    <n v="2"/>
    <x v="0"/>
    <x v="3"/>
    <s v="COD"/>
    <d v="2018-02-21T00:00:00"/>
    <x v="3"/>
    <x v="2"/>
    <s v="Pune"/>
    <x v="0"/>
    <n v="2"/>
    <s v="Feb"/>
    <x v="10"/>
    <n v="0.31958762886597936"/>
    <s v="Q1"/>
    <s v="Wednesday"/>
  </r>
  <r>
    <s v="B-25678"/>
    <n v="327"/>
    <n v="-39"/>
    <n v="1"/>
    <x v="0"/>
    <x v="4"/>
    <s v="COD"/>
    <d v="2018-06-03T00:00:00"/>
    <x v="158"/>
    <x v="3"/>
    <s v="Bangalore"/>
    <x v="0"/>
    <n v="6"/>
    <s v="Jun"/>
    <x v="0"/>
    <n v="-0.11926605504587157"/>
    <s v="Q2"/>
    <s v="Sunday"/>
  </r>
  <r>
    <s v="B-26035"/>
    <n v="291"/>
    <n v="119"/>
    <n v="11"/>
    <x v="2"/>
    <x v="6"/>
    <s v="COD"/>
    <d v="2018-02-23T00:00:00"/>
    <x v="90"/>
    <x v="4"/>
    <s v="Kashmir"/>
    <x v="0"/>
    <n v="2"/>
    <s v="Feb"/>
    <x v="10"/>
    <n v="0.40893470790378006"/>
    <s v="Q1"/>
    <s v="Friday"/>
  </r>
  <r>
    <s v="B-25896"/>
    <n v="287"/>
    <n v="-66"/>
    <n v="6"/>
    <x v="2"/>
    <x v="8"/>
    <s v="COD"/>
    <d v="2018-12-05T00:00:00"/>
    <x v="140"/>
    <x v="2"/>
    <s v="Mumbai"/>
    <x v="0"/>
    <n v="12"/>
    <s v="Dec"/>
    <x v="5"/>
    <n v="-0.22996515679442509"/>
    <s v="Q4"/>
    <s v="Wednesday"/>
  </r>
  <r>
    <s v="B-25989"/>
    <n v="42"/>
    <n v="15"/>
    <n v="1"/>
    <x v="0"/>
    <x v="13"/>
    <s v="UPI"/>
    <d v="2018-02-01T00:00:00"/>
    <x v="67"/>
    <x v="8"/>
    <s v="Delhi"/>
    <x v="0"/>
    <n v="2"/>
    <s v="Feb"/>
    <x v="10"/>
    <n v="0.35714285714285715"/>
    <s v="Q1"/>
    <s v="Thursday"/>
  </r>
  <r>
    <s v="B-26016"/>
    <n v="429"/>
    <n v="61"/>
    <n v="3"/>
    <x v="0"/>
    <x v="0"/>
    <s v="Credit Card"/>
    <d v="2018-02-14T00:00:00"/>
    <x v="75"/>
    <x v="3"/>
    <s v="Bangalore"/>
    <x v="0"/>
    <n v="2"/>
    <s v="Feb"/>
    <x v="10"/>
    <n v="0.14219114219114218"/>
    <s v="Q1"/>
    <s v="Wednesday"/>
  </r>
  <r>
    <s v="B-26009"/>
    <n v="285"/>
    <n v="128"/>
    <n v="2"/>
    <x v="0"/>
    <x v="3"/>
    <s v="COD"/>
    <d v="2018-02-10T00:00:00"/>
    <x v="183"/>
    <x v="1"/>
    <s v="Lucknow"/>
    <x v="0"/>
    <n v="2"/>
    <s v="Feb"/>
    <x v="10"/>
    <n v="0.44912280701754387"/>
    <s v="Q1"/>
    <s v="Saturday"/>
  </r>
  <r>
    <s v="B-25915"/>
    <n v="277"/>
    <n v="3"/>
    <n v="1"/>
    <x v="0"/>
    <x v="0"/>
    <s v="COD"/>
    <d v="2018-12-19T00:00:00"/>
    <x v="184"/>
    <x v="13"/>
    <s v="Amritsar"/>
    <x v="0"/>
    <n v="12"/>
    <s v="Dec"/>
    <x v="5"/>
    <n v="1.0830324909747292E-2"/>
    <s v="Q4"/>
    <s v="Wednesday"/>
  </r>
  <r>
    <s v="B-25845"/>
    <n v="274"/>
    <n v="-7"/>
    <n v="4"/>
    <x v="0"/>
    <x v="4"/>
    <s v="COD"/>
    <d v="2018-11-03T00:00:00"/>
    <x v="23"/>
    <x v="10"/>
    <s v="Thiruvananthapuram"/>
    <x v="0"/>
    <n v="11"/>
    <s v="Nov"/>
    <x v="4"/>
    <n v="-2.5547445255474453E-2"/>
    <s v="Q4"/>
    <s v="Saturday"/>
  </r>
  <r>
    <s v="B-25645"/>
    <n v="273"/>
    <n v="-87"/>
    <n v="4"/>
    <x v="0"/>
    <x v="4"/>
    <s v="COD"/>
    <d v="2018-05-01T00:00:00"/>
    <x v="185"/>
    <x v="0"/>
    <s v="Indore"/>
    <x v="0"/>
    <n v="5"/>
    <s v="May"/>
    <x v="7"/>
    <n v="-0.31868131868131866"/>
    <s v="Q2"/>
    <s v="Tuesday"/>
  </r>
  <r>
    <s v="B-25803"/>
    <n v="269"/>
    <n v="91"/>
    <n v="1"/>
    <x v="0"/>
    <x v="0"/>
    <s v="COD"/>
    <d v="2018-10-05T00:00:00"/>
    <x v="125"/>
    <x v="0"/>
    <s v="Indore"/>
    <x v="0"/>
    <n v="10"/>
    <s v="Oct"/>
    <x v="11"/>
    <n v="0.33828996282527879"/>
    <s v="Q4"/>
    <s v="Friday"/>
  </r>
  <r>
    <s v="B-26030"/>
    <n v="11"/>
    <n v="5"/>
    <n v="1"/>
    <x v="2"/>
    <x v="9"/>
    <s v="COD"/>
    <d v="2018-02-21T00:00:00"/>
    <x v="3"/>
    <x v="2"/>
    <s v="Pune"/>
    <x v="0"/>
    <n v="2"/>
    <s v="Feb"/>
    <x v="10"/>
    <n v="0.45454545454545453"/>
    <s v="Q1"/>
    <s v="Wednesday"/>
  </r>
  <r>
    <s v="B-25955"/>
    <n v="39"/>
    <n v="2"/>
    <n v="2"/>
    <x v="2"/>
    <x v="6"/>
    <s v="Debit Card"/>
    <d v="2018-01-16T00:00:00"/>
    <x v="2"/>
    <x v="2"/>
    <s v="Pune"/>
    <x v="0"/>
    <n v="1"/>
    <s v="Jan"/>
    <x v="2"/>
    <n v="5.128205128205128E-2"/>
    <s v="Q1"/>
    <s v="Tuesday"/>
  </r>
  <r>
    <s v="B-26096"/>
    <n v="264"/>
    <n v="-26"/>
    <n v="3"/>
    <x v="2"/>
    <x v="5"/>
    <s v="COD"/>
    <d v="2018-03-28T00:00:00"/>
    <x v="86"/>
    <x v="17"/>
    <s v="Kolkata"/>
    <x v="0"/>
    <n v="3"/>
    <s v="Mar"/>
    <x v="1"/>
    <n v="-9.8484848484848481E-2"/>
    <s v="Q1"/>
    <s v="Wednesday"/>
  </r>
  <r>
    <s v="B-25635"/>
    <n v="40"/>
    <n v="16"/>
    <n v="3"/>
    <x v="2"/>
    <x v="7"/>
    <s v="Debit Card"/>
    <d v="2018-04-26T00:00:00"/>
    <x v="186"/>
    <x v="5"/>
    <s v="Kohima"/>
    <x v="0"/>
    <n v="4"/>
    <s v="Apr"/>
    <x v="3"/>
    <n v="0.4"/>
    <s v="Q2"/>
    <s v="Thursday"/>
  </r>
  <r>
    <s v="B-26038"/>
    <n v="41"/>
    <n v="19"/>
    <n v="2"/>
    <x v="2"/>
    <x v="14"/>
    <s v="Debit Card"/>
    <d v="2018-02-24T00:00:00"/>
    <x v="28"/>
    <x v="12"/>
    <s v="Patna"/>
    <x v="0"/>
    <n v="2"/>
    <s v="Feb"/>
    <x v="10"/>
    <n v="0.46341463414634149"/>
    <s v="Q1"/>
    <s v="Saturday"/>
  </r>
  <r>
    <s v="B-25791"/>
    <n v="253"/>
    <n v="-63"/>
    <n v="2"/>
    <x v="2"/>
    <x v="6"/>
    <s v="UPI"/>
    <d v="2018-09-24T00:00:00"/>
    <x v="163"/>
    <x v="10"/>
    <s v="Thiruvananthapuram"/>
    <x v="0"/>
    <n v="9"/>
    <s v="Sep"/>
    <x v="8"/>
    <n v="-0.24901185770750989"/>
    <s v="Q3"/>
    <s v="Monday"/>
  </r>
  <r>
    <s v="B-26014"/>
    <n v="406"/>
    <n v="97"/>
    <n v="7"/>
    <x v="1"/>
    <x v="1"/>
    <s v="Credit Card"/>
    <d v="2018-02-13T00:00:00"/>
    <x v="187"/>
    <x v="6"/>
    <s v="Jaipur"/>
    <x v="0"/>
    <n v="2"/>
    <s v="Feb"/>
    <x v="10"/>
    <n v="0.23891625615763548"/>
    <s v="Q1"/>
    <s v="Tuesday"/>
  </r>
  <r>
    <s v="B-25751"/>
    <n v="32"/>
    <n v="7"/>
    <n v="3"/>
    <x v="2"/>
    <x v="7"/>
    <s v="COD"/>
    <d v="2018-08-14T00:00:00"/>
    <x v="188"/>
    <x v="2"/>
    <s v="Mumbai"/>
    <x v="0"/>
    <n v="8"/>
    <s v="Aug"/>
    <x v="6"/>
    <n v="0.21875"/>
    <s v="Q3"/>
    <s v="Tuesday"/>
  </r>
  <r>
    <s v="B-25962"/>
    <n v="260"/>
    <n v="68"/>
    <n v="2"/>
    <x v="0"/>
    <x v="3"/>
    <s v="COD"/>
    <d v="2018-01-19T00:00:00"/>
    <x v="128"/>
    <x v="2"/>
    <s v="Pune"/>
    <x v="0"/>
    <n v="1"/>
    <s v="Jan"/>
    <x v="2"/>
    <n v="0.26153846153846155"/>
    <s v="Q1"/>
    <s v="Friday"/>
  </r>
  <r>
    <s v="B-26025"/>
    <n v="41"/>
    <n v="19"/>
    <n v="5"/>
    <x v="2"/>
    <x v="7"/>
    <s v="Debit Card"/>
    <d v="2018-02-19T00:00:00"/>
    <x v="175"/>
    <x v="18"/>
    <s v="Gangtok"/>
    <x v="0"/>
    <n v="2"/>
    <s v="Feb"/>
    <x v="10"/>
    <n v="0.46341463414634149"/>
    <s v="Q1"/>
    <s v="Monday"/>
  </r>
  <r>
    <s v="B-26048"/>
    <n v="401"/>
    <n v="13"/>
    <n v="6"/>
    <x v="1"/>
    <x v="1"/>
    <s v="Credit Card"/>
    <d v="2018-03-04T00:00:00"/>
    <x v="30"/>
    <x v="2"/>
    <s v="Pune"/>
    <x v="0"/>
    <n v="3"/>
    <s v="Mar"/>
    <x v="1"/>
    <n v="3.2418952618453865E-2"/>
    <s v="Q1"/>
    <s v="Sunday"/>
  </r>
  <r>
    <s v="B-25635"/>
    <n v="382"/>
    <n v="30"/>
    <n v="3"/>
    <x v="2"/>
    <x v="6"/>
    <s v="Credit Card"/>
    <d v="2018-04-26T00:00:00"/>
    <x v="186"/>
    <x v="5"/>
    <s v="Kohima"/>
    <x v="0"/>
    <n v="4"/>
    <s v="Apr"/>
    <x v="3"/>
    <n v="7.8534031413612565E-2"/>
    <s v="Q2"/>
    <s v="Thursday"/>
  </r>
  <r>
    <s v="B-25981"/>
    <n v="867"/>
    <n v="251"/>
    <n v="5"/>
    <x v="0"/>
    <x v="4"/>
    <s v="COD"/>
    <d v="2018-01-28T00:00:00"/>
    <x v="189"/>
    <x v="8"/>
    <s v="Delhi"/>
    <x v="0"/>
    <n v="1"/>
    <s v="Jan"/>
    <x v="2"/>
    <n v="0.28950403690888121"/>
    <s v="Q1"/>
    <s v="Sunday"/>
  </r>
  <r>
    <s v="B-25610"/>
    <n v="43"/>
    <n v="0"/>
    <n v="3"/>
    <x v="2"/>
    <x v="6"/>
    <s v="Debit Card"/>
    <d v="2018-04-09T00:00:00"/>
    <x v="190"/>
    <x v="12"/>
    <s v="Patna"/>
    <x v="0"/>
    <n v="4"/>
    <s v="Apr"/>
    <x v="3"/>
    <n v="0"/>
    <s v="Q2"/>
    <s v="Monday"/>
  </r>
  <r>
    <s v="B-25733"/>
    <n v="43"/>
    <n v="-43"/>
    <n v="7"/>
    <x v="2"/>
    <x v="11"/>
    <s v="Debit Card"/>
    <d v="2018-07-28T00:00:00"/>
    <x v="191"/>
    <x v="2"/>
    <s v="Mumbai"/>
    <x v="0"/>
    <n v="7"/>
    <s v="Jul"/>
    <x v="9"/>
    <n v="-1"/>
    <s v="Q3"/>
    <s v="Saturday"/>
  </r>
  <r>
    <s v="B-25977"/>
    <n v="74"/>
    <n v="29"/>
    <n v="3"/>
    <x v="2"/>
    <x v="11"/>
    <s v="COD"/>
    <d v="2018-01-27T00:00:00"/>
    <x v="159"/>
    <x v="7"/>
    <s v="Surat"/>
    <x v="0"/>
    <n v="1"/>
    <s v="Jan"/>
    <x v="2"/>
    <n v="0.39189189189189189"/>
    <s v="Q1"/>
    <s v="Saturday"/>
  </r>
  <r>
    <s v="B-25655"/>
    <n v="44"/>
    <n v="-26"/>
    <n v="3"/>
    <x v="2"/>
    <x v="7"/>
    <s v="Debit Card"/>
    <d v="2018-05-11T00:00:00"/>
    <x v="15"/>
    <x v="0"/>
    <s v="Indore"/>
    <x v="0"/>
    <n v="5"/>
    <s v="May"/>
    <x v="7"/>
    <n v="-0.59090909090909094"/>
    <s v="Q2"/>
    <s v="Friday"/>
  </r>
  <r>
    <s v="B-25612"/>
    <n v="259"/>
    <n v="-55"/>
    <n v="2"/>
    <x v="1"/>
    <x v="1"/>
    <s v="COD"/>
    <d v="2018-04-12T00:00:00"/>
    <x v="32"/>
    <x v="13"/>
    <s v="Chandigarh"/>
    <x v="0"/>
    <n v="4"/>
    <s v="Apr"/>
    <x v="3"/>
    <n v="-0.21235521235521235"/>
    <s v="Q2"/>
    <s v="Thursday"/>
  </r>
  <r>
    <s v="B-25608"/>
    <n v="257"/>
    <n v="23"/>
    <n v="5"/>
    <x v="2"/>
    <x v="7"/>
    <s v="COD"/>
    <d v="2018-04-08T00:00:00"/>
    <x v="55"/>
    <x v="14"/>
    <s v="Chennai"/>
    <x v="0"/>
    <n v="4"/>
    <s v="Apr"/>
    <x v="3"/>
    <n v="8.9494163424124515E-2"/>
    <s v="Q2"/>
    <s v="Sunday"/>
  </r>
  <r>
    <s v="B-25752"/>
    <n v="76"/>
    <n v="27"/>
    <n v="5"/>
    <x v="2"/>
    <x v="11"/>
    <s v="COD"/>
    <d v="2018-08-14T00:00:00"/>
    <x v="89"/>
    <x v="0"/>
    <s v="Indore"/>
    <x v="0"/>
    <n v="8"/>
    <s v="Aug"/>
    <x v="6"/>
    <n v="0.35526315789473684"/>
    <s v="Q3"/>
    <s v="Tuesday"/>
  </r>
  <r>
    <s v="B-25700"/>
    <n v="44"/>
    <n v="-32"/>
    <n v="3"/>
    <x v="2"/>
    <x v="11"/>
    <s v="Debit Card"/>
    <d v="2018-06-25T00:00:00"/>
    <x v="192"/>
    <x v="2"/>
    <s v="Mumbai"/>
    <x v="0"/>
    <n v="6"/>
    <s v="Jun"/>
    <x v="0"/>
    <n v="-0.72727272727272729"/>
    <s v="Q2"/>
    <s v="Monday"/>
  </r>
  <r>
    <s v="B-25856"/>
    <n v="257"/>
    <n v="3"/>
    <n v="2"/>
    <x v="2"/>
    <x v="6"/>
    <s v="COD"/>
    <d v="2018-11-10T00:00:00"/>
    <x v="124"/>
    <x v="2"/>
    <s v="Mumbai"/>
    <x v="0"/>
    <n v="11"/>
    <s v="Nov"/>
    <x v="4"/>
    <n v="1.1673151750972763E-2"/>
    <s v="Q4"/>
    <s v="Saturday"/>
  </r>
  <r>
    <s v="B-26026"/>
    <n v="255"/>
    <n v="76"/>
    <n v="9"/>
    <x v="2"/>
    <x v="7"/>
    <s v="COD"/>
    <d v="2018-02-19T00:00:00"/>
    <x v="72"/>
    <x v="16"/>
    <s v="Goa"/>
    <x v="0"/>
    <n v="2"/>
    <s v="Feb"/>
    <x v="10"/>
    <n v="0.29803921568627451"/>
    <s v="Q1"/>
    <s v="Monday"/>
  </r>
  <r>
    <s v="B-25861"/>
    <n v="44"/>
    <n v="14"/>
    <n v="3"/>
    <x v="2"/>
    <x v="7"/>
    <s v="Debit Card"/>
    <d v="2018-11-15T00:00:00"/>
    <x v="193"/>
    <x v="1"/>
    <s v="Lucknow"/>
    <x v="0"/>
    <n v="11"/>
    <s v="Nov"/>
    <x v="4"/>
    <n v="0.31818181818181818"/>
    <s v="Q4"/>
    <s v="Thursday"/>
  </r>
  <r>
    <s v="B-25673"/>
    <n v="45"/>
    <n v="-2"/>
    <n v="4"/>
    <x v="2"/>
    <x v="16"/>
    <s v="COD"/>
    <d v="2018-05-28T00:00:00"/>
    <x v="162"/>
    <x v="7"/>
    <s v="Ahmedabad"/>
    <x v="0"/>
    <n v="5"/>
    <s v="May"/>
    <x v="7"/>
    <n v="-4.4444444444444446E-2"/>
    <s v="Q2"/>
    <s v="Monday"/>
  </r>
  <r>
    <s v="B-25681"/>
    <n v="44"/>
    <n v="-3"/>
    <n v="1"/>
    <x v="2"/>
    <x v="6"/>
    <s v="Debit Card"/>
    <d v="2018-06-04T00:00:00"/>
    <x v="0"/>
    <x v="0"/>
    <s v="Indore"/>
    <x v="0"/>
    <n v="6"/>
    <s v="Jun"/>
    <x v="0"/>
    <n v="-6.8181818181818177E-2"/>
    <s v="Q2"/>
    <s v="Monday"/>
  </r>
  <r>
    <s v="B-26051"/>
    <n v="382"/>
    <n v="119"/>
    <n v="2"/>
    <x v="2"/>
    <x v="6"/>
    <s v="Credit Card"/>
    <d v="2018-03-07T00:00:00"/>
    <x v="56"/>
    <x v="17"/>
    <s v="Kolkata"/>
    <x v="0"/>
    <n v="3"/>
    <s v="Mar"/>
    <x v="1"/>
    <n v="0.31151832460732987"/>
    <s v="Q1"/>
    <s v="Wednesday"/>
  </r>
  <r>
    <s v="B-25951"/>
    <n v="250"/>
    <n v="100"/>
    <n v="3"/>
    <x v="2"/>
    <x v="5"/>
    <s v="COD"/>
    <d v="2018-01-13T00:00:00"/>
    <x v="130"/>
    <x v="17"/>
    <s v="Kolkata"/>
    <x v="0"/>
    <n v="1"/>
    <s v="Jan"/>
    <x v="2"/>
    <n v="0.4"/>
    <s v="Q1"/>
    <s v="Saturday"/>
  </r>
  <r>
    <s v="B-25799"/>
    <n v="45"/>
    <n v="-15"/>
    <n v="2"/>
    <x v="1"/>
    <x v="1"/>
    <s v="COD"/>
    <d v="2018-10-01T00:00:00"/>
    <x v="194"/>
    <x v="7"/>
    <s v="Ahmedabad"/>
    <x v="0"/>
    <n v="10"/>
    <s v="Oct"/>
    <x v="11"/>
    <n v="-0.33333333333333331"/>
    <s v="Q4"/>
    <s v="Monday"/>
  </r>
  <r>
    <s v="B-26053"/>
    <n v="246"/>
    <n v="61"/>
    <n v="2"/>
    <x v="1"/>
    <x v="2"/>
    <s v="COD"/>
    <d v="2018-03-09T00:00:00"/>
    <x v="8"/>
    <x v="4"/>
    <s v="Kashmir"/>
    <x v="0"/>
    <n v="3"/>
    <s v="Mar"/>
    <x v="1"/>
    <n v="0.24796747967479674"/>
    <s v="Q1"/>
    <s v="Friday"/>
  </r>
  <r>
    <s v="B-26030"/>
    <n v="50"/>
    <n v="25"/>
    <n v="5"/>
    <x v="2"/>
    <x v="11"/>
    <s v="COD"/>
    <d v="2018-02-21T00:00:00"/>
    <x v="3"/>
    <x v="2"/>
    <s v="Pune"/>
    <x v="0"/>
    <n v="2"/>
    <s v="Feb"/>
    <x v="10"/>
    <n v="0.5"/>
    <s v="Q1"/>
    <s v="Wednesday"/>
  </r>
  <r>
    <s v="B-26054"/>
    <n v="246"/>
    <n v="98"/>
    <n v="5"/>
    <x v="2"/>
    <x v="7"/>
    <s v="COD"/>
    <d v="2018-03-10T00:00:00"/>
    <x v="195"/>
    <x v="2"/>
    <s v="Mumbai"/>
    <x v="0"/>
    <n v="3"/>
    <s v="Mar"/>
    <x v="1"/>
    <n v="0.3983739837398374"/>
    <s v="Q1"/>
    <s v="Saturday"/>
  </r>
  <r>
    <s v="B-25696"/>
    <n v="44"/>
    <n v="99"/>
    <n v="3"/>
    <x v="2"/>
    <x v="8"/>
    <s v="Debit Card"/>
    <d v="2018-06-21T00:00:00"/>
    <x v="6"/>
    <x v="3"/>
    <s v="Bangalore"/>
    <x v="0"/>
    <n v="6"/>
    <s v="Jun"/>
    <x v="0"/>
    <n v="2.25"/>
    <s v="Q2"/>
    <s v="Thursday"/>
  </r>
  <r>
    <s v="B-25660"/>
    <n v="245"/>
    <n v="-78"/>
    <n v="3"/>
    <x v="2"/>
    <x v="6"/>
    <s v="COD"/>
    <d v="2018-05-16T00:00:00"/>
    <x v="21"/>
    <x v="3"/>
    <s v="Bangalore"/>
    <x v="0"/>
    <n v="5"/>
    <s v="May"/>
    <x v="7"/>
    <n v="-0.3183673469387755"/>
    <s v="Q2"/>
    <s v="Wednesday"/>
  </r>
  <r>
    <s v="B-25858"/>
    <n v="245"/>
    <n v="30"/>
    <n v="2"/>
    <x v="2"/>
    <x v="6"/>
    <s v="COD"/>
    <d v="2018-11-13T00:00:00"/>
    <x v="137"/>
    <x v="2"/>
    <s v="Mumbai"/>
    <x v="0"/>
    <n v="11"/>
    <s v="Nov"/>
    <x v="4"/>
    <n v="0.12244897959183673"/>
    <s v="Q4"/>
    <s v="Tuesday"/>
  </r>
  <r>
    <s v="B-26045"/>
    <n v="376"/>
    <n v="0"/>
    <n v="7"/>
    <x v="2"/>
    <x v="11"/>
    <s v="Credit Card"/>
    <d v="2018-03-03T00:00:00"/>
    <x v="186"/>
    <x v="5"/>
    <s v="Kohima"/>
    <x v="0"/>
    <n v="3"/>
    <s v="Mar"/>
    <x v="1"/>
    <n v="0"/>
    <s v="Q1"/>
    <s v="Saturday"/>
  </r>
  <r>
    <s v="B-25850"/>
    <n v="45"/>
    <n v="1"/>
    <n v="3"/>
    <x v="2"/>
    <x v="14"/>
    <s v="Debit Card"/>
    <d v="2018-11-05T00:00:00"/>
    <x v="76"/>
    <x v="16"/>
    <s v="Goa"/>
    <x v="0"/>
    <n v="11"/>
    <s v="Nov"/>
    <x v="4"/>
    <n v="2.2222222222222223E-2"/>
    <s v="Q4"/>
    <s v="Monday"/>
  </r>
  <r>
    <s v="B-25781"/>
    <n v="45"/>
    <n v="-28"/>
    <n v="2"/>
    <x v="2"/>
    <x v="11"/>
    <s v="Debit Card"/>
    <d v="2018-09-14T00:00:00"/>
    <x v="196"/>
    <x v="7"/>
    <s v="Ahmedabad"/>
    <x v="0"/>
    <n v="9"/>
    <s v="Sep"/>
    <x v="8"/>
    <n v="-0.62222222222222223"/>
    <s v="Q3"/>
    <s v="Friday"/>
  </r>
  <r>
    <s v="B-25918"/>
    <n v="244"/>
    <n v="-122"/>
    <n v="5"/>
    <x v="1"/>
    <x v="15"/>
    <s v="COD"/>
    <d v="2018-12-22T00:00:00"/>
    <x v="197"/>
    <x v="0"/>
    <s v="Indore"/>
    <x v="0"/>
    <n v="12"/>
    <s v="Dec"/>
    <x v="5"/>
    <n v="-0.5"/>
    <s v="Q4"/>
    <s v="Saturday"/>
  </r>
  <r>
    <s v="B-25971"/>
    <n v="244"/>
    <n v="83"/>
    <n v="2"/>
    <x v="1"/>
    <x v="2"/>
    <s v="COD"/>
    <d v="2018-01-22T00:00:00"/>
    <x v="198"/>
    <x v="0"/>
    <s v="Indore"/>
    <x v="0"/>
    <n v="1"/>
    <s v="Jan"/>
    <x v="2"/>
    <n v="0.3401639344262295"/>
    <s v="Q1"/>
    <s v="Monday"/>
  </r>
  <r>
    <s v="B-25870"/>
    <n v="10"/>
    <n v="4"/>
    <n v="1"/>
    <x v="2"/>
    <x v="8"/>
    <s v="UPI"/>
    <d v="2018-11-20T00:00:00"/>
    <x v="123"/>
    <x v="9"/>
    <s v="Hyderabad"/>
    <x v="0"/>
    <n v="11"/>
    <s v="Nov"/>
    <x v="4"/>
    <n v="0.4"/>
    <s v="Q4"/>
    <s v="Tuesday"/>
  </r>
  <r>
    <s v="B-25770"/>
    <n v="375"/>
    <n v="180"/>
    <n v="3"/>
    <x v="1"/>
    <x v="2"/>
    <s v="Credit Card"/>
    <d v="2018-09-02T00:00:00"/>
    <x v="178"/>
    <x v="0"/>
    <s v="Indore"/>
    <x v="0"/>
    <n v="9"/>
    <s v="Sep"/>
    <x v="8"/>
    <n v="0.48"/>
    <s v="Q3"/>
    <s v="Sunday"/>
  </r>
  <r>
    <s v="B-25757"/>
    <n v="46"/>
    <n v="14"/>
    <n v="5"/>
    <x v="2"/>
    <x v="9"/>
    <s v="Debit Card"/>
    <d v="2018-08-21T00:00:00"/>
    <x v="11"/>
    <x v="0"/>
    <s v="Indore"/>
    <x v="0"/>
    <n v="8"/>
    <s v="Aug"/>
    <x v="6"/>
    <n v="0.30434782608695654"/>
    <s v="Q3"/>
    <s v="Tuesday"/>
  </r>
  <r>
    <s v="B-25699"/>
    <n v="49"/>
    <n v="-31"/>
    <n v="2"/>
    <x v="2"/>
    <x v="11"/>
    <s v="UPI"/>
    <d v="2018-06-24T00:00:00"/>
    <x v="199"/>
    <x v="1"/>
    <s v="Lucknow"/>
    <x v="0"/>
    <n v="6"/>
    <s v="Jun"/>
    <x v="0"/>
    <n v="-0.63265306122448983"/>
    <s v="Q2"/>
    <s v="Sunday"/>
  </r>
  <r>
    <s v="B-25776"/>
    <n v="47"/>
    <n v="-20"/>
    <n v="2"/>
    <x v="2"/>
    <x v="8"/>
    <s v="Debit Card"/>
    <d v="2018-09-09T00:00:00"/>
    <x v="200"/>
    <x v="2"/>
    <s v="Mumbai"/>
    <x v="0"/>
    <n v="9"/>
    <s v="Sep"/>
    <x v="8"/>
    <n v="-0.42553191489361702"/>
    <s v="Q3"/>
    <s v="Sunday"/>
  </r>
  <r>
    <s v="B-25893"/>
    <n v="355"/>
    <n v="-114"/>
    <n v="7"/>
    <x v="2"/>
    <x v="11"/>
    <s v="Credit Card"/>
    <d v="2018-12-04T00:00:00"/>
    <x v="4"/>
    <x v="1"/>
    <s v="Mathura"/>
    <x v="0"/>
    <n v="12"/>
    <s v="Dec"/>
    <x v="5"/>
    <n v="-0.3211267605633803"/>
    <s v="Q4"/>
    <s v="Tuesday"/>
  </r>
  <r>
    <s v="B-25985"/>
    <n v="32"/>
    <n v="8"/>
    <n v="5"/>
    <x v="2"/>
    <x v="7"/>
    <s v="UPI"/>
    <d v="2018-01-31T00:00:00"/>
    <x v="201"/>
    <x v="0"/>
    <s v="Indore"/>
    <x v="0"/>
    <n v="1"/>
    <s v="Jan"/>
    <x v="2"/>
    <n v="0.25"/>
    <s v="Q1"/>
    <s v="Wednesday"/>
  </r>
  <r>
    <s v="B-25681"/>
    <n v="243"/>
    <n v="-14"/>
    <n v="2"/>
    <x v="1"/>
    <x v="1"/>
    <s v="COD"/>
    <d v="2018-06-04T00:00:00"/>
    <x v="0"/>
    <x v="0"/>
    <s v="Indore"/>
    <x v="0"/>
    <n v="6"/>
    <s v="Jun"/>
    <x v="0"/>
    <n v="-5.7613168724279837E-2"/>
    <s v="Q2"/>
    <s v="Monday"/>
  </r>
  <r>
    <s v="B-26063"/>
    <n v="241"/>
    <n v="-77"/>
    <n v="4"/>
    <x v="0"/>
    <x v="0"/>
    <s v="COD"/>
    <d v="2018-03-15T00:00:00"/>
    <x v="80"/>
    <x v="5"/>
    <s v="Kohima"/>
    <x v="0"/>
    <n v="3"/>
    <s v="Mar"/>
    <x v="1"/>
    <n v="-0.31950207468879666"/>
    <s v="Q1"/>
    <s v="Thursday"/>
  </r>
  <r>
    <s v="B-26032"/>
    <n v="47"/>
    <n v="15"/>
    <n v="5"/>
    <x v="2"/>
    <x v="6"/>
    <s v="Debit Card"/>
    <d v="2018-02-22T00:00:00"/>
    <x v="17"/>
    <x v="6"/>
    <s v="Jaipur"/>
    <x v="0"/>
    <n v="2"/>
    <s v="Feb"/>
    <x v="10"/>
    <n v="0.31914893617021278"/>
    <s v="Q1"/>
    <s v="Thursday"/>
  </r>
  <r>
    <s v="B-26001"/>
    <n v="50"/>
    <n v="-10"/>
    <n v="6"/>
    <x v="2"/>
    <x v="9"/>
    <s v="Debit Card"/>
    <d v="2018-02-07T00:00:00"/>
    <x v="24"/>
    <x v="8"/>
    <s v="Delhi"/>
    <x v="0"/>
    <n v="2"/>
    <s v="Feb"/>
    <x v="10"/>
    <n v="-0.2"/>
    <s v="Q1"/>
    <s v="Wednesday"/>
  </r>
  <r>
    <s v="B-26056"/>
    <n v="15"/>
    <n v="6"/>
    <n v="2"/>
    <x v="2"/>
    <x v="7"/>
    <s v="COD"/>
    <d v="2018-03-10T00:00:00"/>
    <x v="156"/>
    <x v="12"/>
    <s v="Patna"/>
    <x v="0"/>
    <n v="3"/>
    <s v="Mar"/>
    <x v="1"/>
    <n v="0.4"/>
    <s v="Q1"/>
    <s v="Saturday"/>
  </r>
  <r>
    <s v="B-25850"/>
    <n v="148"/>
    <n v="24"/>
    <n v="3"/>
    <x v="2"/>
    <x v="11"/>
    <s v="COD"/>
    <d v="2018-11-05T00:00:00"/>
    <x v="76"/>
    <x v="16"/>
    <s v="Goa"/>
    <x v="0"/>
    <n v="11"/>
    <s v="Nov"/>
    <x v="4"/>
    <n v="0.16216216216216217"/>
    <s v="Q4"/>
    <s v="Monday"/>
  </r>
  <r>
    <s v="B-25767"/>
    <n v="299"/>
    <n v="-28"/>
    <n v="3"/>
    <x v="0"/>
    <x v="0"/>
    <s v="UPI"/>
    <d v="2018-08-31T00:00:00"/>
    <x v="202"/>
    <x v="17"/>
    <s v="Kolkata"/>
    <x v="0"/>
    <n v="8"/>
    <s v="Aug"/>
    <x v="6"/>
    <n v="-9.3645484949832769E-2"/>
    <s v="Q3"/>
    <s v="Friday"/>
  </r>
  <r>
    <s v="B-25693"/>
    <n v="68"/>
    <n v="-30"/>
    <n v="1"/>
    <x v="0"/>
    <x v="4"/>
    <s v="UPI"/>
    <d v="2018-06-18T00:00:00"/>
    <x v="77"/>
    <x v="0"/>
    <s v="Bhopal"/>
    <x v="0"/>
    <n v="6"/>
    <s v="Jun"/>
    <x v="0"/>
    <n v="-0.44117647058823528"/>
    <s v="Q2"/>
    <s v="Monday"/>
  </r>
  <r>
    <s v="B-25850"/>
    <n v="52"/>
    <n v="18"/>
    <n v="5"/>
    <x v="2"/>
    <x v="12"/>
    <s v="Debit Card"/>
    <d v="2018-11-05T00:00:00"/>
    <x v="76"/>
    <x v="16"/>
    <s v="Goa"/>
    <x v="0"/>
    <n v="11"/>
    <s v="Nov"/>
    <x v="4"/>
    <n v="0.34615384615384615"/>
    <s v="Q4"/>
    <s v="Monday"/>
  </r>
  <r>
    <s v="B-25796"/>
    <n v="239"/>
    <n v="-162"/>
    <n v="5"/>
    <x v="1"/>
    <x v="1"/>
    <s v="COD"/>
    <d v="2018-09-24T00:00:00"/>
    <x v="119"/>
    <x v="2"/>
    <s v="Mumbai"/>
    <x v="0"/>
    <n v="9"/>
    <s v="Sep"/>
    <x v="8"/>
    <n v="-0.67782426778242677"/>
    <s v="Q3"/>
    <s v="Monday"/>
  </r>
  <r>
    <s v="B-26053"/>
    <n v="27"/>
    <n v="6"/>
    <n v="3"/>
    <x v="2"/>
    <x v="9"/>
    <s v="COD"/>
    <d v="2018-03-09T00:00:00"/>
    <x v="8"/>
    <x v="4"/>
    <s v="Kashmir"/>
    <x v="0"/>
    <n v="3"/>
    <s v="Mar"/>
    <x v="1"/>
    <n v="0.22222222222222221"/>
    <s v="Q1"/>
    <s v="Friday"/>
  </r>
  <r>
    <s v="B-25650"/>
    <n v="238"/>
    <n v="20"/>
    <n v="2"/>
    <x v="2"/>
    <x v="6"/>
    <s v="COD"/>
    <d v="2018-05-06T00:00:00"/>
    <x v="95"/>
    <x v="2"/>
    <s v="Mumbai"/>
    <x v="0"/>
    <n v="5"/>
    <s v="May"/>
    <x v="7"/>
    <n v="8.4033613445378158E-2"/>
    <s v="Q2"/>
    <s v="Sunday"/>
  </r>
  <r>
    <s v="B-25961"/>
    <n v="48"/>
    <n v="16"/>
    <n v="3"/>
    <x v="2"/>
    <x v="16"/>
    <s v="COD"/>
    <d v="2018-01-18T00:00:00"/>
    <x v="154"/>
    <x v="7"/>
    <s v="Ahmedabad"/>
    <x v="0"/>
    <n v="1"/>
    <s v="Jan"/>
    <x v="2"/>
    <n v="0.33333333333333331"/>
    <s v="Q1"/>
    <s v="Thursday"/>
  </r>
  <r>
    <s v="B-26023"/>
    <n v="66"/>
    <n v="22"/>
    <n v="3"/>
    <x v="2"/>
    <x v="11"/>
    <s v="UPI"/>
    <d v="2018-02-19T00:00:00"/>
    <x v="88"/>
    <x v="15"/>
    <s v="Chandigarh"/>
    <x v="0"/>
    <n v="2"/>
    <s v="Feb"/>
    <x v="10"/>
    <n v="0.33333333333333331"/>
    <s v="Q1"/>
    <s v="Monday"/>
  </r>
  <r>
    <s v="B-25809"/>
    <n v="53"/>
    <n v="24"/>
    <n v="1"/>
    <x v="2"/>
    <x v="7"/>
    <s v="Debit Card"/>
    <d v="2018-10-09T00:00:00"/>
    <x v="203"/>
    <x v="10"/>
    <s v="Thiruvananthapuram"/>
    <x v="0"/>
    <n v="10"/>
    <s v="Oct"/>
    <x v="11"/>
    <n v="0.45283018867924529"/>
    <s v="Q4"/>
    <s v="Tuesday"/>
  </r>
  <r>
    <s v="B-25621"/>
    <n v="233"/>
    <n v="-10"/>
    <n v="5"/>
    <x v="0"/>
    <x v="0"/>
    <s v="COD"/>
    <d v="2018-04-20T00:00:00"/>
    <x v="171"/>
    <x v="0"/>
    <s v="Bhopal"/>
    <x v="0"/>
    <n v="4"/>
    <s v="Apr"/>
    <x v="3"/>
    <n v="-4.2918454935622317E-2"/>
    <s v="Q2"/>
    <s v="Friday"/>
  </r>
  <r>
    <s v="B-25854"/>
    <n v="53"/>
    <n v="-2"/>
    <n v="3"/>
    <x v="2"/>
    <x v="6"/>
    <s v="Debit Card"/>
    <d v="2018-11-08T00:00:00"/>
    <x v="141"/>
    <x v="2"/>
    <s v="Pune"/>
    <x v="0"/>
    <n v="11"/>
    <s v="Nov"/>
    <x v="4"/>
    <n v="-3.7735849056603772E-2"/>
    <s v="Q4"/>
    <s v="Thursday"/>
  </r>
  <r>
    <s v="B-26057"/>
    <n v="54"/>
    <n v="8"/>
    <n v="4"/>
    <x v="2"/>
    <x v="14"/>
    <s v="Debit Card"/>
    <d v="2018-03-10T00:00:00"/>
    <x v="152"/>
    <x v="10"/>
    <s v="Thiruvananthapuram"/>
    <x v="0"/>
    <n v="3"/>
    <s v="Mar"/>
    <x v="1"/>
    <n v="0.14814814814814814"/>
    <s v="Q1"/>
    <s v="Saturday"/>
  </r>
  <r>
    <s v="B-25688"/>
    <n v="352"/>
    <n v="-345"/>
    <n v="5"/>
    <x v="2"/>
    <x v="6"/>
    <s v="Credit Card"/>
    <d v="2018-06-11T00:00:00"/>
    <x v="204"/>
    <x v="0"/>
    <s v="Indore"/>
    <x v="0"/>
    <n v="6"/>
    <s v="Jun"/>
    <x v="0"/>
    <n v="-0.98011363636363635"/>
    <s v="Q2"/>
    <s v="Monday"/>
  </r>
  <r>
    <s v="B-25885"/>
    <n v="349"/>
    <n v="0"/>
    <n v="7"/>
    <x v="2"/>
    <x v="11"/>
    <s v="Credit Card"/>
    <d v="2018-11-28T00:00:00"/>
    <x v="103"/>
    <x v="0"/>
    <s v="Indore"/>
    <x v="0"/>
    <n v="11"/>
    <s v="Nov"/>
    <x v="4"/>
    <n v="0"/>
    <s v="Q4"/>
    <s v="Wednesday"/>
  </r>
  <r>
    <s v="B-25753"/>
    <n v="341"/>
    <n v="-85"/>
    <n v="6"/>
    <x v="2"/>
    <x v="5"/>
    <s v="Credit Card"/>
    <d v="2018-08-17T00:00:00"/>
    <x v="205"/>
    <x v="1"/>
    <s v="Lucknow"/>
    <x v="0"/>
    <n v="8"/>
    <s v="Aug"/>
    <x v="6"/>
    <n v="-0.24926686217008798"/>
    <s v="Q3"/>
    <s v="Friday"/>
  </r>
  <r>
    <s v="B-25981"/>
    <n v="54"/>
    <n v="12"/>
    <n v="3"/>
    <x v="2"/>
    <x v="6"/>
    <s v="Debit Card"/>
    <d v="2018-01-28T00:00:00"/>
    <x v="189"/>
    <x v="8"/>
    <s v="Delhi"/>
    <x v="0"/>
    <n v="1"/>
    <s v="Jan"/>
    <x v="2"/>
    <n v="0.22222222222222221"/>
    <s v="Q1"/>
    <s v="Sunday"/>
  </r>
  <r>
    <s v="B-26055"/>
    <n v="57"/>
    <n v="7"/>
    <n v="2"/>
    <x v="2"/>
    <x v="16"/>
    <s v="UPI"/>
    <d v="2018-03-10T00:00:00"/>
    <x v="1"/>
    <x v="1"/>
    <s v="Mathura"/>
    <x v="0"/>
    <n v="3"/>
    <s v="Mar"/>
    <x v="1"/>
    <n v="0.12280701754385964"/>
    <s v="Q1"/>
    <s v="Saturday"/>
  </r>
  <r>
    <s v="B-25714"/>
    <n v="340"/>
    <n v="20"/>
    <n v="7"/>
    <x v="2"/>
    <x v="16"/>
    <s v="Credit Card"/>
    <d v="2018-07-09T00:00:00"/>
    <x v="53"/>
    <x v="3"/>
    <s v="Bangalore"/>
    <x v="0"/>
    <n v="7"/>
    <s v="Jul"/>
    <x v="9"/>
    <n v="5.8823529411764705E-2"/>
    <s v="Q3"/>
    <s v="Monday"/>
  </r>
  <r>
    <s v="B-26055"/>
    <n v="227"/>
    <n v="48"/>
    <n v="5"/>
    <x v="2"/>
    <x v="11"/>
    <s v="COD"/>
    <d v="2018-03-10T00:00:00"/>
    <x v="1"/>
    <x v="1"/>
    <s v="Mathura"/>
    <x v="0"/>
    <n v="3"/>
    <s v="Mar"/>
    <x v="1"/>
    <n v="0.21145374449339208"/>
    <s v="Q1"/>
    <s v="Saturday"/>
  </r>
  <r>
    <s v="B-25989"/>
    <n v="330"/>
    <n v="81"/>
    <n v="1"/>
    <x v="1"/>
    <x v="2"/>
    <s v="Credit Card"/>
    <d v="2018-02-01T00:00:00"/>
    <x v="67"/>
    <x v="8"/>
    <s v="Delhi"/>
    <x v="0"/>
    <n v="2"/>
    <s v="Feb"/>
    <x v="10"/>
    <n v="0.24545454545454545"/>
    <s v="Q1"/>
    <s v="Thursday"/>
  </r>
  <r>
    <s v="B-25710"/>
    <n v="216"/>
    <n v="-38"/>
    <n v="6"/>
    <x v="1"/>
    <x v="15"/>
    <s v="UPI"/>
    <d v="2018-07-05T00:00:00"/>
    <x v="36"/>
    <x v="2"/>
    <s v="Pune"/>
    <x v="0"/>
    <n v="7"/>
    <s v="Jul"/>
    <x v="9"/>
    <n v="-0.17592592592592593"/>
    <s v="Q3"/>
    <s v="Thursday"/>
  </r>
  <r>
    <s v="B-25773"/>
    <n v="224"/>
    <n v="-143"/>
    <n v="3"/>
    <x v="1"/>
    <x v="1"/>
    <s v="COD"/>
    <d v="2018-09-06T00:00:00"/>
    <x v="74"/>
    <x v="10"/>
    <s v="Thiruvananthapuram"/>
    <x v="0"/>
    <n v="9"/>
    <s v="Sep"/>
    <x v="8"/>
    <n v="-0.6383928571428571"/>
    <s v="Q3"/>
    <s v="Thursday"/>
  </r>
  <r>
    <s v="B-25661"/>
    <n v="55"/>
    <n v="-33"/>
    <n v="2"/>
    <x v="1"/>
    <x v="1"/>
    <s v="Debit Card"/>
    <d v="2018-05-17T00:00:00"/>
    <x v="206"/>
    <x v="4"/>
    <s v="Kashmir"/>
    <x v="0"/>
    <n v="5"/>
    <s v="May"/>
    <x v="7"/>
    <n v="-0.6"/>
    <s v="Q2"/>
    <s v="Thursday"/>
  </r>
  <r>
    <s v="B-26021"/>
    <n v="49"/>
    <n v="21"/>
    <n v="1"/>
    <x v="2"/>
    <x v="11"/>
    <s v="UPI"/>
    <d v="2018-02-17T00:00:00"/>
    <x v="110"/>
    <x v="10"/>
    <s v="Thiruvananthapuram"/>
    <x v="0"/>
    <n v="2"/>
    <s v="Feb"/>
    <x v="10"/>
    <n v="0.42857142857142855"/>
    <s v="Q1"/>
    <s v="Saturday"/>
  </r>
  <r>
    <s v="B-26057"/>
    <n v="224"/>
    <n v="87"/>
    <n v="3"/>
    <x v="2"/>
    <x v="5"/>
    <s v="COD"/>
    <d v="2018-03-10T00:00:00"/>
    <x v="152"/>
    <x v="10"/>
    <s v="Thiruvananthapuram"/>
    <x v="0"/>
    <n v="3"/>
    <s v="Mar"/>
    <x v="1"/>
    <n v="0.38839285714285715"/>
    <s v="Q1"/>
    <s v="Saturday"/>
  </r>
  <r>
    <s v="B-25858"/>
    <n v="223"/>
    <n v="27"/>
    <n v="2"/>
    <x v="1"/>
    <x v="2"/>
    <s v="COD"/>
    <d v="2018-11-13T00:00:00"/>
    <x v="137"/>
    <x v="2"/>
    <s v="Mumbai"/>
    <x v="0"/>
    <n v="11"/>
    <s v="Nov"/>
    <x v="4"/>
    <n v="0.1210762331838565"/>
    <s v="Q4"/>
    <s v="Tuesday"/>
  </r>
  <r>
    <s v="B-25857"/>
    <n v="324"/>
    <n v="39"/>
    <n v="8"/>
    <x v="0"/>
    <x v="13"/>
    <s v="Credit Card"/>
    <d v="2018-11-10T00:00:00"/>
    <x v="57"/>
    <x v="0"/>
    <s v="Indore"/>
    <x v="0"/>
    <n v="11"/>
    <s v="Nov"/>
    <x v="4"/>
    <n v="0.12037037037037036"/>
    <s v="Q4"/>
    <s v="Saturday"/>
  </r>
  <r>
    <s v="B-25656"/>
    <n v="56"/>
    <n v="18"/>
    <n v="2"/>
    <x v="2"/>
    <x v="7"/>
    <s v="Debit Card"/>
    <d v="2018-05-11T00:00:00"/>
    <x v="85"/>
    <x v="2"/>
    <s v="Pune"/>
    <x v="0"/>
    <n v="5"/>
    <s v="May"/>
    <x v="7"/>
    <n v="0.32142857142857145"/>
    <s v="Q2"/>
    <s v="Friday"/>
  </r>
  <r>
    <s v="B-25999"/>
    <n v="223"/>
    <n v="62"/>
    <n v="7"/>
    <x v="2"/>
    <x v="16"/>
    <s v="COD"/>
    <d v="2018-02-05T00:00:00"/>
    <x v="207"/>
    <x v="8"/>
    <s v="Delhi"/>
    <x v="0"/>
    <n v="2"/>
    <s v="Feb"/>
    <x v="10"/>
    <n v="0.27802690582959644"/>
    <s v="Q1"/>
    <s v="Monday"/>
  </r>
  <r>
    <s v="B-25856"/>
    <n v="10"/>
    <n v="2"/>
    <n v="2"/>
    <x v="2"/>
    <x v="9"/>
    <s v="COD"/>
    <d v="2018-11-10T00:00:00"/>
    <x v="124"/>
    <x v="2"/>
    <s v="Mumbai"/>
    <x v="0"/>
    <n v="11"/>
    <s v="Nov"/>
    <x v="4"/>
    <n v="0.2"/>
    <s v="Q4"/>
    <s v="Saturday"/>
  </r>
  <r>
    <s v="B-25926"/>
    <n v="57"/>
    <n v="6"/>
    <n v="5"/>
    <x v="2"/>
    <x v="12"/>
    <s v="Debit Card"/>
    <d v="2018-12-30T00:00:00"/>
    <x v="208"/>
    <x v="0"/>
    <s v="Indore"/>
    <x v="0"/>
    <n v="12"/>
    <s v="Dec"/>
    <x v="5"/>
    <n v="0.10526315789473684"/>
    <s v="Q4"/>
    <s v="Sunday"/>
  </r>
  <r>
    <s v="B-25728"/>
    <n v="322"/>
    <n v="-113"/>
    <n v="4"/>
    <x v="2"/>
    <x v="6"/>
    <s v="Credit Card"/>
    <d v="2018-07-22T00:00:00"/>
    <x v="70"/>
    <x v="2"/>
    <s v="Pune"/>
    <x v="0"/>
    <n v="7"/>
    <s v="Jul"/>
    <x v="9"/>
    <n v="-0.35093167701863354"/>
    <s v="Q3"/>
    <s v="Sunday"/>
  </r>
  <r>
    <s v="B-26076"/>
    <n v="219"/>
    <n v="4"/>
    <n v="2"/>
    <x v="2"/>
    <x v="6"/>
    <s v="COD"/>
    <d v="2018-03-21T00:00:00"/>
    <x v="106"/>
    <x v="0"/>
    <s v="Bhopal"/>
    <x v="0"/>
    <n v="3"/>
    <s v="Mar"/>
    <x v="1"/>
    <n v="1.8264840182648401E-2"/>
    <s v="Q1"/>
    <s v="Wednesday"/>
  </r>
  <r>
    <s v="B-25913"/>
    <n v="103"/>
    <n v="21"/>
    <n v="7"/>
    <x v="2"/>
    <x v="11"/>
    <s v="UPI"/>
    <d v="2018-12-17T00:00:00"/>
    <x v="209"/>
    <x v="8"/>
    <s v="Delhi"/>
    <x v="0"/>
    <n v="12"/>
    <s v="Dec"/>
    <x v="5"/>
    <n v="0.20388349514563106"/>
    <s v="Q4"/>
    <s v="Monday"/>
  </r>
  <r>
    <s v="B-25703"/>
    <n v="47"/>
    <n v="-27"/>
    <n v="4"/>
    <x v="2"/>
    <x v="6"/>
    <s v="COD"/>
    <d v="2018-06-28T00:00:00"/>
    <x v="10"/>
    <x v="0"/>
    <s v="Indore"/>
    <x v="0"/>
    <n v="6"/>
    <s v="Jun"/>
    <x v="0"/>
    <n v="-0.57446808510638303"/>
    <s v="Q2"/>
    <s v="Thursday"/>
  </r>
  <r>
    <s v="B-25858"/>
    <n v="219"/>
    <n v="0"/>
    <n v="1"/>
    <x v="2"/>
    <x v="6"/>
    <s v="COD"/>
    <d v="2018-11-13T00:00:00"/>
    <x v="137"/>
    <x v="2"/>
    <s v="Mumbai"/>
    <x v="0"/>
    <n v="11"/>
    <s v="Nov"/>
    <x v="4"/>
    <n v="0"/>
    <s v="Q4"/>
    <s v="Tuesday"/>
  </r>
  <r>
    <s v="B-25727"/>
    <n v="57"/>
    <n v="-48"/>
    <n v="6"/>
    <x v="2"/>
    <x v="12"/>
    <s v="Debit Card"/>
    <d v="2018-07-22T00:00:00"/>
    <x v="172"/>
    <x v="0"/>
    <s v="Indore"/>
    <x v="0"/>
    <n v="7"/>
    <s v="Jul"/>
    <x v="9"/>
    <n v="-0.84210526315789469"/>
    <s v="Q3"/>
    <s v="Sunday"/>
  </r>
  <r>
    <s v="B-26020"/>
    <n v="319"/>
    <n v="102"/>
    <n v="6"/>
    <x v="0"/>
    <x v="13"/>
    <s v="Credit Card"/>
    <d v="2018-02-16T00:00:00"/>
    <x v="190"/>
    <x v="12"/>
    <s v="Patna"/>
    <x v="0"/>
    <n v="2"/>
    <s v="Feb"/>
    <x v="10"/>
    <n v="0.31974921630094044"/>
    <s v="Q1"/>
    <s v="Friday"/>
  </r>
  <r>
    <s v="B-26003"/>
    <n v="315"/>
    <n v="-8"/>
    <n v="3"/>
    <x v="1"/>
    <x v="1"/>
    <s v="Credit Card"/>
    <d v="2018-02-08T00:00:00"/>
    <x v="34"/>
    <x v="0"/>
    <s v="Bhopal"/>
    <x v="0"/>
    <n v="2"/>
    <s v="Feb"/>
    <x v="10"/>
    <n v="-2.5396825396825397E-2"/>
    <s v="Q1"/>
    <s v="Thursday"/>
  </r>
  <r>
    <s v="B-25925"/>
    <n v="314"/>
    <n v="-41"/>
    <n v="3"/>
    <x v="0"/>
    <x v="0"/>
    <s v="Credit Card"/>
    <d v="2018-12-29T00:00:00"/>
    <x v="21"/>
    <x v="2"/>
    <s v="Mumbai"/>
    <x v="0"/>
    <n v="12"/>
    <s v="Dec"/>
    <x v="5"/>
    <n v="-0.13057324840764331"/>
    <s v="Q4"/>
    <s v="Saturday"/>
  </r>
  <r>
    <s v="B-26087"/>
    <n v="311"/>
    <n v="40"/>
    <n v="1"/>
    <x v="0"/>
    <x v="0"/>
    <s v="EMI"/>
    <d v="2018-03-26T00:00:00"/>
    <x v="143"/>
    <x v="11"/>
    <s v="Simla"/>
    <x v="0"/>
    <n v="3"/>
    <s v="Mar"/>
    <x v="1"/>
    <n v="0.12861736334405144"/>
    <s v="Q1"/>
    <s v="Monday"/>
  </r>
  <r>
    <s v="B-25810"/>
    <n v="307"/>
    <n v="74"/>
    <n v="3"/>
    <x v="0"/>
    <x v="13"/>
    <s v="EMI"/>
    <d v="2018-10-10T00:00:00"/>
    <x v="50"/>
    <x v="13"/>
    <s v="Chandigarh"/>
    <x v="0"/>
    <n v="10"/>
    <s v="Oct"/>
    <x v="11"/>
    <n v="0.24104234527687296"/>
    <s v="Q4"/>
    <s v="Wednesday"/>
  </r>
  <r>
    <s v="B-25858"/>
    <n v="294"/>
    <n v="109"/>
    <n v="7"/>
    <x v="0"/>
    <x v="13"/>
    <s v="EMI"/>
    <d v="2018-11-13T00:00:00"/>
    <x v="137"/>
    <x v="2"/>
    <s v="Mumbai"/>
    <x v="0"/>
    <n v="11"/>
    <s v="Nov"/>
    <x v="4"/>
    <n v="0.37074829931972791"/>
    <s v="Q4"/>
    <s v="Tuesday"/>
  </r>
  <r>
    <s v="B-25861"/>
    <n v="216"/>
    <n v="-83"/>
    <n v="3"/>
    <x v="0"/>
    <x v="0"/>
    <s v="COD"/>
    <d v="2018-11-15T00:00:00"/>
    <x v="193"/>
    <x v="1"/>
    <s v="Lucknow"/>
    <x v="0"/>
    <n v="11"/>
    <s v="Nov"/>
    <x v="4"/>
    <n v="-0.38425925925925924"/>
    <s v="Q4"/>
    <s v="Thursday"/>
  </r>
  <r>
    <s v="B-25661"/>
    <n v="58"/>
    <n v="-42"/>
    <n v="2"/>
    <x v="1"/>
    <x v="1"/>
    <s v="Debit Card"/>
    <d v="2018-05-17T00:00:00"/>
    <x v="206"/>
    <x v="4"/>
    <s v="Kashmir"/>
    <x v="0"/>
    <n v="5"/>
    <s v="May"/>
    <x v="7"/>
    <n v="-0.72413793103448276"/>
    <s v="Q2"/>
    <s v="Thursday"/>
  </r>
  <r>
    <s v="B-25943"/>
    <n v="48"/>
    <n v="20"/>
    <n v="4"/>
    <x v="2"/>
    <x v="11"/>
    <s v="UPI"/>
    <d v="2018-01-09T00:00:00"/>
    <x v="45"/>
    <x v="7"/>
    <s v="Ahmedabad"/>
    <x v="0"/>
    <n v="1"/>
    <s v="Jan"/>
    <x v="2"/>
    <n v="0.41666666666666669"/>
    <s v="Q1"/>
    <s v="Tuesday"/>
  </r>
  <r>
    <s v="B-25955"/>
    <n v="54"/>
    <n v="14"/>
    <n v="3"/>
    <x v="2"/>
    <x v="14"/>
    <s v="UPI"/>
    <d v="2018-01-16T00:00:00"/>
    <x v="2"/>
    <x v="2"/>
    <s v="Pune"/>
    <x v="0"/>
    <n v="1"/>
    <s v="Jan"/>
    <x v="2"/>
    <n v="0.25925925925925924"/>
    <s v="Q1"/>
    <s v="Tuesday"/>
  </r>
  <r>
    <s v="B-26051"/>
    <n v="216"/>
    <n v="50"/>
    <n v="4"/>
    <x v="2"/>
    <x v="11"/>
    <s v="COD"/>
    <d v="2018-03-07T00:00:00"/>
    <x v="56"/>
    <x v="17"/>
    <s v="Kolkata"/>
    <x v="0"/>
    <n v="3"/>
    <s v="Mar"/>
    <x v="1"/>
    <n v="0.23148148148148148"/>
    <s v="Q1"/>
    <s v="Wednesday"/>
  </r>
  <r>
    <s v="B-25999"/>
    <n v="215"/>
    <n v="-30"/>
    <n v="2"/>
    <x v="2"/>
    <x v="6"/>
    <s v="COD"/>
    <d v="2018-02-05T00:00:00"/>
    <x v="207"/>
    <x v="8"/>
    <s v="Delhi"/>
    <x v="0"/>
    <n v="2"/>
    <s v="Feb"/>
    <x v="10"/>
    <n v="-0.13953488372093023"/>
    <s v="Q1"/>
    <s v="Monday"/>
  </r>
  <r>
    <s v="B-26083"/>
    <n v="43"/>
    <n v="8"/>
    <n v="3"/>
    <x v="2"/>
    <x v="12"/>
    <s v="COD"/>
    <d v="2018-03-24T00:00:00"/>
    <x v="190"/>
    <x v="12"/>
    <s v="Patna"/>
    <x v="0"/>
    <n v="3"/>
    <s v="Mar"/>
    <x v="1"/>
    <n v="0.18604651162790697"/>
    <s v="Q1"/>
    <s v="Saturday"/>
  </r>
  <r>
    <s v="B-25950"/>
    <n v="136"/>
    <n v="-33"/>
    <n v="5"/>
    <x v="2"/>
    <x v="6"/>
    <s v="COD"/>
    <d v="2018-01-13T00:00:00"/>
    <x v="21"/>
    <x v="0"/>
    <s v="Indore"/>
    <x v="0"/>
    <n v="1"/>
    <s v="Jan"/>
    <x v="2"/>
    <n v="-0.24264705882352941"/>
    <s v="Q1"/>
    <s v="Saturday"/>
  </r>
  <r>
    <s v="B-25625"/>
    <n v="59"/>
    <n v="-30"/>
    <n v="3"/>
    <x v="2"/>
    <x v="12"/>
    <s v="Debit Card"/>
    <d v="2018-04-23T00:00:00"/>
    <x v="90"/>
    <x v="4"/>
    <s v="Kashmir"/>
    <x v="0"/>
    <n v="4"/>
    <s v="Apr"/>
    <x v="3"/>
    <n v="-0.50847457627118642"/>
    <s v="Q2"/>
    <s v="Monday"/>
  </r>
  <r>
    <s v="B-26055"/>
    <n v="213"/>
    <n v="4"/>
    <n v="14"/>
    <x v="2"/>
    <x v="16"/>
    <s v="COD"/>
    <d v="2018-03-10T00:00:00"/>
    <x v="1"/>
    <x v="1"/>
    <s v="Mathura"/>
    <x v="0"/>
    <n v="3"/>
    <s v="Mar"/>
    <x v="1"/>
    <n v="1.8779342723004695E-2"/>
    <s v="Q1"/>
    <s v="Saturday"/>
  </r>
  <r>
    <s v="B-26023"/>
    <n v="59"/>
    <n v="21"/>
    <n v="2"/>
    <x v="2"/>
    <x v="11"/>
    <s v="Debit Card"/>
    <d v="2018-02-19T00:00:00"/>
    <x v="88"/>
    <x v="15"/>
    <s v="Chandigarh"/>
    <x v="0"/>
    <n v="2"/>
    <s v="Feb"/>
    <x v="10"/>
    <n v="0.3559322033898305"/>
    <s v="Q1"/>
    <s v="Monday"/>
  </r>
  <r>
    <s v="B-26010"/>
    <n v="55"/>
    <n v="3"/>
    <n v="3"/>
    <x v="2"/>
    <x v="14"/>
    <s v="COD"/>
    <d v="2018-02-11T00:00:00"/>
    <x v="210"/>
    <x v="12"/>
    <s v="Patna"/>
    <x v="0"/>
    <n v="2"/>
    <s v="Feb"/>
    <x v="10"/>
    <n v="5.4545454545454543E-2"/>
    <s v="Q1"/>
    <s v="Sunday"/>
  </r>
  <r>
    <s v="B-25955"/>
    <n v="294"/>
    <n v="62"/>
    <n v="9"/>
    <x v="2"/>
    <x v="14"/>
    <s v="EMI"/>
    <d v="2018-01-16T00:00:00"/>
    <x v="2"/>
    <x v="2"/>
    <s v="Pune"/>
    <x v="0"/>
    <n v="1"/>
    <s v="Jan"/>
    <x v="2"/>
    <n v="0.21088435374149661"/>
    <s v="Q1"/>
    <s v="Tuesday"/>
  </r>
  <r>
    <s v="B-25900"/>
    <n v="210"/>
    <n v="62"/>
    <n v="2"/>
    <x v="0"/>
    <x v="4"/>
    <s v="COD"/>
    <d v="2018-12-09T00:00:00"/>
    <x v="57"/>
    <x v="13"/>
    <s v="Amritsar"/>
    <x v="0"/>
    <n v="12"/>
    <s v="Dec"/>
    <x v="5"/>
    <n v="0.29523809523809524"/>
    <s v="Q4"/>
    <s v="Sunday"/>
  </r>
  <r>
    <s v="B-26089"/>
    <n v="59"/>
    <n v="24"/>
    <n v="6"/>
    <x v="2"/>
    <x v="8"/>
    <s v="Debit Card"/>
    <d v="2018-03-26T00:00:00"/>
    <x v="72"/>
    <x v="16"/>
    <s v="Goa"/>
    <x v="0"/>
    <n v="3"/>
    <s v="Mar"/>
    <x v="1"/>
    <n v="0.40677966101694918"/>
    <s v="Q1"/>
    <s v="Monday"/>
  </r>
  <r>
    <s v="B-25655"/>
    <n v="396"/>
    <n v="-31"/>
    <n v="9"/>
    <x v="2"/>
    <x v="6"/>
    <s v="COD"/>
    <d v="2018-05-11T00:00:00"/>
    <x v="15"/>
    <x v="0"/>
    <s v="Indore"/>
    <x v="0"/>
    <n v="5"/>
    <s v="May"/>
    <x v="7"/>
    <n v="-7.8282828282828287E-2"/>
    <s v="Q2"/>
    <s v="Friday"/>
  </r>
  <r>
    <s v="B-25979"/>
    <n v="284"/>
    <n v="45"/>
    <n v="2"/>
    <x v="1"/>
    <x v="2"/>
    <s v="EMI"/>
    <d v="2018-01-27T00:00:00"/>
    <x v="211"/>
    <x v="0"/>
    <s v="Indore"/>
    <x v="0"/>
    <n v="1"/>
    <s v="Jan"/>
    <x v="2"/>
    <n v="0.15845070422535212"/>
    <s v="Q1"/>
    <s v="Saturday"/>
  </r>
  <r>
    <s v="B-26002"/>
    <n v="276"/>
    <n v="52"/>
    <n v="5"/>
    <x v="2"/>
    <x v="6"/>
    <s v="EMI"/>
    <d v="2018-02-08T00:00:00"/>
    <x v="105"/>
    <x v="8"/>
    <s v="Delhi"/>
    <x v="0"/>
    <n v="2"/>
    <s v="Feb"/>
    <x v="10"/>
    <n v="0.18840579710144928"/>
    <s v="Q1"/>
    <s v="Thursday"/>
  </r>
  <r>
    <s v="B-25635"/>
    <n v="23"/>
    <n v="2"/>
    <n v="2"/>
    <x v="2"/>
    <x v="9"/>
    <s v="UPI"/>
    <d v="2018-04-26T00:00:00"/>
    <x v="186"/>
    <x v="5"/>
    <s v="Kohima"/>
    <x v="0"/>
    <n v="4"/>
    <s v="Apr"/>
    <x v="3"/>
    <n v="8.6956521739130432E-2"/>
    <s v="Q2"/>
    <s v="Thursday"/>
  </r>
  <r>
    <s v="B-26084"/>
    <n v="209"/>
    <n v="-63"/>
    <n v="4"/>
    <x v="0"/>
    <x v="0"/>
    <s v="COD"/>
    <d v="2018-03-25T00:00:00"/>
    <x v="110"/>
    <x v="10"/>
    <s v="Thiruvananthapuram"/>
    <x v="0"/>
    <n v="3"/>
    <s v="Mar"/>
    <x v="1"/>
    <n v="-0.30143540669856461"/>
    <s v="Q1"/>
    <s v="Sunday"/>
  </r>
  <r>
    <s v="B-25998"/>
    <n v="50"/>
    <n v="-28"/>
    <n v="5"/>
    <x v="1"/>
    <x v="15"/>
    <s v="COD"/>
    <d v="2018-02-04T00:00:00"/>
    <x v="212"/>
    <x v="6"/>
    <s v="Udaipur"/>
    <x v="0"/>
    <n v="2"/>
    <s v="Feb"/>
    <x v="10"/>
    <n v="-0.56000000000000005"/>
    <s v="Q1"/>
    <s v="Sunday"/>
  </r>
  <r>
    <s v="B-25872"/>
    <n v="57"/>
    <n v="27"/>
    <n v="2"/>
    <x v="2"/>
    <x v="16"/>
    <s v="COD"/>
    <d v="2018-11-22T00:00:00"/>
    <x v="213"/>
    <x v="2"/>
    <s v="Mumbai"/>
    <x v="0"/>
    <n v="11"/>
    <s v="Nov"/>
    <x v="4"/>
    <n v="0.47368421052631576"/>
    <s v="Q4"/>
    <s v="Thursday"/>
  </r>
  <r>
    <s v="B-25795"/>
    <n v="276"/>
    <n v="-21"/>
    <n v="2"/>
    <x v="0"/>
    <x v="4"/>
    <s v="EMI"/>
    <d v="2018-09-24T00:00:00"/>
    <x v="214"/>
    <x v="18"/>
    <s v="Gangtok"/>
    <x v="0"/>
    <n v="9"/>
    <s v="Sep"/>
    <x v="8"/>
    <n v="-7.6086956521739135E-2"/>
    <s v="Q3"/>
    <s v="Monday"/>
  </r>
  <r>
    <s v="B-25902"/>
    <n v="268"/>
    <n v="6"/>
    <n v="2"/>
    <x v="1"/>
    <x v="2"/>
    <s v="UPI"/>
    <d v="2018-12-10T00:00:00"/>
    <x v="215"/>
    <x v="2"/>
    <s v="Mumbai"/>
    <x v="0"/>
    <n v="12"/>
    <s v="Dec"/>
    <x v="5"/>
    <n v="2.2388059701492536E-2"/>
    <s v="Q4"/>
    <s v="Monday"/>
  </r>
  <r>
    <s v="B-25650"/>
    <n v="269"/>
    <n v="111"/>
    <n v="3"/>
    <x v="2"/>
    <x v="5"/>
    <s v="EMI"/>
    <d v="2018-05-06T00:00:00"/>
    <x v="95"/>
    <x v="2"/>
    <s v="Mumbai"/>
    <x v="0"/>
    <n v="5"/>
    <s v="May"/>
    <x v="7"/>
    <n v="0.41263940520446096"/>
    <s v="Q2"/>
    <s v="Sunday"/>
  </r>
  <r>
    <s v="B-25957"/>
    <n v="209"/>
    <n v="2"/>
    <n v="1"/>
    <x v="2"/>
    <x v="6"/>
    <s v="COD"/>
    <d v="2018-01-18T00:00:00"/>
    <x v="62"/>
    <x v="0"/>
    <s v="Indore"/>
    <x v="0"/>
    <n v="1"/>
    <s v="Jan"/>
    <x v="2"/>
    <n v="9.5693779904306216E-3"/>
    <s v="Q1"/>
    <s v="Thursday"/>
  </r>
  <r>
    <s v="B-25793"/>
    <n v="60"/>
    <n v="-12"/>
    <n v="4"/>
    <x v="2"/>
    <x v="7"/>
    <s v="Debit Card"/>
    <d v="2018-09-24T00:00:00"/>
    <x v="216"/>
    <x v="0"/>
    <s v="Indore"/>
    <x v="0"/>
    <n v="9"/>
    <s v="Sep"/>
    <x v="8"/>
    <n v="-0.2"/>
    <s v="Q3"/>
    <s v="Monday"/>
  </r>
  <r>
    <s v="B-25654"/>
    <n v="269"/>
    <n v="-86"/>
    <n v="2"/>
    <x v="0"/>
    <x v="0"/>
    <s v="EMI"/>
    <d v="2018-05-10T00:00:00"/>
    <x v="150"/>
    <x v="2"/>
    <s v="Mumbai"/>
    <x v="0"/>
    <n v="5"/>
    <s v="May"/>
    <x v="7"/>
    <n v="-0.31970260223048325"/>
    <s v="Q2"/>
    <s v="Thursday"/>
  </r>
  <r>
    <s v="B-25750"/>
    <n v="208"/>
    <n v="-25"/>
    <n v="2"/>
    <x v="2"/>
    <x v="6"/>
    <s v="COD"/>
    <d v="2018-08-14T00:00:00"/>
    <x v="100"/>
    <x v="0"/>
    <s v="Indore"/>
    <x v="0"/>
    <n v="8"/>
    <s v="Aug"/>
    <x v="6"/>
    <n v="-0.1201923076923077"/>
    <s v="Q3"/>
    <s v="Tuesday"/>
  </r>
  <r>
    <s v="B-25835"/>
    <n v="27"/>
    <n v="2"/>
    <n v="2"/>
    <x v="2"/>
    <x v="12"/>
    <s v="UPI"/>
    <d v="2018-10-29T00:00:00"/>
    <x v="147"/>
    <x v="7"/>
    <s v="Ahmedabad"/>
    <x v="0"/>
    <n v="10"/>
    <s v="Oct"/>
    <x v="11"/>
    <n v="7.407407407407407E-2"/>
    <s v="Q4"/>
    <s v="Monday"/>
  </r>
  <r>
    <s v="B-25652"/>
    <n v="206"/>
    <n v="-206"/>
    <n v="3"/>
    <x v="2"/>
    <x v="6"/>
    <s v="COD"/>
    <d v="2018-05-08T00:00:00"/>
    <x v="97"/>
    <x v="16"/>
    <s v="Goa"/>
    <x v="0"/>
    <n v="5"/>
    <s v="May"/>
    <x v="7"/>
    <n v="-1"/>
    <s v="Q2"/>
    <s v="Tuesday"/>
  </r>
  <r>
    <s v="B-26018"/>
    <n v="61"/>
    <n v="8"/>
    <n v="4"/>
    <x v="2"/>
    <x v="7"/>
    <s v="Debit Card"/>
    <d v="2018-02-14T00:00:00"/>
    <x v="55"/>
    <x v="14"/>
    <s v="Chennai"/>
    <x v="0"/>
    <n v="2"/>
    <s v="Feb"/>
    <x v="10"/>
    <n v="0.13114754098360656"/>
    <s v="Q1"/>
    <s v="Wednesday"/>
  </r>
  <r>
    <s v="B-25750"/>
    <n v="212"/>
    <n v="-24"/>
    <n v="2"/>
    <x v="1"/>
    <x v="1"/>
    <s v="COD"/>
    <d v="2018-08-14T00:00:00"/>
    <x v="100"/>
    <x v="0"/>
    <s v="Indore"/>
    <x v="0"/>
    <n v="8"/>
    <s v="Aug"/>
    <x v="6"/>
    <n v="-0.11320754716981132"/>
    <s v="Q3"/>
    <s v="Tuesday"/>
  </r>
  <r>
    <s v="B-25840"/>
    <n v="262"/>
    <n v="64"/>
    <n v="6"/>
    <x v="2"/>
    <x v="6"/>
    <s v="EMI"/>
    <d v="2018-10-31T00:00:00"/>
    <x v="179"/>
    <x v="3"/>
    <s v="Bangalore"/>
    <x v="0"/>
    <n v="10"/>
    <s v="Oct"/>
    <x v="11"/>
    <n v="0.24427480916030533"/>
    <s v="Q4"/>
    <s v="Wednesday"/>
  </r>
  <r>
    <s v="B-25756"/>
    <n v="204"/>
    <n v="276"/>
    <n v="3"/>
    <x v="1"/>
    <x v="2"/>
    <s v="COD"/>
    <d v="2018-08-20T00:00:00"/>
    <x v="13"/>
    <x v="2"/>
    <s v="Mumbai"/>
    <x v="0"/>
    <n v="8"/>
    <s v="Aug"/>
    <x v="6"/>
    <n v="1.3529411764705883"/>
    <s v="Q3"/>
    <s v="Monday"/>
  </r>
  <r>
    <s v="B-25777"/>
    <n v="59"/>
    <n v="-46"/>
    <n v="7"/>
    <x v="2"/>
    <x v="14"/>
    <s v="UPI"/>
    <d v="2018-09-10T00:00:00"/>
    <x v="64"/>
    <x v="0"/>
    <s v="Indore"/>
    <x v="0"/>
    <n v="9"/>
    <s v="Sep"/>
    <x v="8"/>
    <n v="-0.77966101694915257"/>
    <s v="Q3"/>
    <s v="Monday"/>
  </r>
  <r>
    <s v="B-25750"/>
    <n v="199"/>
    <n v="-18"/>
    <n v="2"/>
    <x v="2"/>
    <x v="6"/>
    <s v="COD"/>
    <d v="2018-08-14T00:00:00"/>
    <x v="100"/>
    <x v="0"/>
    <s v="Indore"/>
    <x v="0"/>
    <n v="8"/>
    <s v="Aug"/>
    <x v="6"/>
    <n v="-9.0452261306532666E-2"/>
    <s v="Q3"/>
    <s v="Tuesday"/>
  </r>
  <r>
    <s v="B-25823"/>
    <n v="59"/>
    <n v="6"/>
    <n v="1"/>
    <x v="0"/>
    <x v="13"/>
    <s v="UPI"/>
    <d v="2018-10-18T00:00:00"/>
    <x v="115"/>
    <x v="2"/>
    <s v="Mumbai"/>
    <x v="0"/>
    <n v="10"/>
    <s v="Oct"/>
    <x v="11"/>
    <n v="0.10169491525423729"/>
    <s v="Q4"/>
    <s v="Thursday"/>
  </r>
  <r>
    <s v="B-26096"/>
    <n v="45"/>
    <n v="9"/>
    <n v="3"/>
    <x v="2"/>
    <x v="12"/>
    <s v="UPI"/>
    <d v="2018-03-28T00:00:00"/>
    <x v="86"/>
    <x v="17"/>
    <s v="Kolkata"/>
    <x v="0"/>
    <n v="3"/>
    <s v="Mar"/>
    <x v="1"/>
    <n v="0.2"/>
    <s v="Q1"/>
    <s v="Wednesday"/>
  </r>
  <r>
    <s v="B-25757"/>
    <n v="211"/>
    <n v="19"/>
    <n v="8"/>
    <x v="2"/>
    <x v="11"/>
    <s v="COD"/>
    <d v="2018-08-21T00:00:00"/>
    <x v="11"/>
    <x v="0"/>
    <s v="Indore"/>
    <x v="0"/>
    <n v="8"/>
    <s v="Aug"/>
    <x v="6"/>
    <n v="9.004739336492891E-2"/>
    <s v="Q3"/>
    <s v="Tuesday"/>
  </r>
  <r>
    <s v="B-25698"/>
    <n v="65"/>
    <n v="-16"/>
    <n v="2"/>
    <x v="0"/>
    <x v="4"/>
    <s v="Debit Card"/>
    <d v="2018-06-23T00:00:00"/>
    <x v="133"/>
    <x v="14"/>
    <s v="Chennai"/>
    <x v="0"/>
    <n v="6"/>
    <s v="Jun"/>
    <x v="0"/>
    <n v="-0.24615384615384617"/>
    <s v="Q2"/>
    <s v="Saturday"/>
  </r>
  <r>
    <s v="B-25710"/>
    <n v="25"/>
    <n v="0"/>
    <n v="4"/>
    <x v="2"/>
    <x v="9"/>
    <s v="UPI"/>
    <d v="2018-07-05T00:00:00"/>
    <x v="36"/>
    <x v="2"/>
    <s v="Pune"/>
    <x v="0"/>
    <n v="7"/>
    <s v="Jul"/>
    <x v="9"/>
    <n v="0"/>
    <s v="Q3"/>
    <s v="Thursday"/>
  </r>
  <r>
    <s v="B-25994"/>
    <n v="196"/>
    <n v="-7"/>
    <n v="5"/>
    <x v="0"/>
    <x v="4"/>
    <s v="COD"/>
    <d v="2018-02-03T00:00:00"/>
    <x v="217"/>
    <x v="8"/>
    <s v="Delhi"/>
    <x v="0"/>
    <n v="2"/>
    <s v="Feb"/>
    <x v="10"/>
    <n v="-3.5714285714285712E-2"/>
    <s v="Q1"/>
    <s v="Saturday"/>
  </r>
  <r>
    <s v="B-25950"/>
    <n v="261"/>
    <n v="13"/>
    <n v="6"/>
    <x v="2"/>
    <x v="16"/>
    <s v="Credit Card"/>
    <d v="2018-01-13T00:00:00"/>
    <x v="21"/>
    <x v="0"/>
    <s v="Indore"/>
    <x v="0"/>
    <n v="1"/>
    <s v="Jan"/>
    <x v="2"/>
    <n v="4.9808429118773943E-2"/>
    <s v="Q1"/>
    <s v="Saturday"/>
  </r>
  <r>
    <s v="B-25653"/>
    <n v="195"/>
    <n v="-117"/>
    <n v="5"/>
    <x v="0"/>
    <x v="4"/>
    <s v="COD"/>
    <d v="2018-05-08T00:00:00"/>
    <x v="80"/>
    <x v="5"/>
    <s v="Kohima"/>
    <x v="0"/>
    <n v="5"/>
    <s v="May"/>
    <x v="7"/>
    <n v="-0.6"/>
    <s v="Q2"/>
    <s v="Tuesday"/>
  </r>
  <r>
    <s v="B-25785"/>
    <n v="192"/>
    <n v="-146"/>
    <n v="3"/>
    <x v="2"/>
    <x v="6"/>
    <s v="COD"/>
    <d v="2018-09-15T00:00:00"/>
    <x v="121"/>
    <x v="17"/>
    <s v="Kolkata"/>
    <x v="0"/>
    <n v="9"/>
    <s v="Sep"/>
    <x v="8"/>
    <n v="-0.76041666666666663"/>
    <s v="Q3"/>
    <s v="Saturday"/>
  </r>
  <r>
    <s v="B-25863"/>
    <n v="189"/>
    <n v="87"/>
    <n v="7"/>
    <x v="2"/>
    <x v="11"/>
    <s v="COD"/>
    <d v="2018-11-15T00:00:00"/>
    <x v="218"/>
    <x v="10"/>
    <s v="Thiruvananthapuram"/>
    <x v="0"/>
    <n v="11"/>
    <s v="Nov"/>
    <x v="4"/>
    <n v="0.46031746031746029"/>
    <s v="Q4"/>
    <s v="Thursday"/>
  </r>
  <r>
    <s v="B-25959"/>
    <n v="32"/>
    <n v="2"/>
    <n v="2"/>
    <x v="2"/>
    <x v="8"/>
    <s v="UPI"/>
    <d v="2018-01-18T00:00:00"/>
    <x v="113"/>
    <x v="0"/>
    <s v="Indore"/>
    <x v="0"/>
    <n v="1"/>
    <s v="Jan"/>
    <x v="2"/>
    <n v="6.25E-2"/>
    <s v="Q1"/>
    <s v="Thursday"/>
  </r>
  <r>
    <s v="B-25991"/>
    <n v="188"/>
    <n v="13"/>
    <n v="7"/>
    <x v="2"/>
    <x v="16"/>
    <s v="COD"/>
    <d v="2018-02-03T00:00:00"/>
    <x v="42"/>
    <x v="0"/>
    <s v="Indore"/>
    <x v="0"/>
    <n v="2"/>
    <s v="Feb"/>
    <x v="10"/>
    <n v="6.9148936170212769E-2"/>
    <s v="Q1"/>
    <s v="Saturday"/>
  </r>
  <r>
    <s v="B-25680"/>
    <n v="73"/>
    <n v="-25"/>
    <n v="3"/>
    <x v="2"/>
    <x v="6"/>
    <s v="COD"/>
    <d v="2018-06-04T00:00:00"/>
    <x v="159"/>
    <x v="0"/>
    <s v="Indore"/>
    <x v="0"/>
    <n v="6"/>
    <s v="Jun"/>
    <x v="0"/>
    <n v="-0.34246575342465752"/>
    <s v="Q2"/>
    <s v="Monday"/>
  </r>
  <r>
    <s v="B-25910"/>
    <n v="259"/>
    <n v="47"/>
    <n v="5"/>
    <x v="2"/>
    <x v="7"/>
    <s v="Credit Card"/>
    <d v="2018-12-14T00:00:00"/>
    <x v="20"/>
    <x v="8"/>
    <s v="Delhi"/>
    <x v="0"/>
    <n v="12"/>
    <s v="Dec"/>
    <x v="5"/>
    <n v="0.18146718146718147"/>
    <s v="Q4"/>
    <s v="Friday"/>
  </r>
  <r>
    <s v="B-25737"/>
    <n v="187"/>
    <n v="-15"/>
    <n v="3"/>
    <x v="2"/>
    <x v="5"/>
    <s v="COD"/>
    <d v="2018-08-01T00:00:00"/>
    <x v="141"/>
    <x v="0"/>
    <s v="Indore"/>
    <x v="0"/>
    <n v="8"/>
    <s v="Aug"/>
    <x v="6"/>
    <n v="-8.0213903743315509E-2"/>
    <s v="Q3"/>
    <s v="Wednesday"/>
  </r>
  <r>
    <s v="B-25853"/>
    <n v="26"/>
    <n v="11"/>
    <n v="2"/>
    <x v="2"/>
    <x v="7"/>
    <s v="UPI"/>
    <d v="2018-11-08T00:00:00"/>
    <x v="18"/>
    <x v="7"/>
    <s v="Ahmedabad"/>
    <x v="0"/>
    <n v="11"/>
    <s v="Nov"/>
    <x v="4"/>
    <n v="0.42307692307692307"/>
    <s v="Q4"/>
    <s v="Thursday"/>
  </r>
  <r>
    <s v="B-26097"/>
    <n v="185"/>
    <n v="-26"/>
    <n v="6"/>
    <x v="1"/>
    <x v="1"/>
    <s v="COD"/>
    <d v="2018-03-28T00:00:00"/>
    <x v="35"/>
    <x v="3"/>
    <s v="Bangalore"/>
    <x v="0"/>
    <n v="3"/>
    <s v="Mar"/>
    <x v="1"/>
    <n v="-0.14054054054054055"/>
    <s v="Q1"/>
    <s v="Wednesday"/>
  </r>
  <r>
    <s v="B-25875"/>
    <n v="248"/>
    <n v="8"/>
    <n v="2"/>
    <x v="2"/>
    <x v="6"/>
    <s v="Credit Card"/>
    <d v="2018-11-24T00:00:00"/>
    <x v="219"/>
    <x v="1"/>
    <s v="Prayagraj"/>
    <x v="0"/>
    <n v="11"/>
    <s v="Nov"/>
    <x v="4"/>
    <n v="3.2258064516129031E-2"/>
    <s v="Q4"/>
    <s v="Saturday"/>
  </r>
  <r>
    <s v="B-26031"/>
    <n v="67"/>
    <n v="9"/>
    <n v="4"/>
    <x v="2"/>
    <x v="12"/>
    <s v="Debit Card"/>
    <d v="2018-02-22T00:00:00"/>
    <x v="171"/>
    <x v="0"/>
    <s v="Bhopal"/>
    <x v="0"/>
    <n v="2"/>
    <s v="Feb"/>
    <x v="10"/>
    <n v="0.13432835820895522"/>
    <s v="Q1"/>
    <s v="Thursday"/>
  </r>
  <r>
    <s v="B-25773"/>
    <n v="248"/>
    <n v="-70"/>
    <n v="3"/>
    <x v="1"/>
    <x v="1"/>
    <s v="Credit Card"/>
    <d v="2018-09-06T00:00:00"/>
    <x v="74"/>
    <x v="10"/>
    <s v="Thiruvananthapuram"/>
    <x v="0"/>
    <n v="9"/>
    <s v="Sep"/>
    <x v="8"/>
    <n v="-0.28225806451612906"/>
    <s v="Q3"/>
    <s v="Thursday"/>
  </r>
  <r>
    <s v="B-25840"/>
    <n v="246"/>
    <n v="61"/>
    <n v="2"/>
    <x v="1"/>
    <x v="2"/>
    <s v="Credit Card"/>
    <d v="2018-10-31T00:00:00"/>
    <x v="179"/>
    <x v="3"/>
    <s v="Bangalore"/>
    <x v="0"/>
    <n v="10"/>
    <s v="Oct"/>
    <x v="11"/>
    <n v="0.24796747967479674"/>
    <s v="Q4"/>
    <s v="Wednesday"/>
  </r>
  <r>
    <s v="B-25908"/>
    <n v="179"/>
    <n v="-25"/>
    <n v="5"/>
    <x v="2"/>
    <x v="8"/>
    <s v="COD"/>
    <d v="2018-12-12T00:00:00"/>
    <x v="220"/>
    <x v="8"/>
    <s v="Delhi"/>
    <x v="0"/>
    <n v="12"/>
    <s v="Dec"/>
    <x v="5"/>
    <n v="-0.13966480446927373"/>
    <s v="Q4"/>
    <s v="Wednesday"/>
  </r>
  <r>
    <s v="B-26041"/>
    <n v="176"/>
    <n v="-28"/>
    <n v="5"/>
    <x v="1"/>
    <x v="15"/>
    <s v="COD"/>
    <d v="2018-02-27T00:00:00"/>
    <x v="221"/>
    <x v="15"/>
    <s v="Chandigarh"/>
    <x v="0"/>
    <n v="2"/>
    <s v="Feb"/>
    <x v="10"/>
    <n v="-0.15909090909090909"/>
    <s v="Q1"/>
    <s v="Tuesday"/>
  </r>
  <r>
    <s v="B-26010"/>
    <n v="176"/>
    <n v="-13"/>
    <n v="5"/>
    <x v="1"/>
    <x v="15"/>
    <s v="COD"/>
    <d v="2018-02-11T00:00:00"/>
    <x v="210"/>
    <x v="12"/>
    <s v="Patna"/>
    <x v="0"/>
    <n v="2"/>
    <s v="Feb"/>
    <x v="10"/>
    <n v="-7.3863636363636367E-2"/>
    <s v="Q1"/>
    <s v="Sunday"/>
  </r>
  <r>
    <s v="B-25640"/>
    <n v="68"/>
    <n v="-62"/>
    <n v="2"/>
    <x v="2"/>
    <x v="5"/>
    <s v="Debit Card"/>
    <d v="2018-04-27T00:00:00"/>
    <x v="49"/>
    <x v="6"/>
    <s v="Jaipur"/>
    <x v="0"/>
    <n v="4"/>
    <s v="Apr"/>
    <x v="3"/>
    <n v="-0.91176470588235292"/>
    <s v="Q2"/>
    <s v="Friday"/>
  </r>
  <r>
    <s v="B-25794"/>
    <n v="176"/>
    <n v="37"/>
    <n v="6"/>
    <x v="0"/>
    <x v="13"/>
    <s v="COD"/>
    <d v="2018-09-24T00:00:00"/>
    <x v="160"/>
    <x v="11"/>
    <s v="Simla"/>
    <x v="0"/>
    <n v="9"/>
    <s v="Sep"/>
    <x v="8"/>
    <n v="0.21022727272727273"/>
    <s v="Q3"/>
    <s v="Monday"/>
  </r>
  <r>
    <s v="B-25987"/>
    <n v="88"/>
    <n v="11"/>
    <n v="7"/>
    <x v="2"/>
    <x v="7"/>
    <s v="UPI"/>
    <d v="2018-01-31T00:00:00"/>
    <x v="177"/>
    <x v="8"/>
    <s v="Delhi"/>
    <x v="0"/>
    <n v="1"/>
    <s v="Jan"/>
    <x v="2"/>
    <n v="0.125"/>
    <s v="Q1"/>
    <s v="Wednesday"/>
  </r>
  <r>
    <s v="B-25615"/>
    <n v="68"/>
    <n v="20"/>
    <n v="5"/>
    <x v="2"/>
    <x v="7"/>
    <s v="Debit Card"/>
    <d v="2018-04-15T00:00:00"/>
    <x v="175"/>
    <x v="18"/>
    <s v="Gangtok"/>
    <x v="0"/>
    <n v="4"/>
    <s v="Apr"/>
    <x v="3"/>
    <n v="0.29411764705882354"/>
    <s v="Q2"/>
    <s v="Sunday"/>
  </r>
  <r>
    <s v="B-25997"/>
    <n v="231"/>
    <n v="99"/>
    <n v="2"/>
    <x v="0"/>
    <x v="0"/>
    <s v="Credit Card"/>
    <d v="2018-02-04T00:00:00"/>
    <x v="190"/>
    <x v="2"/>
    <s v="Pune"/>
    <x v="0"/>
    <n v="2"/>
    <s v="Feb"/>
    <x v="10"/>
    <n v="0.42857142857142855"/>
    <s v="Q1"/>
    <s v="Sunday"/>
  </r>
  <r>
    <s v="B-25981"/>
    <n v="62"/>
    <n v="8"/>
    <n v="2"/>
    <x v="2"/>
    <x v="14"/>
    <s v="UPI"/>
    <d v="2018-01-28T00:00:00"/>
    <x v="189"/>
    <x v="8"/>
    <s v="Delhi"/>
    <x v="0"/>
    <n v="1"/>
    <s v="Jan"/>
    <x v="2"/>
    <n v="0.12903225806451613"/>
    <s v="Q1"/>
    <s v="Sunday"/>
  </r>
  <r>
    <s v="B-25791"/>
    <n v="175"/>
    <n v="77"/>
    <n v="3"/>
    <x v="2"/>
    <x v="6"/>
    <s v="COD"/>
    <d v="2018-09-24T00:00:00"/>
    <x v="163"/>
    <x v="10"/>
    <s v="Thiruvananthapuram"/>
    <x v="0"/>
    <n v="9"/>
    <s v="Sep"/>
    <x v="8"/>
    <n v="0.44"/>
    <s v="Q3"/>
    <s v="Monday"/>
  </r>
  <r>
    <s v="B-25986"/>
    <n v="71"/>
    <n v="4"/>
    <n v="5"/>
    <x v="2"/>
    <x v="12"/>
    <s v="Debit Card"/>
    <d v="2018-01-31T00:00:00"/>
    <x v="92"/>
    <x v="6"/>
    <s v="Udaipur"/>
    <x v="0"/>
    <n v="1"/>
    <s v="Jan"/>
    <x v="2"/>
    <n v="5.6338028169014086E-2"/>
    <s v="Q1"/>
    <s v="Wednesday"/>
  </r>
  <r>
    <s v="B-25652"/>
    <n v="174"/>
    <n v="-70"/>
    <n v="3"/>
    <x v="0"/>
    <x v="13"/>
    <s v="COD"/>
    <d v="2018-05-08T00:00:00"/>
    <x v="97"/>
    <x v="16"/>
    <s v="Goa"/>
    <x v="0"/>
    <n v="5"/>
    <s v="May"/>
    <x v="7"/>
    <n v="-0.40229885057471265"/>
    <s v="Q2"/>
    <s v="Tuesday"/>
  </r>
  <r>
    <s v="B-25952"/>
    <n v="173"/>
    <n v="69"/>
    <n v="3"/>
    <x v="1"/>
    <x v="1"/>
    <s v="COD"/>
    <d v="2018-01-13T00:00:00"/>
    <x v="85"/>
    <x v="0"/>
    <s v="Indore"/>
    <x v="0"/>
    <n v="1"/>
    <s v="Jan"/>
    <x v="2"/>
    <n v="0.39884393063583817"/>
    <s v="Q1"/>
    <s v="Saturday"/>
  </r>
  <r>
    <s v="B-25898"/>
    <n v="171"/>
    <n v="2"/>
    <n v="2"/>
    <x v="0"/>
    <x v="0"/>
    <s v="COD"/>
    <d v="2018-12-07T00:00:00"/>
    <x v="76"/>
    <x v="6"/>
    <s v="Udaipur"/>
    <x v="0"/>
    <n v="12"/>
    <s v="Dec"/>
    <x v="5"/>
    <n v="1.1695906432748537E-2"/>
    <s v="Q4"/>
    <s v="Friday"/>
  </r>
  <r>
    <s v="B-25785"/>
    <n v="268"/>
    <n v="-25"/>
    <n v="3"/>
    <x v="2"/>
    <x v="6"/>
    <s v="COD"/>
    <d v="2018-09-15T00:00:00"/>
    <x v="121"/>
    <x v="17"/>
    <s v="Kolkata"/>
    <x v="0"/>
    <n v="9"/>
    <s v="Sep"/>
    <x v="8"/>
    <n v="-9.3283582089552244E-2"/>
    <s v="Q3"/>
    <s v="Saturday"/>
  </r>
  <r>
    <s v="B-25990"/>
    <n v="71"/>
    <n v="32"/>
    <n v="3"/>
    <x v="2"/>
    <x v="6"/>
    <s v="Debit Card"/>
    <d v="2018-02-02T00:00:00"/>
    <x v="222"/>
    <x v="8"/>
    <s v="Delhi"/>
    <x v="0"/>
    <n v="2"/>
    <s v="Feb"/>
    <x v="10"/>
    <n v="0.45070422535211269"/>
    <s v="Q1"/>
    <s v="Friday"/>
  </r>
  <r>
    <s v="B-26091"/>
    <n v="29"/>
    <n v="10"/>
    <n v="4"/>
    <x v="2"/>
    <x v="7"/>
    <s v="UPI"/>
    <d v="2018-03-27T00:00:00"/>
    <x v="38"/>
    <x v="9"/>
    <s v="Hyderabad"/>
    <x v="0"/>
    <n v="3"/>
    <s v="Mar"/>
    <x v="1"/>
    <n v="0.34482758620689657"/>
    <s v="Q1"/>
    <s v="Tuesday"/>
  </r>
  <r>
    <s v="B-25604"/>
    <n v="65"/>
    <n v="17"/>
    <n v="2"/>
    <x v="2"/>
    <x v="14"/>
    <s v="UPI"/>
    <d v="2018-04-03T00:00:00"/>
    <x v="187"/>
    <x v="6"/>
    <s v="Jaipur"/>
    <x v="0"/>
    <n v="4"/>
    <s v="Apr"/>
    <x v="3"/>
    <n v="0.26153846153846155"/>
    <s v="Q2"/>
    <s v="Tuesday"/>
  </r>
  <r>
    <s v="B-25754"/>
    <n v="72"/>
    <n v="-46"/>
    <n v="7"/>
    <x v="2"/>
    <x v="8"/>
    <s v="Debit Card"/>
    <d v="2018-08-18T00:00:00"/>
    <x v="29"/>
    <x v="12"/>
    <s v="Patna"/>
    <x v="0"/>
    <n v="8"/>
    <s v="Aug"/>
    <x v="6"/>
    <n v="-0.63888888888888884"/>
    <s v="Q3"/>
    <s v="Saturday"/>
  </r>
  <r>
    <s v="B-25724"/>
    <n v="168"/>
    <n v="-51"/>
    <n v="2"/>
    <x v="1"/>
    <x v="2"/>
    <s v="COD"/>
    <d v="2018-07-19T00:00:00"/>
    <x v="26"/>
    <x v="0"/>
    <s v="Indore"/>
    <x v="0"/>
    <n v="7"/>
    <s v="Jul"/>
    <x v="9"/>
    <n v="-0.30357142857142855"/>
    <s v="Q3"/>
    <s v="Thursday"/>
  </r>
  <r>
    <s v="B-25757"/>
    <n v="165"/>
    <n v="30"/>
    <n v="3"/>
    <x v="2"/>
    <x v="11"/>
    <s v="COD"/>
    <d v="2018-08-21T00:00:00"/>
    <x v="11"/>
    <x v="0"/>
    <s v="Indore"/>
    <x v="0"/>
    <n v="8"/>
    <s v="Aug"/>
    <x v="6"/>
    <n v="0.18181818181818182"/>
    <s v="Q3"/>
    <s v="Tuesday"/>
  </r>
  <r>
    <s v="B-25767"/>
    <n v="74"/>
    <n v="-59"/>
    <n v="2"/>
    <x v="0"/>
    <x v="13"/>
    <s v="Debit Card"/>
    <d v="2018-08-31T00:00:00"/>
    <x v="202"/>
    <x v="17"/>
    <s v="Kolkata"/>
    <x v="0"/>
    <n v="8"/>
    <s v="Aug"/>
    <x v="6"/>
    <n v="-0.79729729729729726"/>
    <s v="Q3"/>
    <s v="Friday"/>
  </r>
  <r>
    <s v="B-25886"/>
    <n v="89"/>
    <n v="17"/>
    <n v="2"/>
    <x v="2"/>
    <x v="11"/>
    <s v="UPI"/>
    <d v="2018-11-28T00:00:00"/>
    <x v="135"/>
    <x v="6"/>
    <s v="Udaipur"/>
    <x v="0"/>
    <n v="11"/>
    <s v="Nov"/>
    <x v="4"/>
    <n v="0.19101123595505617"/>
    <s v="Q4"/>
    <s v="Wednesday"/>
  </r>
  <r>
    <s v="B-25621"/>
    <n v="228"/>
    <n v="63"/>
    <n v="3"/>
    <x v="0"/>
    <x v="0"/>
    <s v="Credit Card"/>
    <d v="2018-04-20T00:00:00"/>
    <x v="171"/>
    <x v="0"/>
    <s v="Bhopal"/>
    <x v="0"/>
    <n v="4"/>
    <s v="Apr"/>
    <x v="3"/>
    <n v="0.27631578947368424"/>
    <s v="Q2"/>
    <s v="Friday"/>
  </r>
  <r>
    <s v="B-25967"/>
    <n v="119"/>
    <n v="-24"/>
    <n v="4"/>
    <x v="1"/>
    <x v="15"/>
    <s v="COD"/>
    <d v="2018-01-21T00:00:00"/>
    <x v="61"/>
    <x v="1"/>
    <s v="Prayagraj"/>
    <x v="0"/>
    <n v="1"/>
    <s v="Jan"/>
    <x v="2"/>
    <n v="-0.20168067226890757"/>
    <s v="Q1"/>
    <s v="Sunday"/>
  </r>
  <r>
    <s v="B-25691"/>
    <n v="75"/>
    <n v="-25"/>
    <n v="3"/>
    <x v="2"/>
    <x v="11"/>
    <s v="UPI"/>
    <d v="2018-06-16T00:00:00"/>
    <x v="107"/>
    <x v="2"/>
    <s v="Mumbai"/>
    <x v="0"/>
    <n v="6"/>
    <s v="Jun"/>
    <x v="0"/>
    <n v="-0.33333333333333331"/>
    <s v="Q2"/>
    <s v="Saturday"/>
  </r>
  <r>
    <s v="B-25953"/>
    <n v="67"/>
    <n v="20"/>
    <n v="4"/>
    <x v="2"/>
    <x v="14"/>
    <s v="UPI"/>
    <d v="2018-01-14T00:00:00"/>
    <x v="93"/>
    <x v="9"/>
    <s v="Hyderabad"/>
    <x v="0"/>
    <n v="1"/>
    <s v="Jan"/>
    <x v="2"/>
    <n v="0.29850746268656714"/>
    <s v="Q1"/>
    <s v="Sunday"/>
  </r>
  <r>
    <s v="B-25651"/>
    <n v="7"/>
    <n v="0"/>
    <n v="1"/>
    <x v="2"/>
    <x v="12"/>
    <s v="COD"/>
    <d v="2018-05-07T00:00:00"/>
    <x v="71"/>
    <x v="0"/>
    <s v="Indore"/>
    <x v="0"/>
    <n v="5"/>
    <s v="May"/>
    <x v="7"/>
    <n v="0"/>
    <s v="Q2"/>
    <s v="Monday"/>
  </r>
  <r>
    <s v="B-25828"/>
    <n v="222"/>
    <n v="35"/>
    <n v="5"/>
    <x v="2"/>
    <x v="6"/>
    <s v="Credit Card"/>
    <d v="2018-10-24T00:00:00"/>
    <x v="131"/>
    <x v="13"/>
    <s v="Chandigarh"/>
    <x v="0"/>
    <n v="10"/>
    <s v="Oct"/>
    <x v="11"/>
    <n v="0.15765765765765766"/>
    <s v="Q4"/>
    <s v="Wednesday"/>
  </r>
  <r>
    <s v="B-25628"/>
    <n v="219"/>
    <n v="-9"/>
    <n v="4"/>
    <x v="2"/>
    <x v="6"/>
    <s v="Credit Card"/>
    <d v="2018-04-24T00:00:00"/>
    <x v="28"/>
    <x v="12"/>
    <s v="Patna"/>
    <x v="0"/>
    <n v="4"/>
    <s v="Apr"/>
    <x v="3"/>
    <n v="-4.1095890410958902E-2"/>
    <s v="Q2"/>
    <s v="Tuesday"/>
  </r>
  <r>
    <s v="B-25703"/>
    <n v="42"/>
    <n v="-23"/>
    <n v="2"/>
    <x v="1"/>
    <x v="15"/>
    <s v="UPI"/>
    <d v="2018-06-28T00:00:00"/>
    <x v="10"/>
    <x v="0"/>
    <s v="Indore"/>
    <x v="0"/>
    <n v="6"/>
    <s v="Jun"/>
    <x v="0"/>
    <n v="-0.54761904761904767"/>
    <s v="Q2"/>
    <s v="Thursday"/>
  </r>
  <r>
    <s v="B-25929"/>
    <n v="216"/>
    <n v="-135"/>
    <n v="3"/>
    <x v="1"/>
    <x v="1"/>
    <s v="Credit Card"/>
    <d v="2018-01-02T00:00:00"/>
    <x v="63"/>
    <x v="10"/>
    <s v="Thiruvananthapuram"/>
    <x v="0"/>
    <n v="1"/>
    <s v="Jan"/>
    <x v="2"/>
    <n v="-0.625"/>
    <s v="Q1"/>
    <s v="Tuesday"/>
  </r>
  <r>
    <s v="B-25748"/>
    <n v="47"/>
    <n v="-21"/>
    <n v="2"/>
    <x v="0"/>
    <x v="0"/>
    <s v="COD"/>
    <d v="2018-08-12T00:00:00"/>
    <x v="223"/>
    <x v="6"/>
    <s v="Jaipur"/>
    <x v="0"/>
    <n v="8"/>
    <s v="Aug"/>
    <x v="6"/>
    <n v="-0.44680851063829785"/>
    <s v="Q3"/>
    <s v="Sunday"/>
  </r>
  <r>
    <s v="B-25610"/>
    <n v="68"/>
    <n v="-55"/>
    <n v="5"/>
    <x v="0"/>
    <x v="13"/>
    <s v="UPI"/>
    <d v="2018-04-09T00:00:00"/>
    <x v="190"/>
    <x v="12"/>
    <s v="Patna"/>
    <x v="0"/>
    <n v="4"/>
    <s v="Apr"/>
    <x v="3"/>
    <n v="-0.80882352941176472"/>
    <s v="Q2"/>
    <s v="Monday"/>
  </r>
  <r>
    <s v="B-25903"/>
    <n v="74"/>
    <n v="33"/>
    <n v="2"/>
    <x v="2"/>
    <x v="16"/>
    <s v="Debit Card"/>
    <d v="2018-12-10T00:00:00"/>
    <x v="94"/>
    <x v="0"/>
    <s v="Indore"/>
    <x v="0"/>
    <n v="12"/>
    <s v="Dec"/>
    <x v="5"/>
    <n v="0.44594594594594594"/>
    <s v="Q4"/>
    <s v="Monday"/>
  </r>
  <r>
    <s v="B-25878"/>
    <n v="165"/>
    <n v="46"/>
    <n v="3"/>
    <x v="1"/>
    <x v="15"/>
    <s v="COD"/>
    <d v="2018-11-24T00:00:00"/>
    <x v="99"/>
    <x v="2"/>
    <s v="Mumbai"/>
    <x v="0"/>
    <n v="11"/>
    <s v="Nov"/>
    <x v="4"/>
    <n v="0.27878787878787881"/>
    <s v="Q4"/>
    <s v="Saturday"/>
  </r>
  <r>
    <s v="B-26056"/>
    <n v="101"/>
    <n v="11"/>
    <n v="2"/>
    <x v="2"/>
    <x v="7"/>
    <s v="UPI"/>
    <d v="2018-03-10T00:00:00"/>
    <x v="156"/>
    <x v="12"/>
    <s v="Patna"/>
    <x v="0"/>
    <n v="3"/>
    <s v="Mar"/>
    <x v="1"/>
    <n v="0.10891089108910891"/>
    <s v="Q1"/>
    <s v="Saturday"/>
  </r>
  <r>
    <s v="B-26004"/>
    <n v="162"/>
    <n v="73"/>
    <n v="2"/>
    <x v="0"/>
    <x v="0"/>
    <s v="COD"/>
    <d v="2018-02-08T00:00:00"/>
    <x v="224"/>
    <x v="6"/>
    <s v="Jaipur"/>
    <x v="0"/>
    <n v="2"/>
    <s v="Feb"/>
    <x v="10"/>
    <n v="0.45061728395061729"/>
    <s v="Q1"/>
    <s v="Thursday"/>
  </r>
  <r>
    <s v="B-25699"/>
    <n v="20"/>
    <n v="-22"/>
    <n v="1"/>
    <x v="1"/>
    <x v="15"/>
    <s v="UPI"/>
    <d v="2018-06-24T00:00:00"/>
    <x v="199"/>
    <x v="1"/>
    <s v="Lucknow"/>
    <x v="0"/>
    <n v="6"/>
    <s v="Jun"/>
    <x v="0"/>
    <n v="-1.1000000000000001"/>
    <s v="Q2"/>
    <s v="Sunday"/>
  </r>
  <r>
    <s v="B-26053"/>
    <n v="162"/>
    <n v="55"/>
    <n v="3"/>
    <x v="2"/>
    <x v="11"/>
    <s v="COD"/>
    <d v="2018-03-09T00:00:00"/>
    <x v="8"/>
    <x v="4"/>
    <s v="Kashmir"/>
    <x v="0"/>
    <n v="3"/>
    <s v="Mar"/>
    <x v="1"/>
    <n v="0.33950617283950618"/>
    <s v="Q1"/>
    <s v="Friday"/>
  </r>
  <r>
    <s v="B-25654"/>
    <n v="229"/>
    <n v="-23"/>
    <n v="2"/>
    <x v="2"/>
    <x v="6"/>
    <s v="UPI"/>
    <d v="2018-05-10T00:00:00"/>
    <x v="150"/>
    <x v="2"/>
    <s v="Mumbai"/>
    <x v="0"/>
    <n v="5"/>
    <s v="May"/>
    <x v="7"/>
    <n v="-0.10043668122270742"/>
    <s v="Q2"/>
    <s v="Thursday"/>
  </r>
  <r>
    <s v="B-25954"/>
    <n v="27"/>
    <n v="0"/>
    <n v="2"/>
    <x v="2"/>
    <x v="12"/>
    <s v="COD"/>
    <d v="2018-01-14T00:00:00"/>
    <x v="225"/>
    <x v="7"/>
    <s v="Ahmedabad"/>
    <x v="0"/>
    <n v="1"/>
    <s v="Jan"/>
    <x v="2"/>
    <n v="0"/>
    <s v="Q1"/>
    <s v="Sunday"/>
  </r>
  <r>
    <s v="B-25910"/>
    <n v="685"/>
    <n v="7"/>
    <n v="7"/>
    <x v="2"/>
    <x v="5"/>
    <s v="UPI"/>
    <d v="2018-12-14T00:00:00"/>
    <x v="20"/>
    <x v="8"/>
    <s v="Delhi"/>
    <x v="0"/>
    <n v="12"/>
    <s v="Dec"/>
    <x v="5"/>
    <n v="1.0218978102189781E-2"/>
    <s v="Q4"/>
    <s v="Friday"/>
  </r>
  <r>
    <s v="B-26064"/>
    <n v="75"/>
    <n v="2"/>
    <n v="5"/>
    <x v="2"/>
    <x v="12"/>
    <s v="Debit Card"/>
    <d v="2018-03-16T00:00:00"/>
    <x v="167"/>
    <x v="2"/>
    <s v="Mumbai"/>
    <x v="0"/>
    <n v="3"/>
    <s v="Mar"/>
    <x v="1"/>
    <n v="2.6666666666666668E-2"/>
    <s v="Q1"/>
    <s v="Friday"/>
  </r>
  <r>
    <s v="B-25983"/>
    <n v="161"/>
    <n v="-229"/>
    <n v="8"/>
    <x v="1"/>
    <x v="15"/>
    <s v="COD"/>
    <d v="2018-01-30T00:00:00"/>
    <x v="164"/>
    <x v="8"/>
    <s v="Delhi"/>
    <x v="0"/>
    <n v="1"/>
    <s v="Jan"/>
    <x v="2"/>
    <n v="-1.4223602484472049"/>
    <s v="Q1"/>
    <s v="Tuesday"/>
  </r>
  <r>
    <s v="B-26002"/>
    <n v="71"/>
    <n v="19"/>
    <n v="3"/>
    <x v="2"/>
    <x v="14"/>
    <s v="COD"/>
    <d v="2018-02-08T00:00:00"/>
    <x v="105"/>
    <x v="8"/>
    <s v="Delhi"/>
    <x v="0"/>
    <n v="2"/>
    <s v="Feb"/>
    <x v="10"/>
    <n v="0.26760563380281688"/>
    <s v="Q1"/>
    <s v="Thursday"/>
  </r>
  <r>
    <s v="B-25650"/>
    <n v="211"/>
    <n v="-105"/>
    <n v="2"/>
    <x v="2"/>
    <x v="6"/>
    <s v="Credit Card"/>
    <d v="2018-05-06T00:00:00"/>
    <x v="95"/>
    <x v="2"/>
    <s v="Mumbai"/>
    <x v="0"/>
    <n v="5"/>
    <s v="May"/>
    <x v="7"/>
    <n v="-0.49763033175355448"/>
    <s v="Q2"/>
    <s v="Sunday"/>
  </r>
  <r>
    <s v="B-26043"/>
    <n v="79"/>
    <n v="5"/>
    <n v="6"/>
    <x v="2"/>
    <x v="7"/>
    <s v="Debit Card"/>
    <d v="2018-03-01T00:00:00"/>
    <x v="139"/>
    <x v="18"/>
    <s v="Gangtok"/>
    <x v="0"/>
    <n v="3"/>
    <s v="Mar"/>
    <x v="1"/>
    <n v="6.3291139240506333E-2"/>
    <s v="Q1"/>
    <s v="Thursday"/>
  </r>
  <r>
    <s v="B-25657"/>
    <n v="32"/>
    <n v="-22"/>
    <n v="5"/>
    <x v="2"/>
    <x v="6"/>
    <s v="UPI"/>
    <d v="2018-05-13T00:00:00"/>
    <x v="91"/>
    <x v="0"/>
    <s v="Bhopal"/>
    <x v="0"/>
    <n v="5"/>
    <s v="May"/>
    <x v="7"/>
    <n v="-0.6875"/>
    <s v="Q2"/>
    <s v="Sunday"/>
  </r>
  <r>
    <s v="B-25838"/>
    <n v="161"/>
    <n v="40"/>
    <n v="3"/>
    <x v="2"/>
    <x v="11"/>
    <s v="COD"/>
    <d v="2018-10-29T00:00:00"/>
    <x v="48"/>
    <x v="0"/>
    <s v="Indore"/>
    <x v="0"/>
    <n v="10"/>
    <s v="Oct"/>
    <x v="11"/>
    <n v="0.2484472049689441"/>
    <s v="Q4"/>
    <s v="Monday"/>
  </r>
  <r>
    <s v="B-25651"/>
    <n v="159"/>
    <n v="4"/>
    <n v="1"/>
    <x v="2"/>
    <x v="6"/>
    <s v="COD"/>
    <d v="2018-05-07T00:00:00"/>
    <x v="71"/>
    <x v="0"/>
    <s v="Indore"/>
    <x v="0"/>
    <n v="5"/>
    <s v="May"/>
    <x v="7"/>
    <n v="2.5157232704402517E-2"/>
    <s v="Q2"/>
    <s v="Monday"/>
  </r>
  <r>
    <s v="B-25808"/>
    <n v="210"/>
    <n v="-50"/>
    <n v="4"/>
    <x v="2"/>
    <x v="7"/>
    <s v="Credit Card"/>
    <d v="2018-10-08T00:00:00"/>
    <x v="102"/>
    <x v="12"/>
    <s v="Patna"/>
    <x v="0"/>
    <n v="10"/>
    <s v="Oct"/>
    <x v="11"/>
    <n v="-0.23809523809523808"/>
    <s v="Q4"/>
    <s v="Monday"/>
  </r>
  <r>
    <s v="B-25973"/>
    <n v="79"/>
    <n v="39"/>
    <n v="2"/>
    <x v="2"/>
    <x v="16"/>
    <s v="Debit Card"/>
    <d v="2018-01-24T00:00:00"/>
    <x v="16"/>
    <x v="1"/>
    <s v="Mathura"/>
    <x v="0"/>
    <n v="1"/>
    <s v="Jan"/>
    <x v="2"/>
    <n v="0.49367088607594939"/>
    <s v="Q1"/>
    <s v="Wednesday"/>
  </r>
  <r>
    <s v="B-25698"/>
    <n v="207"/>
    <n v="153"/>
    <n v="3"/>
    <x v="2"/>
    <x v="6"/>
    <s v="Credit Card"/>
    <d v="2018-06-23T00:00:00"/>
    <x v="133"/>
    <x v="14"/>
    <s v="Chennai"/>
    <x v="0"/>
    <n v="6"/>
    <s v="Jun"/>
    <x v="0"/>
    <n v="0.73913043478260865"/>
    <s v="Q2"/>
    <s v="Saturday"/>
  </r>
  <r>
    <s v="B-25818"/>
    <n v="36"/>
    <n v="0"/>
    <n v="4"/>
    <x v="2"/>
    <x v="8"/>
    <s v="COD"/>
    <d v="2018-10-14T00:00:00"/>
    <x v="146"/>
    <x v="0"/>
    <s v="Indore"/>
    <x v="0"/>
    <n v="10"/>
    <s v="Oct"/>
    <x v="11"/>
    <n v="0"/>
    <s v="Q4"/>
    <s v="Sunday"/>
  </r>
  <r>
    <s v="B-26061"/>
    <n v="206"/>
    <n v="12"/>
    <n v="1"/>
    <x v="0"/>
    <x v="3"/>
    <s v="Credit Card"/>
    <d v="2018-03-14T00:00:00"/>
    <x v="71"/>
    <x v="0"/>
    <s v="Indore"/>
    <x v="0"/>
    <n v="3"/>
    <s v="Mar"/>
    <x v="1"/>
    <n v="5.8252427184466021E-2"/>
    <s v="Q1"/>
    <s v="Wednesday"/>
  </r>
  <r>
    <s v="B-25878"/>
    <n v="46"/>
    <n v="0"/>
    <n v="4"/>
    <x v="2"/>
    <x v="12"/>
    <s v="COD"/>
    <d v="2018-11-24T00:00:00"/>
    <x v="99"/>
    <x v="2"/>
    <s v="Mumbai"/>
    <x v="0"/>
    <n v="11"/>
    <s v="Nov"/>
    <x v="4"/>
    <n v="0"/>
    <s v="Q4"/>
    <s v="Saturday"/>
  </r>
  <r>
    <s v="B-26054"/>
    <n v="156"/>
    <n v="23"/>
    <n v="3"/>
    <x v="2"/>
    <x v="11"/>
    <s v="COD"/>
    <d v="2018-03-10T00:00:00"/>
    <x v="195"/>
    <x v="2"/>
    <s v="Mumbai"/>
    <x v="0"/>
    <n v="3"/>
    <s v="Mar"/>
    <x v="1"/>
    <n v="0.14743589743589744"/>
    <s v="Q1"/>
    <s v="Saturday"/>
  </r>
  <r>
    <s v="B-25809"/>
    <n v="154"/>
    <n v="54"/>
    <n v="3"/>
    <x v="2"/>
    <x v="7"/>
    <s v="COD"/>
    <d v="2018-10-09T00:00:00"/>
    <x v="203"/>
    <x v="10"/>
    <s v="Thiruvananthapuram"/>
    <x v="0"/>
    <n v="10"/>
    <s v="Oct"/>
    <x v="11"/>
    <n v="0.35064935064935066"/>
    <s v="Q4"/>
    <s v="Tuesday"/>
  </r>
  <r>
    <s v="B-26042"/>
    <n v="36"/>
    <n v="15"/>
    <n v="3"/>
    <x v="2"/>
    <x v="11"/>
    <s v="UPI"/>
    <d v="2018-02-28T00:00:00"/>
    <x v="98"/>
    <x v="11"/>
    <s v="Simla"/>
    <x v="0"/>
    <n v="2"/>
    <s v="Feb"/>
    <x v="10"/>
    <n v="0.41666666666666669"/>
    <s v="Q1"/>
    <s v="Wednesday"/>
  </r>
  <r>
    <s v="B-26008"/>
    <n v="206"/>
    <n v="51"/>
    <n v="4"/>
    <x v="2"/>
    <x v="7"/>
    <s v="Credit Card"/>
    <d v="2018-02-09T00:00:00"/>
    <x v="226"/>
    <x v="14"/>
    <s v="Chennai"/>
    <x v="0"/>
    <n v="2"/>
    <s v="Feb"/>
    <x v="10"/>
    <n v="0.24757281553398058"/>
    <s v="Q1"/>
    <s v="Friday"/>
  </r>
  <r>
    <s v="B-25927"/>
    <n v="200"/>
    <n v="7"/>
    <n v="4"/>
    <x v="0"/>
    <x v="0"/>
    <s v="Credit Card"/>
    <d v="2018-12-31T00:00:00"/>
    <x v="74"/>
    <x v="1"/>
    <s v="Lucknow"/>
    <x v="0"/>
    <n v="12"/>
    <s v="Dec"/>
    <x v="5"/>
    <n v="3.5000000000000003E-2"/>
    <s v="Q4"/>
    <s v="Monday"/>
  </r>
  <r>
    <s v="B-26008"/>
    <n v="199"/>
    <n v="-1"/>
    <n v="1"/>
    <x v="2"/>
    <x v="6"/>
    <s v="Credit Card"/>
    <d v="2018-02-09T00:00:00"/>
    <x v="226"/>
    <x v="14"/>
    <s v="Chennai"/>
    <x v="0"/>
    <n v="2"/>
    <s v="Feb"/>
    <x v="10"/>
    <n v="-5.0251256281407036E-3"/>
    <s v="Q1"/>
    <s v="Friday"/>
  </r>
  <r>
    <s v="B-25753"/>
    <n v="154"/>
    <n v="22"/>
    <n v="7"/>
    <x v="2"/>
    <x v="14"/>
    <s v="COD"/>
    <d v="2018-08-17T00:00:00"/>
    <x v="205"/>
    <x v="1"/>
    <s v="Lucknow"/>
    <x v="0"/>
    <n v="8"/>
    <s v="Aug"/>
    <x v="6"/>
    <n v="0.14285714285714285"/>
    <s v="Q3"/>
    <s v="Friday"/>
  </r>
  <r>
    <s v="B-25948"/>
    <n v="152"/>
    <n v="23"/>
    <n v="3"/>
    <x v="1"/>
    <x v="15"/>
    <s v="COD"/>
    <d v="2018-01-13T00:00:00"/>
    <x v="227"/>
    <x v="2"/>
    <s v="Pune"/>
    <x v="0"/>
    <n v="1"/>
    <s v="Jan"/>
    <x v="2"/>
    <n v="0.15131578947368421"/>
    <s v="Q1"/>
    <s v="Saturday"/>
  </r>
  <r>
    <s v="B-26094"/>
    <n v="152"/>
    <n v="50"/>
    <n v="6"/>
    <x v="2"/>
    <x v="11"/>
    <s v="COD"/>
    <d v="2018-03-27T00:00:00"/>
    <x v="171"/>
    <x v="0"/>
    <s v="Bhopal"/>
    <x v="0"/>
    <n v="3"/>
    <s v="Mar"/>
    <x v="1"/>
    <n v="0.32894736842105265"/>
    <s v="Q1"/>
    <s v="Tuesday"/>
  </r>
  <r>
    <s v="B-25654"/>
    <n v="122"/>
    <n v="-21"/>
    <n v="3"/>
    <x v="1"/>
    <x v="15"/>
    <s v="UPI"/>
    <d v="2018-05-10T00:00:00"/>
    <x v="150"/>
    <x v="2"/>
    <s v="Mumbai"/>
    <x v="0"/>
    <n v="5"/>
    <s v="May"/>
    <x v="7"/>
    <n v="-0.1721311475409836"/>
    <s v="Q2"/>
    <s v="Thursday"/>
  </r>
  <r>
    <s v="B-25854"/>
    <n v="149"/>
    <n v="48"/>
    <n v="6"/>
    <x v="2"/>
    <x v="11"/>
    <s v="COD"/>
    <d v="2018-11-08T00:00:00"/>
    <x v="141"/>
    <x v="2"/>
    <s v="Pune"/>
    <x v="0"/>
    <n v="11"/>
    <s v="Nov"/>
    <x v="4"/>
    <n v="0.32214765100671139"/>
    <s v="Q4"/>
    <s v="Thursday"/>
  </r>
  <r>
    <s v="B-25623"/>
    <n v="149"/>
    <n v="-87"/>
    <n v="4"/>
    <x v="2"/>
    <x v="6"/>
    <s v="COD"/>
    <d v="2018-04-22T00:00:00"/>
    <x v="86"/>
    <x v="17"/>
    <s v="Kolkata"/>
    <x v="0"/>
    <n v="4"/>
    <s v="Apr"/>
    <x v="3"/>
    <n v="-0.58389261744966447"/>
    <s v="Q2"/>
    <s v="Sunday"/>
  </r>
  <r>
    <s v="B-25985"/>
    <n v="197"/>
    <n v="20"/>
    <n v="4"/>
    <x v="2"/>
    <x v="8"/>
    <s v="Credit Card"/>
    <d v="2018-01-31T00:00:00"/>
    <x v="201"/>
    <x v="0"/>
    <s v="Indore"/>
    <x v="0"/>
    <n v="1"/>
    <s v="Jan"/>
    <x v="2"/>
    <n v="0.10152284263959391"/>
    <s v="Q1"/>
    <s v="Wednesday"/>
  </r>
  <r>
    <s v="B-25723"/>
    <n v="76"/>
    <n v="-54"/>
    <n v="3"/>
    <x v="0"/>
    <x v="0"/>
    <s v="COD"/>
    <d v="2018-07-18T00:00:00"/>
    <x v="39"/>
    <x v="2"/>
    <s v="Mumbai"/>
    <x v="0"/>
    <n v="7"/>
    <s v="Jul"/>
    <x v="9"/>
    <n v="-0.71052631578947367"/>
    <s v="Q3"/>
    <s v="Wednesday"/>
  </r>
  <r>
    <s v="B-25751"/>
    <n v="221"/>
    <n v="-15"/>
    <n v="2"/>
    <x v="0"/>
    <x v="0"/>
    <s v="COD"/>
    <d v="2018-08-14T00:00:00"/>
    <x v="188"/>
    <x v="2"/>
    <s v="Mumbai"/>
    <x v="0"/>
    <n v="8"/>
    <s v="Aug"/>
    <x v="6"/>
    <n v="-6.7873303167420809E-2"/>
    <s v="Q3"/>
    <s v="Tuesday"/>
  </r>
  <r>
    <s v="B-26050"/>
    <n v="79"/>
    <n v="32"/>
    <n v="3"/>
    <x v="2"/>
    <x v="6"/>
    <s v="Debit Card"/>
    <d v="2018-03-06T00:00:00"/>
    <x v="49"/>
    <x v="6"/>
    <s v="Jaipur"/>
    <x v="0"/>
    <n v="3"/>
    <s v="Mar"/>
    <x v="1"/>
    <n v="0.4050632911392405"/>
    <s v="Q1"/>
    <s v="Tuesday"/>
  </r>
  <r>
    <s v="B-25800"/>
    <n v="45"/>
    <n v="12"/>
    <n v="7"/>
    <x v="2"/>
    <x v="7"/>
    <s v="UPI"/>
    <d v="2018-10-01T00:00:00"/>
    <x v="228"/>
    <x v="2"/>
    <s v="Pune"/>
    <x v="0"/>
    <n v="10"/>
    <s v="Oct"/>
    <x v="11"/>
    <n v="0.26666666666666666"/>
    <s v="Q4"/>
    <s v="Monday"/>
  </r>
  <r>
    <s v="B-25673"/>
    <n v="149"/>
    <n v="-1"/>
    <n v="1"/>
    <x v="2"/>
    <x v="6"/>
    <s v="COD"/>
    <d v="2018-05-28T00:00:00"/>
    <x v="162"/>
    <x v="7"/>
    <s v="Ahmedabad"/>
    <x v="0"/>
    <n v="5"/>
    <s v="May"/>
    <x v="7"/>
    <n v="-6.7114093959731542E-3"/>
    <s v="Q2"/>
    <s v="Monday"/>
  </r>
  <r>
    <s v="B-26002"/>
    <n v="80"/>
    <n v="22"/>
    <n v="3"/>
    <x v="2"/>
    <x v="11"/>
    <s v="Debit Card"/>
    <d v="2018-02-08T00:00:00"/>
    <x v="105"/>
    <x v="8"/>
    <s v="Delhi"/>
    <x v="0"/>
    <n v="2"/>
    <s v="Feb"/>
    <x v="10"/>
    <n v="0.27500000000000002"/>
    <s v="Q1"/>
    <s v="Thursday"/>
  </r>
  <r>
    <s v="B-26009"/>
    <n v="195"/>
    <n v="12"/>
    <n v="9"/>
    <x v="2"/>
    <x v="16"/>
    <s v="Credit Card"/>
    <d v="2018-02-10T00:00:00"/>
    <x v="183"/>
    <x v="1"/>
    <s v="Lucknow"/>
    <x v="0"/>
    <n v="2"/>
    <s v="Feb"/>
    <x v="10"/>
    <n v="6.1538461538461542E-2"/>
    <s v="Q1"/>
    <s v="Saturday"/>
  </r>
  <r>
    <s v="B-25754"/>
    <n v="19"/>
    <n v="0"/>
    <n v="3"/>
    <x v="2"/>
    <x v="9"/>
    <s v="UPI"/>
    <d v="2018-08-18T00:00:00"/>
    <x v="29"/>
    <x v="12"/>
    <s v="Patna"/>
    <x v="0"/>
    <n v="8"/>
    <s v="Aug"/>
    <x v="6"/>
    <n v="0"/>
    <s v="Q3"/>
    <s v="Saturday"/>
  </r>
  <r>
    <s v="B-25953"/>
    <n v="81"/>
    <n v="41"/>
    <n v="3"/>
    <x v="2"/>
    <x v="11"/>
    <s v="Debit Card"/>
    <d v="2018-01-14T00:00:00"/>
    <x v="93"/>
    <x v="9"/>
    <s v="Hyderabad"/>
    <x v="0"/>
    <n v="1"/>
    <s v="Jan"/>
    <x v="2"/>
    <n v="0.50617283950617287"/>
    <s v="Q1"/>
    <s v="Sunday"/>
  </r>
  <r>
    <s v="B-26039"/>
    <n v="83"/>
    <n v="34"/>
    <n v="5"/>
    <x v="2"/>
    <x v="16"/>
    <s v="Debit Card"/>
    <d v="2018-02-25T00:00:00"/>
    <x v="229"/>
    <x v="10"/>
    <s v="Thiruvananthapuram"/>
    <x v="0"/>
    <n v="2"/>
    <s v="Feb"/>
    <x v="10"/>
    <n v="0.40963855421686746"/>
    <s v="Q1"/>
    <s v="Sunday"/>
  </r>
  <r>
    <s v="B-26001"/>
    <n v="149"/>
    <n v="17"/>
    <n v="4"/>
    <x v="1"/>
    <x v="15"/>
    <s v="COD"/>
    <d v="2018-02-07T00:00:00"/>
    <x v="24"/>
    <x v="8"/>
    <s v="Delhi"/>
    <x v="0"/>
    <n v="2"/>
    <s v="Feb"/>
    <x v="10"/>
    <n v="0.11409395973154363"/>
    <s v="Q1"/>
    <s v="Wednesday"/>
  </r>
  <r>
    <s v="B-25620"/>
    <n v="193"/>
    <n v="46"/>
    <n v="1"/>
    <x v="0"/>
    <x v="3"/>
    <s v="Credit Card"/>
    <d v="2018-04-20T00:00:00"/>
    <x v="3"/>
    <x v="2"/>
    <s v="Pune"/>
    <x v="0"/>
    <n v="4"/>
    <s v="Apr"/>
    <x v="3"/>
    <n v="0.23834196891191708"/>
    <s v="Q2"/>
    <s v="Friday"/>
  </r>
  <r>
    <s v="B-26051"/>
    <n v="85"/>
    <n v="24"/>
    <n v="10"/>
    <x v="2"/>
    <x v="7"/>
    <s v="Debit Card"/>
    <d v="2018-03-07T00:00:00"/>
    <x v="56"/>
    <x v="17"/>
    <s v="Kolkata"/>
    <x v="0"/>
    <n v="3"/>
    <s v="Mar"/>
    <x v="1"/>
    <n v="0.28235294117647058"/>
    <s v="Q1"/>
    <s v="Wednesday"/>
  </r>
  <r>
    <s v="B-25673"/>
    <n v="44"/>
    <n v="-17"/>
    <n v="5"/>
    <x v="2"/>
    <x v="6"/>
    <s v="UPI"/>
    <d v="2018-05-28T00:00:00"/>
    <x v="162"/>
    <x v="7"/>
    <s v="Ahmedabad"/>
    <x v="0"/>
    <n v="5"/>
    <s v="May"/>
    <x v="7"/>
    <n v="-0.38636363636363635"/>
    <s v="Q2"/>
    <s v="Monday"/>
  </r>
  <r>
    <s v="B-25721"/>
    <n v="149"/>
    <n v="-40"/>
    <n v="2"/>
    <x v="0"/>
    <x v="4"/>
    <s v="COD"/>
    <d v="2018-07-16T00:00:00"/>
    <x v="230"/>
    <x v="15"/>
    <s v="Chandigarh"/>
    <x v="0"/>
    <n v="7"/>
    <s v="Jul"/>
    <x v="9"/>
    <n v="-0.26845637583892618"/>
    <s v="Q3"/>
    <s v="Monday"/>
  </r>
  <r>
    <s v="B-25764"/>
    <n v="26"/>
    <n v="0"/>
    <n v="2"/>
    <x v="2"/>
    <x v="8"/>
    <s v="COD"/>
    <d v="2018-08-28T00:00:00"/>
    <x v="231"/>
    <x v="2"/>
    <s v="Pune"/>
    <x v="0"/>
    <n v="8"/>
    <s v="Aug"/>
    <x v="6"/>
    <n v="0"/>
    <s v="Q3"/>
    <s v="Tuesday"/>
  </r>
  <r>
    <s v="B-25645"/>
    <n v="86"/>
    <n v="0"/>
    <n v="4"/>
    <x v="2"/>
    <x v="14"/>
    <s v="Debit Card"/>
    <d v="2018-05-01T00:00:00"/>
    <x v="185"/>
    <x v="0"/>
    <s v="Indore"/>
    <x v="0"/>
    <n v="5"/>
    <s v="May"/>
    <x v="7"/>
    <n v="0"/>
    <s v="Q2"/>
    <s v="Tuesday"/>
  </r>
  <r>
    <s v="B-26066"/>
    <n v="86"/>
    <n v="22"/>
    <n v="2"/>
    <x v="2"/>
    <x v="6"/>
    <s v="Debit Card"/>
    <d v="2018-03-16T00:00:00"/>
    <x v="85"/>
    <x v="2"/>
    <s v="Pune"/>
    <x v="0"/>
    <n v="3"/>
    <s v="Mar"/>
    <x v="1"/>
    <n v="0.2558139534883721"/>
    <s v="Q1"/>
    <s v="Friday"/>
  </r>
  <r>
    <s v="B-26003"/>
    <n v="79"/>
    <n v="16"/>
    <n v="3"/>
    <x v="2"/>
    <x v="14"/>
    <s v="COD"/>
    <d v="2018-02-08T00:00:00"/>
    <x v="34"/>
    <x v="0"/>
    <s v="Bhopal"/>
    <x v="0"/>
    <n v="2"/>
    <s v="Feb"/>
    <x v="10"/>
    <n v="0.20253164556962025"/>
    <s v="Q1"/>
    <s v="Thursday"/>
  </r>
  <r>
    <s v="B-25712"/>
    <n v="193"/>
    <n v="-275"/>
    <n v="3"/>
    <x v="0"/>
    <x v="4"/>
    <s v="Credit Card"/>
    <d v="2018-07-07T00:00:00"/>
    <x v="232"/>
    <x v="6"/>
    <s v="Jaipur"/>
    <x v="0"/>
    <n v="7"/>
    <s v="Jul"/>
    <x v="9"/>
    <n v="-1.4248704663212435"/>
    <s v="Q3"/>
    <s v="Saturday"/>
  </r>
  <r>
    <s v="B-25796"/>
    <n v="148"/>
    <n v="0"/>
    <n v="3"/>
    <x v="2"/>
    <x v="6"/>
    <s v="COD"/>
    <d v="2018-09-24T00:00:00"/>
    <x v="119"/>
    <x v="2"/>
    <s v="Mumbai"/>
    <x v="0"/>
    <n v="9"/>
    <s v="Sep"/>
    <x v="8"/>
    <n v="0"/>
    <s v="Q3"/>
    <s v="Monday"/>
  </r>
  <r>
    <s v="B-25738"/>
    <n v="70"/>
    <n v="-14"/>
    <n v="2"/>
    <x v="1"/>
    <x v="15"/>
    <s v="UPI"/>
    <d v="2018-08-02T00:00:00"/>
    <x v="121"/>
    <x v="13"/>
    <s v="Chandigarh"/>
    <x v="0"/>
    <n v="8"/>
    <s v="Aug"/>
    <x v="6"/>
    <n v="-0.2"/>
    <s v="Q3"/>
    <s v="Thursday"/>
  </r>
  <r>
    <s v="B-25771"/>
    <n v="148"/>
    <n v="59"/>
    <n v="3"/>
    <x v="2"/>
    <x v="7"/>
    <s v="COD"/>
    <d v="2018-09-02T00:00:00"/>
    <x v="233"/>
    <x v="1"/>
    <s v="Lucknow"/>
    <x v="0"/>
    <n v="9"/>
    <s v="Sep"/>
    <x v="8"/>
    <n v="0.39864864864864863"/>
    <s v="Q3"/>
    <s v="Sunday"/>
  </r>
  <r>
    <s v="B-25950"/>
    <n v="190"/>
    <n v="19"/>
    <n v="9"/>
    <x v="1"/>
    <x v="15"/>
    <s v="Credit Card"/>
    <d v="2018-01-13T00:00:00"/>
    <x v="21"/>
    <x v="0"/>
    <s v="Indore"/>
    <x v="0"/>
    <n v="1"/>
    <s v="Jan"/>
    <x v="2"/>
    <n v="0.1"/>
    <s v="Q1"/>
    <s v="Saturday"/>
  </r>
  <r>
    <s v="B-26038"/>
    <n v="52"/>
    <n v="14"/>
    <n v="2"/>
    <x v="2"/>
    <x v="11"/>
    <s v="COD"/>
    <d v="2018-02-24T00:00:00"/>
    <x v="28"/>
    <x v="12"/>
    <s v="Patna"/>
    <x v="0"/>
    <n v="2"/>
    <s v="Feb"/>
    <x v="10"/>
    <n v="0.26923076923076922"/>
    <s v="Q1"/>
    <s v="Saturday"/>
  </r>
  <r>
    <s v="B-26004"/>
    <n v="147"/>
    <n v="44"/>
    <n v="3"/>
    <x v="2"/>
    <x v="6"/>
    <s v="COD"/>
    <d v="2018-02-08T00:00:00"/>
    <x v="224"/>
    <x v="6"/>
    <s v="Jaipur"/>
    <x v="0"/>
    <n v="2"/>
    <s v="Feb"/>
    <x v="10"/>
    <n v="0.29931972789115646"/>
    <s v="Q1"/>
    <s v="Thursday"/>
  </r>
  <r>
    <s v="B-25896"/>
    <n v="190"/>
    <n v="68"/>
    <n v="8"/>
    <x v="2"/>
    <x v="14"/>
    <s v="Credit Card"/>
    <d v="2018-12-05T00:00:00"/>
    <x v="140"/>
    <x v="2"/>
    <s v="Mumbai"/>
    <x v="0"/>
    <n v="12"/>
    <s v="Dec"/>
    <x v="5"/>
    <n v="0.35789473684210527"/>
    <s v="Q4"/>
    <s v="Wednesday"/>
  </r>
  <r>
    <s v="B-25601"/>
    <n v="80"/>
    <n v="-56"/>
    <n v="4"/>
    <x v="0"/>
    <x v="0"/>
    <s v="UPI"/>
    <d v="2018-04-01T00:00:00"/>
    <x v="234"/>
    <x v="7"/>
    <s v="Ahmedabad"/>
    <x v="0"/>
    <n v="4"/>
    <s v="Apr"/>
    <x v="3"/>
    <n v="-0.7"/>
    <s v="Q2"/>
    <s v="Sunday"/>
  </r>
  <r>
    <s v="B-25952"/>
    <n v="147"/>
    <n v="48"/>
    <n v="3"/>
    <x v="2"/>
    <x v="6"/>
    <s v="COD"/>
    <d v="2018-01-13T00:00:00"/>
    <x v="85"/>
    <x v="0"/>
    <s v="Indore"/>
    <x v="0"/>
    <n v="1"/>
    <s v="Jan"/>
    <x v="2"/>
    <n v="0.32653061224489793"/>
    <s v="Q1"/>
    <s v="Saturday"/>
  </r>
  <r>
    <s v="B-25873"/>
    <n v="66"/>
    <n v="12"/>
    <n v="3"/>
    <x v="2"/>
    <x v="11"/>
    <s v="COD"/>
    <d v="2018-11-23T00:00:00"/>
    <x v="136"/>
    <x v="0"/>
    <s v="Indore"/>
    <x v="0"/>
    <n v="11"/>
    <s v="Nov"/>
    <x v="4"/>
    <n v="0.18181818181818182"/>
    <s v="Q4"/>
    <s v="Friday"/>
  </r>
  <r>
    <s v="B-25844"/>
    <n v="86"/>
    <n v="8"/>
    <n v="2"/>
    <x v="2"/>
    <x v="6"/>
    <s v="Debit Card"/>
    <d v="2018-11-03T00:00:00"/>
    <x v="235"/>
    <x v="0"/>
    <s v="Indore"/>
    <x v="0"/>
    <n v="11"/>
    <s v="Nov"/>
    <x v="4"/>
    <n v="9.3023255813953487E-2"/>
    <s v="Q4"/>
    <s v="Saturday"/>
  </r>
  <r>
    <s v="B-26054"/>
    <n v="88"/>
    <n v="19"/>
    <n v="2"/>
    <x v="2"/>
    <x v="16"/>
    <s v="Debit Card"/>
    <d v="2018-03-10T00:00:00"/>
    <x v="195"/>
    <x v="2"/>
    <s v="Mumbai"/>
    <x v="0"/>
    <n v="3"/>
    <s v="Mar"/>
    <x v="1"/>
    <n v="0.21590909090909091"/>
    <s v="Q1"/>
    <s v="Saturday"/>
  </r>
  <r>
    <s v="B-25953"/>
    <n v="188"/>
    <n v="-193"/>
    <n v="2"/>
    <x v="0"/>
    <x v="0"/>
    <s v="Credit Card"/>
    <d v="2018-01-14T00:00:00"/>
    <x v="93"/>
    <x v="9"/>
    <s v="Hyderabad"/>
    <x v="0"/>
    <n v="1"/>
    <s v="Jan"/>
    <x v="2"/>
    <n v="-1.0265957446808511"/>
    <s v="Q1"/>
    <s v="Sunday"/>
  </r>
  <r>
    <s v="B-25951"/>
    <n v="89"/>
    <n v="29"/>
    <n v="2"/>
    <x v="2"/>
    <x v="11"/>
    <s v="UPI"/>
    <d v="2018-01-13T00:00:00"/>
    <x v="130"/>
    <x v="17"/>
    <s v="Kolkata"/>
    <x v="0"/>
    <n v="1"/>
    <s v="Jan"/>
    <x v="2"/>
    <n v="0.3258426966292135"/>
    <s v="Q1"/>
    <s v="Saturday"/>
  </r>
  <r>
    <s v="B-26065"/>
    <n v="146"/>
    <n v="19"/>
    <n v="5"/>
    <x v="2"/>
    <x v="11"/>
    <s v="COD"/>
    <d v="2018-03-16T00:00:00"/>
    <x v="15"/>
    <x v="0"/>
    <s v="Indore"/>
    <x v="0"/>
    <n v="3"/>
    <s v="Mar"/>
    <x v="1"/>
    <n v="0.13013698630136986"/>
    <s v="Q1"/>
    <s v="Friday"/>
  </r>
  <r>
    <s v="B-26033"/>
    <n v="143"/>
    <n v="32"/>
    <n v="1"/>
    <x v="1"/>
    <x v="2"/>
    <s v="COD"/>
    <d v="2018-02-22T00:00:00"/>
    <x v="86"/>
    <x v="17"/>
    <s v="Kolkata"/>
    <x v="0"/>
    <n v="2"/>
    <s v="Feb"/>
    <x v="10"/>
    <n v="0.22377622377622378"/>
    <s v="Q1"/>
    <s v="Thursday"/>
  </r>
  <r>
    <s v="B-25781"/>
    <n v="25"/>
    <n v="-1"/>
    <n v="4"/>
    <x v="2"/>
    <x v="8"/>
    <s v="COD"/>
    <d v="2018-09-14T00:00:00"/>
    <x v="196"/>
    <x v="7"/>
    <s v="Ahmedabad"/>
    <x v="0"/>
    <n v="9"/>
    <s v="Sep"/>
    <x v="8"/>
    <n v="-0.04"/>
    <s v="Q3"/>
    <s v="Friday"/>
  </r>
  <r>
    <s v="B-26043"/>
    <n v="30"/>
    <n v="12"/>
    <n v="3"/>
    <x v="2"/>
    <x v="9"/>
    <s v="UPI"/>
    <d v="2018-03-01T00:00:00"/>
    <x v="139"/>
    <x v="18"/>
    <s v="Gangtok"/>
    <x v="0"/>
    <n v="3"/>
    <s v="Mar"/>
    <x v="1"/>
    <n v="0.4"/>
    <s v="Q1"/>
    <s v="Thursday"/>
  </r>
  <r>
    <s v="B-25787"/>
    <n v="140"/>
    <n v="-58"/>
    <n v="4"/>
    <x v="1"/>
    <x v="15"/>
    <s v="COD"/>
    <d v="2018-09-20T00:00:00"/>
    <x v="101"/>
    <x v="4"/>
    <s v="Kashmir"/>
    <x v="0"/>
    <n v="9"/>
    <s v="Sep"/>
    <x v="8"/>
    <n v="-0.41428571428571431"/>
    <s v="Q3"/>
    <s v="Thursday"/>
  </r>
  <r>
    <s v="B-25664"/>
    <n v="83"/>
    <n v="-48"/>
    <n v="1"/>
    <x v="1"/>
    <x v="2"/>
    <s v="UPI"/>
    <d v="2018-05-20T00:00:00"/>
    <x v="176"/>
    <x v="12"/>
    <s v="Patna"/>
    <x v="0"/>
    <n v="5"/>
    <s v="May"/>
    <x v="7"/>
    <n v="-0.57831325301204817"/>
    <s v="Q2"/>
    <s v="Sunday"/>
  </r>
  <r>
    <s v="B-25825"/>
    <n v="140"/>
    <n v="6"/>
    <n v="5"/>
    <x v="2"/>
    <x v="6"/>
    <s v="COD"/>
    <d v="2018-10-21T00:00:00"/>
    <x v="181"/>
    <x v="0"/>
    <s v="Indore"/>
    <x v="0"/>
    <n v="10"/>
    <s v="Oct"/>
    <x v="11"/>
    <n v="4.2857142857142858E-2"/>
    <s v="Q4"/>
    <s v="Sunday"/>
  </r>
  <r>
    <s v="B-25818"/>
    <n v="28"/>
    <n v="14"/>
    <n v="4"/>
    <x v="2"/>
    <x v="7"/>
    <s v="COD"/>
    <d v="2018-10-14T00:00:00"/>
    <x v="146"/>
    <x v="0"/>
    <s v="Indore"/>
    <x v="0"/>
    <n v="10"/>
    <s v="Oct"/>
    <x v="11"/>
    <n v="0.5"/>
    <s v="Q4"/>
    <s v="Sunday"/>
  </r>
  <r>
    <s v="B-25765"/>
    <n v="139"/>
    <n v="14"/>
    <n v="3"/>
    <x v="2"/>
    <x v="11"/>
    <s v="COD"/>
    <d v="2018-08-29T00:00:00"/>
    <x v="236"/>
    <x v="0"/>
    <s v="Bhopal"/>
    <x v="0"/>
    <n v="8"/>
    <s v="Aug"/>
    <x v="6"/>
    <n v="0.10071942446043165"/>
    <s v="Q3"/>
    <s v="Wednesday"/>
  </r>
  <r>
    <s v="B-25853"/>
    <n v="30"/>
    <n v="14"/>
    <n v="3"/>
    <x v="2"/>
    <x v="7"/>
    <s v="UPI"/>
    <d v="2018-11-08T00:00:00"/>
    <x v="18"/>
    <x v="7"/>
    <s v="Ahmedabad"/>
    <x v="0"/>
    <n v="11"/>
    <s v="Nov"/>
    <x v="4"/>
    <n v="0.46666666666666667"/>
    <s v="Q4"/>
    <s v="Thursday"/>
  </r>
  <r>
    <s v="B-26030"/>
    <n v="89"/>
    <n v="36"/>
    <n v="3"/>
    <x v="2"/>
    <x v="16"/>
    <s v="UPI"/>
    <d v="2018-02-21T00:00:00"/>
    <x v="3"/>
    <x v="2"/>
    <s v="Pune"/>
    <x v="0"/>
    <n v="2"/>
    <s v="Feb"/>
    <x v="10"/>
    <n v="0.4044943820224719"/>
    <s v="Q1"/>
    <s v="Wednesday"/>
  </r>
  <r>
    <s v="B-25730"/>
    <n v="187"/>
    <n v="30"/>
    <n v="4"/>
    <x v="0"/>
    <x v="13"/>
    <s v="Credit Card"/>
    <d v="2018-07-22T00:00:00"/>
    <x v="83"/>
    <x v="6"/>
    <s v="Jaipur"/>
    <x v="0"/>
    <n v="7"/>
    <s v="Jul"/>
    <x v="9"/>
    <n v="0.16042780748663102"/>
    <s v="Q3"/>
    <s v="Sunday"/>
  </r>
  <r>
    <s v="B-26054"/>
    <n v="139"/>
    <n v="21"/>
    <n v="3"/>
    <x v="0"/>
    <x v="13"/>
    <s v="COD"/>
    <d v="2018-03-10T00:00:00"/>
    <x v="195"/>
    <x v="2"/>
    <s v="Mumbai"/>
    <x v="0"/>
    <n v="3"/>
    <s v="Mar"/>
    <x v="1"/>
    <n v="0.15107913669064749"/>
    <s v="Q1"/>
    <s v="Saturday"/>
  </r>
  <r>
    <s v="B-25773"/>
    <n v="437"/>
    <n v="-14"/>
    <n v="2"/>
    <x v="2"/>
    <x v="6"/>
    <s v="UPI"/>
    <d v="2018-09-06T00:00:00"/>
    <x v="74"/>
    <x v="10"/>
    <s v="Thiruvananthapuram"/>
    <x v="0"/>
    <n v="9"/>
    <s v="Sep"/>
    <x v="8"/>
    <n v="-3.2036613272311214E-2"/>
    <s v="Q3"/>
    <s v="Thursday"/>
  </r>
  <r>
    <s v="B-25717"/>
    <n v="138"/>
    <n v="-3"/>
    <n v="5"/>
    <x v="2"/>
    <x v="6"/>
    <s v="COD"/>
    <d v="2018-07-12T00:00:00"/>
    <x v="166"/>
    <x v="1"/>
    <s v="Lucknow"/>
    <x v="0"/>
    <n v="7"/>
    <s v="Jul"/>
    <x v="9"/>
    <n v="-2.1739130434782608E-2"/>
    <s v="Q3"/>
    <s v="Thursday"/>
  </r>
  <r>
    <s v="B-26010"/>
    <n v="85"/>
    <n v="13"/>
    <n v="2"/>
    <x v="2"/>
    <x v="16"/>
    <s v="UPI"/>
    <d v="2018-02-11T00:00:00"/>
    <x v="210"/>
    <x v="12"/>
    <s v="Patna"/>
    <x v="0"/>
    <n v="2"/>
    <s v="Feb"/>
    <x v="10"/>
    <n v="0.15294117647058825"/>
    <s v="Q1"/>
    <s v="Sunday"/>
  </r>
  <r>
    <s v="B-25893"/>
    <n v="83"/>
    <n v="12"/>
    <n v="3"/>
    <x v="2"/>
    <x v="11"/>
    <s v="UPI"/>
    <d v="2018-12-04T00:00:00"/>
    <x v="4"/>
    <x v="1"/>
    <s v="Mathura"/>
    <x v="0"/>
    <n v="12"/>
    <s v="Dec"/>
    <x v="5"/>
    <n v="0.14457831325301204"/>
    <s v="Q4"/>
    <s v="Tuesday"/>
  </r>
  <r>
    <s v="B-26076"/>
    <n v="91"/>
    <n v="22"/>
    <n v="2"/>
    <x v="2"/>
    <x v="11"/>
    <s v="UPI"/>
    <d v="2018-03-21T00:00:00"/>
    <x v="106"/>
    <x v="0"/>
    <s v="Bhopal"/>
    <x v="0"/>
    <n v="3"/>
    <s v="Mar"/>
    <x v="1"/>
    <n v="0.24175824175824176"/>
    <s v="Q1"/>
    <s v="Wednesday"/>
  </r>
  <r>
    <s v="B-25803"/>
    <n v="137"/>
    <n v="5"/>
    <n v="5"/>
    <x v="2"/>
    <x v="16"/>
    <s v="COD"/>
    <d v="2018-10-05T00:00:00"/>
    <x v="125"/>
    <x v="0"/>
    <s v="Indore"/>
    <x v="0"/>
    <n v="10"/>
    <s v="Oct"/>
    <x v="11"/>
    <n v="3.6496350364963501E-2"/>
    <s v="Q4"/>
    <s v="Friday"/>
  </r>
  <r>
    <s v="B-25709"/>
    <n v="33"/>
    <n v="-12"/>
    <n v="7"/>
    <x v="2"/>
    <x v="6"/>
    <s v="UPI"/>
    <d v="2018-07-01T00:00:00"/>
    <x v="237"/>
    <x v="0"/>
    <s v="Indore"/>
    <x v="0"/>
    <n v="7"/>
    <s v="Jul"/>
    <x v="9"/>
    <n v="-0.36363636363636365"/>
    <s v="Q3"/>
    <s v="Sunday"/>
  </r>
  <r>
    <s v="B-25755"/>
    <n v="134"/>
    <n v="-34"/>
    <n v="2"/>
    <x v="1"/>
    <x v="1"/>
    <s v="COD"/>
    <d v="2018-08-19T00:00:00"/>
    <x v="40"/>
    <x v="10"/>
    <s v="Thiruvananthapuram"/>
    <x v="0"/>
    <n v="8"/>
    <s v="Aug"/>
    <x v="6"/>
    <n v="-0.2537313432835821"/>
    <s v="Q3"/>
    <s v="Sunday"/>
  </r>
  <r>
    <s v="B-25684"/>
    <n v="134"/>
    <n v="42"/>
    <n v="2"/>
    <x v="1"/>
    <x v="1"/>
    <s v="COD"/>
    <d v="2018-06-09T00:00:00"/>
    <x v="238"/>
    <x v="2"/>
    <s v="Mumbai"/>
    <x v="0"/>
    <n v="6"/>
    <s v="Jun"/>
    <x v="0"/>
    <n v="0.31343283582089554"/>
    <s v="Q2"/>
    <s v="Saturday"/>
  </r>
  <r>
    <s v="B-25739"/>
    <n v="133"/>
    <n v="-56"/>
    <n v="2"/>
    <x v="1"/>
    <x v="1"/>
    <s v="COD"/>
    <d v="2018-08-03T00:00:00"/>
    <x v="239"/>
    <x v="15"/>
    <s v="Chandigarh"/>
    <x v="0"/>
    <n v="8"/>
    <s v="Aug"/>
    <x v="6"/>
    <n v="-0.42105263157894735"/>
    <s v="Q3"/>
    <s v="Friday"/>
  </r>
  <r>
    <s v="B-26081"/>
    <n v="93"/>
    <n v="-84"/>
    <n v="3"/>
    <x v="2"/>
    <x v="6"/>
    <s v="UPI"/>
    <d v="2018-03-22T00:00:00"/>
    <x v="55"/>
    <x v="14"/>
    <s v="Chennai"/>
    <x v="0"/>
    <n v="3"/>
    <s v="Mar"/>
    <x v="1"/>
    <n v="-0.90322580645161288"/>
    <s v="Q1"/>
    <s v="Thursday"/>
  </r>
  <r>
    <s v="B-25662"/>
    <n v="86"/>
    <n v="-21"/>
    <n v="1"/>
    <x v="0"/>
    <x v="0"/>
    <s v="UPI"/>
    <d v="2018-05-17T00:00:00"/>
    <x v="117"/>
    <x v="2"/>
    <s v="Mumbai"/>
    <x v="0"/>
    <n v="5"/>
    <s v="May"/>
    <x v="7"/>
    <n v="-0.2441860465116279"/>
    <s v="Q2"/>
    <s v="Thursday"/>
  </r>
  <r>
    <s v="B-25845"/>
    <n v="132"/>
    <n v="54"/>
    <n v="5"/>
    <x v="2"/>
    <x v="11"/>
    <s v="COD"/>
    <d v="2018-11-03T00:00:00"/>
    <x v="23"/>
    <x v="10"/>
    <s v="Thiruvananthapuram"/>
    <x v="0"/>
    <n v="11"/>
    <s v="Nov"/>
    <x v="4"/>
    <n v="0.40909090909090912"/>
    <s v="Q4"/>
    <s v="Saturday"/>
  </r>
  <r>
    <s v="B-26085"/>
    <n v="132"/>
    <n v="-10"/>
    <n v="3"/>
    <x v="2"/>
    <x v="6"/>
    <s v="COD"/>
    <d v="2018-03-26T00:00:00"/>
    <x v="32"/>
    <x v="13"/>
    <s v="Chandigarh"/>
    <x v="0"/>
    <n v="3"/>
    <s v="Mar"/>
    <x v="1"/>
    <n v="-7.575757575757576E-2"/>
    <s v="Q1"/>
    <s v="Monday"/>
  </r>
  <r>
    <s v="B-25745"/>
    <n v="132"/>
    <n v="-79"/>
    <n v="5"/>
    <x v="1"/>
    <x v="15"/>
    <s v="COD"/>
    <d v="2018-08-09T00:00:00"/>
    <x v="181"/>
    <x v="7"/>
    <s v="Ahmedabad"/>
    <x v="0"/>
    <n v="8"/>
    <s v="Aug"/>
    <x v="6"/>
    <n v="-0.59848484848484851"/>
    <s v="Q3"/>
    <s v="Thursday"/>
  </r>
  <r>
    <s v="B-25999"/>
    <n v="93"/>
    <n v="-65"/>
    <n v="4"/>
    <x v="2"/>
    <x v="11"/>
    <s v="UPI"/>
    <d v="2018-02-05T00:00:00"/>
    <x v="207"/>
    <x v="8"/>
    <s v="Delhi"/>
    <x v="0"/>
    <n v="2"/>
    <s v="Feb"/>
    <x v="10"/>
    <n v="-0.69892473118279574"/>
    <s v="Q1"/>
    <s v="Monday"/>
  </r>
  <r>
    <s v="B-26082"/>
    <n v="95"/>
    <n v="5"/>
    <n v="2"/>
    <x v="2"/>
    <x v="11"/>
    <s v="UPI"/>
    <d v="2018-03-23T00:00:00"/>
    <x v="122"/>
    <x v="1"/>
    <s v="Lucknow"/>
    <x v="0"/>
    <n v="3"/>
    <s v="Mar"/>
    <x v="1"/>
    <n v="5.2631578947368418E-2"/>
    <s v="Q1"/>
    <s v="Friday"/>
  </r>
  <r>
    <s v="B-26097"/>
    <n v="97"/>
    <n v="12"/>
    <n v="2"/>
    <x v="2"/>
    <x v="7"/>
    <s v="UPI"/>
    <d v="2018-03-28T00:00:00"/>
    <x v="35"/>
    <x v="3"/>
    <s v="Bangalore"/>
    <x v="0"/>
    <n v="3"/>
    <s v="Mar"/>
    <x v="1"/>
    <n v="0.12371134020618557"/>
    <s v="Q1"/>
    <s v="Wednesday"/>
  </r>
  <r>
    <s v="B-25731"/>
    <n v="131"/>
    <n v="-154"/>
    <n v="8"/>
    <x v="1"/>
    <x v="15"/>
    <s v="COD"/>
    <d v="2018-07-26T00:00:00"/>
    <x v="240"/>
    <x v="17"/>
    <s v="Kolkata"/>
    <x v="0"/>
    <n v="7"/>
    <s v="Jul"/>
    <x v="9"/>
    <n v="-1.1755725190839694"/>
    <s v="Q3"/>
    <s v="Thursday"/>
  </r>
  <r>
    <s v="B-25625"/>
    <n v="97"/>
    <n v="29"/>
    <n v="2"/>
    <x v="2"/>
    <x v="7"/>
    <s v="UPI"/>
    <d v="2018-04-23T00:00:00"/>
    <x v="90"/>
    <x v="4"/>
    <s v="Kashmir"/>
    <x v="0"/>
    <n v="4"/>
    <s v="Apr"/>
    <x v="3"/>
    <n v="0.29896907216494845"/>
    <s v="Q2"/>
    <s v="Monday"/>
  </r>
  <r>
    <s v="B-25853"/>
    <n v="128"/>
    <n v="4"/>
    <n v="3"/>
    <x v="2"/>
    <x v="6"/>
    <s v="COD"/>
    <d v="2018-11-08T00:00:00"/>
    <x v="18"/>
    <x v="7"/>
    <s v="Ahmedabad"/>
    <x v="0"/>
    <n v="11"/>
    <s v="Nov"/>
    <x v="4"/>
    <n v="3.125E-2"/>
    <s v="Q4"/>
    <s v="Thursday"/>
  </r>
  <r>
    <s v="B-25703"/>
    <n v="186"/>
    <n v="241"/>
    <n v="9"/>
    <x v="2"/>
    <x v="16"/>
    <s v="Credit Card"/>
    <d v="2018-06-28T00:00:00"/>
    <x v="10"/>
    <x v="0"/>
    <s v="Indore"/>
    <x v="0"/>
    <n v="6"/>
    <s v="Jun"/>
    <x v="0"/>
    <n v="1.2956989247311828"/>
    <s v="Q2"/>
    <s v="Thursday"/>
  </r>
  <r>
    <s v="B-26003"/>
    <n v="128"/>
    <n v="47"/>
    <n v="4"/>
    <x v="2"/>
    <x v="7"/>
    <s v="COD"/>
    <d v="2018-02-08T00:00:00"/>
    <x v="34"/>
    <x v="0"/>
    <s v="Bhopal"/>
    <x v="0"/>
    <n v="2"/>
    <s v="Feb"/>
    <x v="10"/>
    <n v="0.3671875"/>
    <s v="Q1"/>
    <s v="Thursday"/>
  </r>
  <r>
    <s v="B-25803"/>
    <n v="185"/>
    <n v="48"/>
    <n v="4"/>
    <x v="2"/>
    <x v="11"/>
    <s v="Credit Card"/>
    <d v="2018-10-05T00:00:00"/>
    <x v="125"/>
    <x v="0"/>
    <s v="Indore"/>
    <x v="0"/>
    <n v="10"/>
    <s v="Oct"/>
    <x v="11"/>
    <n v="0.25945945945945947"/>
    <s v="Q4"/>
    <s v="Friday"/>
  </r>
  <r>
    <s v="B-25719"/>
    <n v="29"/>
    <n v="10"/>
    <n v="2"/>
    <x v="2"/>
    <x v="11"/>
    <s v="COD"/>
    <d v="2018-07-12T00:00:00"/>
    <x v="241"/>
    <x v="0"/>
    <s v="Indore"/>
    <x v="0"/>
    <n v="7"/>
    <s v="Jul"/>
    <x v="9"/>
    <n v="0.34482758620689657"/>
    <s v="Q3"/>
    <s v="Thursday"/>
  </r>
  <r>
    <s v="B-25883"/>
    <n v="127"/>
    <n v="29"/>
    <n v="3"/>
    <x v="1"/>
    <x v="15"/>
    <s v="COD"/>
    <d v="2018-11-27T00:00:00"/>
    <x v="33"/>
    <x v="7"/>
    <s v="Surat"/>
    <x v="0"/>
    <n v="11"/>
    <s v="Nov"/>
    <x v="4"/>
    <n v="0.2283464566929134"/>
    <s v="Q4"/>
    <s v="Tuesday"/>
  </r>
  <r>
    <s v="B-25891"/>
    <n v="97"/>
    <n v="36"/>
    <n v="7"/>
    <x v="2"/>
    <x v="7"/>
    <s v="UPI"/>
    <d v="2018-12-04T00:00:00"/>
    <x v="170"/>
    <x v="0"/>
    <s v="Indore"/>
    <x v="0"/>
    <n v="12"/>
    <s v="Dec"/>
    <x v="5"/>
    <n v="0.37113402061855671"/>
    <s v="Q4"/>
    <s v="Tuesday"/>
  </r>
  <r>
    <s v="B-25821"/>
    <n v="125"/>
    <n v="0"/>
    <n v="3"/>
    <x v="0"/>
    <x v="13"/>
    <s v="COD"/>
    <d v="2018-10-16T00:00:00"/>
    <x v="84"/>
    <x v="17"/>
    <s v="Kolkata"/>
    <x v="0"/>
    <n v="10"/>
    <s v="Oct"/>
    <x v="11"/>
    <n v="0"/>
    <s v="Q4"/>
    <s v="Tuesday"/>
  </r>
  <r>
    <s v="B-25646"/>
    <n v="299"/>
    <n v="-8"/>
    <n v="2"/>
    <x v="2"/>
    <x v="6"/>
    <s v="COD"/>
    <d v="2018-05-01T00:00:00"/>
    <x v="156"/>
    <x v="12"/>
    <s v="Patna"/>
    <x v="0"/>
    <n v="5"/>
    <s v="May"/>
    <x v="7"/>
    <n v="-2.6755852842809364E-2"/>
    <s v="Q2"/>
    <s v="Tuesday"/>
  </r>
  <r>
    <s v="B-25874"/>
    <n v="124"/>
    <n v="54"/>
    <n v="5"/>
    <x v="2"/>
    <x v="14"/>
    <s v="COD"/>
    <d v="2018-11-24T00:00:00"/>
    <x v="36"/>
    <x v="6"/>
    <s v="Udaipur"/>
    <x v="0"/>
    <n v="11"/>
    <s v="Nov"/>
    <x v="4"/>
    <n v="0.43548387096774194"/>
    <s v="Q4"/>
    <s v="Saturday"/>
  </r>
  <r>
    <s v="B-25717"/>
    <n v="90"/>
    <n v="17"/>
    <n v="3"/>
    <x v="2"/>
    <x v="16"/>
    <s v="COD"/>
    <d v="2018-07-12T00:00:00"/>
    <x v="166"/>
    <x v="1"/>
    <s v="Lucknow"/>
    <x v="0"/>
    <n v="7"/>
    <s v="Jul"/>
    <x v="9"/>
    <n v="0.18888888888888888"/>
    <s v="Q3"/>
    <s v="Thursday"/>
  </r>
  <r>
    <s v="B-26073"/>
    <n v="122"/>
    <n v="11"/>
    <n v="4"/>
    <x v="2"/>
    <x v="7"/>
    <s v="COD"/>
    <d v="2018-03-21T00:00:00"/>
    <x v="182"/>
    <x v="0"/>
    <s v="Indore"/>
    <x v="0"/>
    <n v="3"/>
    <s v="Mar"/>
    <x v="1"/>
    <n v="9.0163934426229511E-2"/>
    <s v="Q1"/>
    <s v="Wednesday"/>
  </r>
  <r>
    <s v="B-25800"/>
    <n v="122"/>
    <n v="-66"/>
    <n v="9"/>
    <x v="0"/>
    <x v="13"/>
    <s v="COD"/>
    <d v="2018-10-01T00:00:00"/>
    <x v="228"/>
    <x v="2"/>
    <s v="Pune"/>
    <x v="0"/>
    <n v="10"/>
    <s v="Oct"/>
    <x v="11"/>
    <n v="-0.54098360655737709"/>
    <s v="Q4"/>
    <s v="Monday"/>
  </r>
  <r>
    <s v="B-25991"/>
    <n v="90"/>
    <n v="30"/>
    <n v="2"/>
    <x v="1"/>
    <x v="1"/>
    <s v="UPI"/>
    <d v="2018-02-03T00:00:00"/>
    <x v="42"/>
    <x v="0"/>
    <s v="Indore"/>
    <x v="0"/>
    <n v="2"/>
    <s v="Feb"/>
    <x v="10"/>
    <n v="0.33333333333333331"/>
    <s v="Q1"/>
    <s v="Saturday"/>
  </r>
  <r>
    <s v="B-25638"/>
    <n v="182"/>
    <n v="-11"/>
    <n v="3"/>
    <x v="1"/>
    <x v="2"/>
    <s v="Credit Card"/>
    <d v="2018-04-26T00:00:00"/>
    <x v="30"/>
    <x v="2"/>
    <s v="Pune"/>
    <x v="0"/>
    <n v="4"/>
    <s v="Apr"/>
    <x v="3"/>
    <n v="-6.043956043956044E-2"/>
    <s v="Q2"/>
    <s v="Thursday"/>
  </r>
  <r>
    <s v="B-26021"/>
    <n v="122"/>
    <n v="59"/>
    <n v="7"/>
    <x v="1"/>
    <x v="15"/>
    <s v="COD"/>
    <d v="2018-02-17T00:00:00"/>
    <x v="110"/>
    <x v="10"/>
    <s v="Thiruvananthapuram"/>
    <x v="0"/>
    <n v="2"/>
    <s v="Feb"/>
    <x v="10"/>
    <n v="0.48360655737704916"/>
    <s v="Q1"/>
    <s v="Saturday"/>
  </r>
  <r>
    <s v="B-25882"/>
    <n v="121"/>
    <n v="19"/>
    <n v="4"/>
    <x v="2"/>
    <x v="11"/>
    <s v="COD"/>
    <d v="2018-11-26T00:00:00"/>
    <x v="242"/>
    <x v="13"/>
    <s v="Amritsar"/>
    <x v="0"/>
    <n v="11"/>
    <s v="Nov"/>
    <x v="4"/>
    <n v="0.15702479338842976"/>
    <s v="Q4"/>
    <s v="Monday"/>
  </r>
  <r>
    <s v="B-26053"/>
    <n v="120"/>
    <n v="1"/>
    <n v="1"/>
    <x v="1"/>
    <x v="1"/>
    <s v="COD"/>
    <d v="2018-03-09T00:00:00"/>
    <x v="8"/>
    <x v="4"/>
    <s v="Kashmir"/>
    <x v="0"/>
    <n v="3"/>
    <s v="Mar"/>
    <x v="1"/>
    <n v="8.3333333333333332E-3"/>
    <s v="Q1"/>
    <s v="Friday"/>
  </r>
  <r>
    <s v="B-25951"/>
    <n v="120"/>
    <n v="23"/>
    <n v="5"/>
    <x v="2"/>
    <x v="11"/>
    <s v="COD"/>
    <d v="2018-01-13T00:00:00"/>
    <x v="130"/>
    <x v="17"/>
    <s v="Kolkata"/>
    <x v="0"/>
    <n v="1"/>
    <s v="Jan"/>
    <x v="2"/>
    <n v="0.19166666666666668"/>
    <s v="Q1"/>
    <s v="Saturday"/>
  </r>
  <r>
    <s v="B-25757"/>
    <n v="34"/>
    <n v="-11"/>
    <n v="5"/>
    <x v="2"/>
    <x v="14"/>
    <s v="COD"/>
    <d v="2018-08-21T00:00:00"/>
    <x v="11"/>
    <x v="0"/>
    <s v="Indore"/>
    <x v="0"/>
    <n v="8"/>
    <s v="Aug"/>
    <x v="6"/>
    <n v="-0.3235294117647059"/>
    <s v="Q3"/>
    <s v="Tuesday"/>
  </r>
  <r>
    <s v="B-25777"/>
    <n v="117"/>
    <n v="17"/>
    <n v="6"/>
    <x v="2"/>
    <x v="8"/>
    <s v="COD"/>
    <d v="2018-09-10T00:00:00"/>
    <x v="64"/>
    <x v="0"/>
    <s v="Indore"/>
    <x v="0"/>
    <n v="9"/>
    <s v="Sep"/>
    <x v="8"/>
    <n v="0.14529914529914531"/>
    <s v="Q3"/>
    <s v="Monday"/>
  </r>
  <r>
    <s v="B-26040"/>
    <n v="38"/>
    <n v="9"/>
    <n v="2"/>
    <x v="2"/>
    <x v="11"/>
    <s v="COD"/>
    <d v="2018-02-26T00:00:00"/>
    <x v="168"/>
    <x v="13"/>
    <s v="Chandigarh"/>
    <x v="0"/>
    <n v="2"/>
    <s v="Feb"/>
    <x v="10"/>
    <n v="0.23684210526315788"/>
    <s v="Q1"/>
    <s v="Monday"/>
  </r>
  <r>
    <s v="B-25696"/>
    <n v="117"/>
    <n v="-6"/>
    <n v="3"/>
    <x v="0"/>
    <x v="4"/>
    <s v="COD"/>
    <d v="2018-06-21T00:00:00"/>
    <x v="6"/>
    <x v="3"/>
    <s v="Bangalore"/>
    <x v="0"/>
    <n v="6"/>
    <s v="Jun"/>
    <x v="0"/>
    <n v="-5.128205128205128E-2"/>
    <s v="Q2"/>
    <s v="Thursday"/>
  </r>
  <r>
    <s v="B-25977"/>
    <n v="180"/>
    <n v="54"/>
    <n v="4"/>
    <x v="2"/>
    <x v="14"/>
    <s v="Credit Card"/>
    <d v="2018-01-27T00:00:00"/>
    <x v="159"/>
    <x v="7"/>
    <s v="Surat"/>
    <x v="0"/>
    <n v="1"/>
    <s v="Jan"/>
    <x v="2"/>
    <n v="0.3"/>
    <s v="Q1"/>
    <s v="Saturday"/>
  </r>
  <r>
    <s v="B-25743"/>
    <n v="99"/>
    <n v="-5"/>
    <n v="1"/>
    <x v="2"/>
    <x v="6"/>
    <s v="UPI"/>
    <d v="2018-08-07T00:00:00"/>
    <x v="140"/>
    <x v="5"/>
    <s v="Kohima"/>
    <x v="0"/>
    <n v="8"/>
    <s v="Aug"/>
    <x v="6"/>
    <n v="-5.0505050505050504E-2"/>
    <s v="Q3"/>
    <s v="Tuesday"/>
  </r>
  <r>
    <s v="B-25651"/>
    <n v="172"/>
    <n v="-103"/>
    <n v="3"/>
    <x v="1"/>
    <x v="1"/>
    <s v="EMI"/>
    <d v="2018-05-07T00:00:00"/>
    <x v="71"/>
    <x v="0"/>
    <s v="Indore"/>
    <x v="0"/>
    <n v="5"/>
    <s v="May"/>
    <x v="7"/>
    <n v="-0.59883720930232553"/>
    <s v="Q2"/>
    <s v="Monday"/>
  </r>
  <r>
    <s v="B-25603"/>
    <n v="116"/>
    <n v="16"/>
    <n v="4"/>
    <x v="2"/>
    <x v="11"/>
    <s v="COD"/>
    <d v="2018-04-03T00:00:00"/>
    <x v="106"/>
    <x v="0"/>
    <s v="Bhopal"/>
    <x v="0"/>
    <n v="4"/>
    <s v="Apr"/>
    <x v="3"/>
    <n v="0.13793103448275862"/>
    <s v="Q2"/>
    <s v="Tuesday"/>
  </r>
  <r>
    <s v="B-25696"/>
    <n v="116"/>
    <n v="-4"/>
    <n v="1"/>
    <x v="2"/>
    <x v="6"/>
    <s v="COD"/>
    <d v="2018-06-21T00:00:00"/>
    <x v="6"/>
    <x v="3"/>
    <s v="Bangalore"/>
    <x v="0"/>
    <n v="6"/>
    <s v="Jun"/>
    <x v="0"/>
    <n v="-3.4482758620689655E-2"/>
    <s v="Q2"/>
    <s v="Thursday"/>
  </r>
  <r>
    <s v="B-26037"/>
    <n v="171"/>
    <n v="68"/>
    <n v="7"/>
    <x v="2"/>
    <x v="11"/>
    <s v="EMI"/>
    <d v="2018-02-23T00:00:00"/>
    <x v="79"/>
    <x v="0"/>
    <s v="Indore"/>
    <x v="0"/>
    <n v="2"/>
    <s v="Feb"/>
    <x v="10"/>
    <n v="0.39766081871345027"/>
    <s v="Q1"/>
    <s v="Friday"/>
  </r>
  <r>
    <s v="B-26098"/>
    <n v="46"/>
    <n v="14"/>
    <n v="5"/>
    <x v="2"/>
    <x v="9"/>
    <s v="COD"/>
    <d v="2018-03-29T00:00:00"/>
    <x v="90"/>
    <x v="4"/>
    <s v="Kashmir"/>
    <x v="0"/>
    <n v="3"/>
    <s v="Mar"/>
    <x v="1"/>
    <n v="0.30434782608695654"/>
    <s v="Q1"/>
    <s v="Thursday"/>
  </r>
  <r>
    <s v="B-25697"/>
    <n v="115"/>
    <n v="-39"/>
    <n v="3"/>
    <x v="2"/>
    <x v="5"/>
    <s v="COD"/>
    <d v="2018-06-22T00:00:00"/>
    <x v="66"/>
    <x v="4"/>
    <s v="Kashmir"/>
    <x v="0"/>
    <n v="6"/>
    <s v="Jun"/>
    <x v="0"/>
    <n v="-0.33913043478260868"/>
    <s v="Q2"/>
    <s v="Friday"/>
  </r>
  <r>
    <s v="B-25920"/>
    <n v="100"/>
    <n v="7"/>
    <n v="2"/>
    <x v="2"/>
    <x v="14"/>
    <s v="UPI"/>
    <d v="2018-12-24T00:00:00"/>
    <x v="243"/>
    <x v="1"/>
    <s v="Prayagraj"/>
    <x v="0"/>
    <n v="12"/>
    <s v="Dec"/>
    <x v="5"/>
    <n v="7.0000000000000007E-2"/>
    <s v="Q4"/>
    <s v="Monday"/>
  </r>
  <r>
    <s v="B-25993"/>
    <n v="44"/>
    <n v="8"/>
    <n v="2"/>
    <x v="2"/>
    <x v="11"/>
    <s v="COD"/>
    <d v="2018-02-03T00:00:00"/>
    <x v="14"/>
    <x v="8"/>
    <s v="Delhi"/>
    <x v="0"/>
    <n v="2"/>
    <s v="Feb"/>
    <x v="10"/>
    <n v="0.18181818181818182"/>
    <s v="Q1"/>
    <s v="Saturday"/>
  </r>
  <r>
    <s v="B-26089"/>
    <n v="139"/>
    <n v="14"/>
    <n v="3"/>
    <x v="2"/>
    <x v="8"/>
    <s v="COD"/>
    <d v="2018-03-26T00:00:00"/>
    <x v="72"/>
    <x v="16"/>
    <s v="Goa"/>
    <x v="0"/>
    <n v="3"/>
    <s v="Mar"/>
    <x v="1"/>
    <n v="0.10071942446043165"/>
    <s v="Q1"/>
    <s v="Monday"/>
  </r>
  <r>
    <s v="B-25960"/>
    <n v="171"/>
    <n v="-140"/>
    <n v="2"/>
    <x v="1"/>
    <x v="2"/>
    <s v="EMI"/>
    <d v="2018-01-18T00:00:00"/>
    <x v="74"/>
    <x v="9"/>
    <s v="Hyderabad"/>
    <x v="0"/>
    <n v="1"/>
    <s v="Jan"/>
    <x v="2"/>
    <n v="-0.81871345029239762"/>
    <s v="Q1"/>
    <s v="Thursday"/>
  </r>
  <r>
    <s v="B-25917"/>
    <n v="100"/>
    <n v="12"/>
    <n v="2"/>
    <x v="2"/>
    <x v="14"/>
    <s v="UPI"/>
    <d v="2018-12-21T00:00:00"/>
    <x v="244"/>
    <x v="2"/>
    <s v="Mumbai"/>
    <x v="0"/>
    <n v="12"/>
    <s v="Dec"/>
    <x v="5"/>
    <n v="0.12"/>
    <s v="Q4"/>
    <s v="Friday"/>
  </r>
  <r>
    <s v="B-25825"/>
    <n v="115"/>
    <n v="25"/>
    <n v="6"/>
    <x v="2"/>
    <x v="11"/>
    <s v="COD"/>
    <d v="2018-10-21T00:00:00"/>
    <x v="181"/>
    <x v="0"/>
    <s v="Indore"/>
    <x v="0"/>
    <n v="10"/>
    <s v="Oct"/>
    <x v="11"/>
    <n v="0.21739130434782608"/>
    <s v="Q4"/>
    <s v="Sunday"/>
  </r>
  <r>
    <s v="B-25696"/>
    <n v="168"/>
    <n v="-9"/>
    <n v="3"/>
    <x v="2"/>
    <x v="6"/>
    <s v="COD"/>
    <d v="2018-06-21T00:00:00"/>
    <x v="6"/>
    <x v="3"/>
    <s v="Bangalore"/>
    <x v="0"/>
    <n v="6"/>
    <s v="Jun"/>
    <x v="0"/>
    <n v="-5.3571428571428568E-2"/>
    <s v="Q2"/>
    <s v="Thursday"/>
  </r>
  <r>
    <s v="B-25972"/>
    <n v="115"/>
    <n v="47"/>
    <n v="2"/>
    <x v="0"/>
    <x v="13"/>
    <s v="COD"/>
    <d v="2018-01-23T00:00:00"/>
    <x v="245"/>
    <x v="6"/>
    <s v="Udaipur"/>
    <x v="0"/>
    <n v="1"/>
    <s v="Jan"/>
    <x v="2"/>
    <n v="0.40869565217391307"/>
    <s v="Q1"/>
    <s v="Tuesday"/>
  </r>
  <r>
    <s v="B-25602"/>
    <n v="168"/>
    <n v="-111"/>
    <n v="2"/>
    <x v="0"/>
    <x v="4"/>
    <s v="EMI"/>
    <d v="2018-04-01T00:00:00"/>
    <x v="4"/>
    <x v="2"/>
    <s v="Pune"/>
    <x v="0"/>
    <n v="4"/>
    <s v="Apr"/>
    <x v="3"/>
    <n v="-0.6607142857142857"/>
    <s v="Q2"/>
    <s v="Sunday"/>
  </r>
  <r>
    <s v="B-25736"/>
    <n v="31"/>
    <n v="-7"/>
    <n v="5"/>
    <x v="2"/>
    <x v="9"/>
    <s v="UPI"/>
    <d v="2018-07-31T00:00:00"/>
    <x v="246"/>
    <x v="2"/>
    <s v="Mumbai"/>
    <x v="0"/>
    <n v="7"/>
    <s v="Jul"/>
    <x v="9"/>
    <n v="-0.22580645161290322"/>
    <s v="Q3"/>
    <s v="Tuesday"/>
  </r>
  <r>
    <s v="B-26003"/>
    <n v="114"/>
    <n v="41"/>
    <n v="6"/>
    <x v="1"/>
    <x v="15"/>
    <s v="COD"/>
    <d v="2018-02-08T00:00:00"/>
    <x v="34"/>
    <x v="0"/>
    <s v="Bhopal"/>
    <x v="0"/>
    <n v="2"/>
    <s v="Feb"/>
    <x v="10"/>
    <n v="0.35964912280701755"/>
    <s v="Q1"/>
    <s v="Thursday"/>
  </r>
  <r>
    <s v="B-25970"/>
    <n v="111"/>
    <n v="9"/>
    <n v="4"/>
    <x v="2"/>
    <x v="11"/>
    <s v="COD"/>
    <d v="2018-01-22T00:00:00"/>
    <x v="96"/>
    <x v="2"/>
    <s v="Mumbai"/>
    <x v="0"/>
    <n v="1"/>
    <s v="Jan"/>
    <x v="2"/>
    <n v="8.1081081081081086E-2"/>
    <s v="Q1"/>
    <s v="Monday"/>
  </r>
  <r>
    <s v="B-25742"/>
    <n v="11"/>
    <n v="-8"/>
    <n v="2"/>
    <x v="2"/>
    <x v="9"/>
    <s v="UPI"/>
    <d v="2018-08-03T00:00:00"/>
    <x v="247"/>
    <x v="16"/>
    <s v="Goa"/>
    <x v="0"/>
    <n v="8"/>
    <s v="Aug"/>
    <x v="6"/>
    <n v="-0.72727272727272729"/>
    <s v="Q3"/>
    <s v="Friday"/>
  </r>
  <r>
    <s v="B-25770"/>
    <n v="110"/>
    <n v="35"/>
    <n v="1"/>
    <x v="1"/>
    <x v="15"/>
    <s v="COD"/>
    <d v="2018-09-02T00:00:00"/>
    <x v="178"/>
    <x v="0"/>
    <s v="Indore"/>
    <x v="0"/>
    <n v="9"/>
    <s v="Sep"/>
    <x v="8"/>
    <n v="0.31818181818181818"/>
    <s v="Q3"/>
    <s v="Sunday"/>
  </r>
  <r>
    <s v="B-26098"/>
    <n v="59"/>
    <n v="15"/>
    <n v="2"/>
    <x v="2"/>
    <x v="14"/>
    <s v="UPI"/>
    <d v="2018-03-29T00:00:00"/>
    <x v="90"/>
    <x v="4"/>
    <s v="Kashmir"/>
    <x v="0"/>
    <n v="3"/>
    <s v="Mar"/>
    <x v="1"/>
    <n v="0.25423728813559321"/>
    <s v="Q1"/>
    <s v="Thursday"/>
  </r>
  <r>
    <s v="B-26050"/>
    <n v="166"/>
    <n v="27"/>
    <n v="2"/>
    <x v="0"/>
    <x v="13"/>
    <s v="EMI"/>
    <d v="2018-03-06T00:00:00"/>
    <x v="49"/>
    <x v="6"/>
    <s v="Jaipur"/>
    <x v="0"/>
    <n v="3"/>
    <s v="Mar"/>
    <x v="1"/>
    <n v="0.16265060240963855"/>
    <s v="Q1"/>
    <s v="Tuesday"/>
  </r>
  <r>
    <s v="B-25778"/>
    <n v="109"/>
    <n v="-6"/>
    <n v="6"/>
    <x v="2"/>
    <x v="6"/>
    <s v="COD"/>
    <d v="2018-09-11T00:00:00"/>
    <x v="27"/>
    <x v="2"/>
    <s v="Mumbai"/>
    <x v="0"/>
    <n v="9"/>
    <s v="Sep"/>
    <x v="8"/>
    <n v="-5.5045871559633031E-2"/>
    <s v="Q3"/>
    <s v="Tuesday"/>
  </r>
  <r>
    <s v="B-25652"/>
    <n v="34"/>
    <n v="-6"/>
    <n v="4"/>
    <x v="2"/>
    <x v="12"/>
    <s v="COD"/>
    <d v="2018-05-08T00:00:00"/>
    <x v="97"/>
    <x v="16"/>
    <s v="Goa"/>
    <x v="0"/>
    <n v="5"/>
    <s v="May"/>
    <x v="7"/>
    <n v="-0.17647058823529413"/>
    <s v="Q2"/>
    <s v="Tuesday"/>
  </r>
  <r>
    <s v="B-25999"/>
    <n v="109"/>
    <n v="40"/>
    <n v="1"/>
    <x v="1"/>
    <x v="15"/>
    <s v="COD"/>
    <d v="2018-02-05T00:00:00"/>
    <x v="207"/>
    <x v="8"/>
    <s v="Delhi"/>
    <x v="0"/>
    <n v="2"/>
    <s v="Feb"/>
    <x v="10"/>
    <n v="0.3669724770642202"/>
    <s v="Q1"/>
    <s v="Monday"/>
  </r>
  <r>
    <s v="B-25909"/>
    <n v="108"/>
    <n v="22"/>
    <n v="3"/>
    <x v="0"/>
    <x v="13"/>
    <s v="COD"/>
    <d v="2018-12-13T00:00:00"/>
    <x v="44"/>
    <x v="2"/>
    <s v="Pune"/>
    <x v="0"/>
    <n v="12"/>
    <s v="Dec"/>
    <x v="5"/>
    <n v="0.20370370370370369"/>
    <s v="Q4"/>
    <s v="Thursday"/>
  </r>
  <r>
    <s v="B-25823"/>
    <n v="103"/>
    <n v="50"/>
    <n v="2"/>
    <x v="1"/>
    <x v="15"/>
    <s v="UPI"/>
    <d v="2018-10-18T00:00:00"/>
    <x v="115"/>
    <x v="2"/>
    <s v="Mumbai"/>
    <x v="0"/>
    <n v="10"/>
    <s v="Oct"/>
    <x v="11"/>
    <n v="0.4854368932038835"/>
    <s v="Q4"/>
    <s v="Thursday"/>
  </r>
  <r>
    <s v="B-25701"/>
    <n v="10"/>
    <n v="-8"/>
    <n v="2"/>
    <x v="2"/>
    <x v="9"/>
    <s v="COD"/>
    <d v="2018-06-26T00:00:00"/>
    <x v="155"/>
    <x v="0"/>
    <s v="Indore"/>
    <x v="0"/>
    <n v="6"/>
    <s v="Jun"/>
    <x v="0"/>
    <n v="-0.8"/>
    <s v="Q2"/>
    <s v="Tuesday"/>
  </r>
  <r>
    <s v="B-25855"/>
    <n v="90"/>
    <n v="17"/>
    <n v="3"/>
    <x v="2"/>
    <x v="7"/>
    <s v="COD"/>
    <d v="2018-11-08T00:00:00"/>
    <x v="124"/>
    <x v="0"/>
    <s v="Bhopal"/>
    <x v="0"/>
    <n v="11"/>
    <s v="Nov"/>
    <x v="4"/>
    <n v="0.18888888888888888"/>
    <s v="Q4"/>
    <s v="Thursday"/>
  </r>
  <r>
    <s v="B-25654"/>
    <n v="105"/>
    <n v="46"/>
    <n v="2"/>
    <x v="2"/>
    <x v="11"/>
    <s v="UPI"/>
    <d v="2018-05-10T00:00:00"/>
    <x v="150"/>
    <x v="2"/>
    <s v="Mumbai"/>
    <x v="0"/>
    <n v="5"/>
    <s v="May"/>
    <x v="7"/>
    <n v="0.43809523809523809"/>
    <s v="Q2"/>
    <s v="Thursday"/>
  </r>
  <r>
    <s v="B-25623"/>
    <n v="105"/>
    <n v="20"/>
    <n v="2"/>
    <x v="2"/>
    <x v="11"/>
    <s v="Debit Card"/>
    <d v="2018-04-22T00:00:00"/>
    <x v="86"/>
    <x v="17"/>
    <s v="Kolkata"/>
    <x v="0"/>
    <n v="4"/>
    <s v="Apr"/>
    <x v="3"/>
    <n v="0.19047619047619047"/>
    <s v="Q2"/>
    <s v="Sunday"/>
  </r>
  <r>
    <s v="B-25641"/>
    <n v="22"/>
    <n v="-6"/>
    <n v="1"/>
    <x v="1"/>
    <x v="15"/>
    <s v="COD"/>
    <d v="2018-04-27T00:00:00"/>
    <x v="56"/>
    <x v="17"/>
    <s v="Kolkata"/>
    <x v="0"/>
    <n v="4"/>
    <s v="Apr"/>
    <x v="3"/>
    <n v="-0.27272727272727271"/>
    <s v="Q2"/>
    <s v="Friday"/>
  </r>
  <r>
    <s v="B-25852"/>
    <n v="105"/>
    <n v="-33"/>
    <n v="5"/>
    <x v="2"/>
    <x v="8"/>
    <s v="COD"/>
    <d v="2018-11-07T00:00:00"/>
    <x v="78"/>
    <x v="9"/>
    <s v="Hyderabad"/>
    <x v="0"/>
    <n v="11"/>
    <s v="Nov"/>
    <x v="4"/>
    <n v="-0.31428571428571428"/>
    <s v="Q4"/>
    <s v="Wednesday"/>
  </r>
  <r>
    <s v="B-25958"/>
    <n v="105"/>
    <n v="25"/>
    <n v="2"/>
    <x v="2"/>
    <x v="7"/>
    <s v="EMI"/>
    <d v="2018-01-18T00:00:00"/>
    <x v="248"/>
    <x v="17"/>
    <s v="Kolkata"/>
    <x v="0"/>
    <n v="1"/>
    <s v="Jan"/>
    <x v="2"/>
    <n v="0.23809523809523808"/>
    <s v="Q1"/>
    <s v="Thursday"/>
  </r>
  <r>
    <s v="B-25802"/>
    <n v="25"/>
    <n v="-7"/>
    <n v="5"/>
    <x v="2"/>
    <x v="6"/>
    <s v="UPI"/>
    <d v="2018-10-05T00:00:00"/>
    <x v="249"/>
    <x v="2"/>
    <s v="Mumbai"/>
    <x v="0"/>
    <n v="10"/>
    <s v="Oct"/>
    <x v="11"/>
    <n v="-0.28000000000000003"/>
    <s v="Q4"/>
    <s v="Friday"/>
  </r>
  <r>
    <s v="B-25823"/>
    <n v="104"/>
    <n v="2"/>
    <n v="2"/>
    <x v="1"/>
    <x v="15"/>
    <s v="COD"/>
    <d v="2018-10-18T00:00:00"/>
    <x v="115"/>
    <x v="2"/>
    <s v="Mumbai"/>
    <x v="0"/>
    <n v="10"/>
    <s v="Oct"/>
    <x v="11"/>
    <n v="1.9230769230769232E-2"/>
    <s v="Q4"/>
    <s v="Thursday"/>
  </r>
  <r>
    <s v="B-25834"/>
    <n v="16"/>
    <n v="5"/>
    <n v="1"/>
    <x v="2"/>
    <x v="11"/>
    <s v="UPI"/>
    <d v="2018-10-29T00:00:00"/>
    <x v="250"/>
    <x v="9"/>
    <s v="Hyderabad"/>
    <x v="0"/>
    <n v="10"/>
    <s v="Oct"/>
    <x v="11"/>
    <n v="0.3125"/>
    <s v="Q4"/>
    <s v="Monday"/>
  </r>
  <r>
    <s v="B-25678"/>
    <n v="64"/>
    <n v="-7"/>
    <n v="3"/>
    <x v="2"/>
    <x v="6"/>
    <s v="COD"/>
    <d v="2018-06-03T00:00:00"/>
    <x v="158"/>
    <x v="3"/>
    <s v="Bangalore"/>
    <x v="0"/>
    <n v="6"/>
    <s v="Jun"/>
    <x v="0"/>
    <n v="-0.109375"/>
    <s v="Q2"/>
    <s v="Sunday"/>
  </r>
  <r>
    <s v="B-25774"/>
    <n v="38"/>
    <n v="-6"/>
    <n v="2"/>
    <x v="1"/>
    <x v="15"/>
    <s v="UPI"/>
    <d v="2018-09-07T00:00:00"/>
    <x v="251"/>
    <x v="13"/>
    <s v="Chandigarh"/>
    <x v="0"/>
    <n v="9"/>
    <s v="Sep"/>
    <x v="8"/>
    <n v="-0.15789473684210525"/>
    <s v="Q3"/>
    <s v="Friday"/>
  </r>
  <r>
    <s v="B-25904"/>
    <n v="83"/>
    <n v="12"/>
    <n v="2"/>
    <x v="1"/>
    <x v="1"/>
    <s v="COD"/>
    <d v="2018-12-10T00:00:00"/>
    <x v="252"/>
    <x v="8"/>
    <s v="Delhi"/>
    <x v="0"/>
    <n v="12"/>
    <s v="Dec"/>
    <x v="5"/>
    <n v="0.14457831325301204"/>
    <s v="Q4"/>
    <s v="Monday"/>
  </r>
  <r>
    <s v="B-25896"/>
    <n v="103"/>
    <n v="36"/>
    <n v="2"/>
    <x v="2"/>
    <x v="7"/>
    <s v="COD"/>
    <d v="2018-12-05T00:00:00"/>
    <x v="140"/>
    <x v="2"/>
    <s v="Mumbai"/>
    <x v="0"/>
    <n v="12"/>
    <s v="Dec"/>
    <x v="5"/>
    <n v="0.34951456310679613"/>
    <s v="Q4"/>
    <s v="Wednesday"/>
  </r>
  <r>
    <s v="B-25796"/>
    <n v="37"/>
    <n v="-6"/>
    <n v="1"/>
    <x v="2"/>
    <x v="6"/>
    <s v="UPI"/>
    <d v="2018-09-24T00:00:00"/>
    <x v="119"/>
    <x v="2"/>
    <s v="Mumbai"/>
    <x v="0"/>
    <n v="9"/>
    <s v="Sep"/>
    <x v="8"/>
    <n v="-0.16216216216216217"/>
    <s v="Q3"/>
    <s v="Monday"/>
  </r>
  <r>
    <s v="B-25934"/>
    <n v="105"/>
    <n v="33"/>
    <n v="6"/>
    <x v="2"/>
    <x v="6"/>
    <s v="EMI"/>
    <d v="2018-01-04T00:00:00"/>
    <x v="253"/>
    <x v="0"/>
    <s v="Indore"/>
    <x v="0"/>
    <n v="1"/>
    <s v="Jan"/>
    <x v="2"/>
    <n v="0.31428571428571428"/>
    <s v="Q1"/>
    <s v="Thursday"/>
  </r>
  <r>
    <s v="B-25750"/>
    <n v="78"/>
    <n v="-6"/>
    <n v="2"/>
    <x v="1"/>
    <x v="15"/>
    <s v="UPI"/>
    <d v="2018-08-14T00:00:00"/>
    <x v="100"/>
    <x v="0"/>
    <s v="Indore"/>
    <x v="0"/>
    <n v="8"/>
    <s v="Aug"/>
    <x v="6"/>
    <n v="-7.6923076923076927E-2"/>
    <s v="Q3"/>
    <s v="Tuesday"/>
  </r>
  <r>
    <s v="B-25761"/>
    <n v="102"/>
    <n v="-90"/>
    <n v="1"/>
    <x v="2"/>
    <x v="6"/>
    <s v="COD"/>
    <d v="2018-08-25T00:00:00"/>
    <x v="14"/>
    <x v="1"/>
    <s v="Mathura"/>
    <x v="0"/>
    <n v="8"/>
    <s v="Aug"/>
    <x v="6"/>
    <n v="-0.88235294117647056"/>
    <s v="Q3"/>
    <s v="Saturday"/>
  </r>
  <r>
    <s v="B-25912"/>
    <n v="102"/>
    <n v="11"/>
    <n v="6"/>
    <x v="2"/>
    <x v="14"/>
    <s v="COD"/>
    <d v="2018-12-16T00:00:00"/>
    <x v="254"/>
    <x v="8"/>
    <s v="Delhi"/>
    <x v="0"/>
    <n v="12"/>
    <s v="Dec"/>
    <x v="5"/>
    <n v="0.10784313725490197"/>
    <s v="Q4"/>
    <s v="Sunday"/>
  </r>
  <r>
    <s v="B-25751"/>
    <n v="10"/>
    <n v="-8"/>
    <n v="1"/>
    <x v="2"/>
    <x v="8"/>
    <s v="UPI"/>
    <d v="2018-08-14T00:00:00"/>
    <x v="188"/>
    <x v="2"/>
    <s v="Mumbai"/>
    <x v="0"/>
    <n v="8"/>
    <s v="Aug"/>
    <x v="6"/>
    <n v="-0.8"/>
    <s v="Q3"/>
    <s v="Tuesday"/>
  </r>
  <r>
    <s v="B-25656"/>
    <n v="101"/>
    <n v="18"/>
    <n v="9"/>
    <x v="2"/>
    <x v="9"/>
    <s v="COD"/>
    <d v="2018-05-11T00:00:00"/>
    <x v="85"/>
    <x v="2"/>
    <s v="Pune"/>
    <x v="0"/>
    <n v="5"/>
    <s v="May"/>
    <x v="7"/>
    <n v="0.17821782178217821"/>
    <s v="Q2"/>
    <s v="Friday"/>
  </r>
  <r>
    <s v="B-25647"/>
    <n v="42"/>
    <n v="-6"/>
    <n v="4"/>
    <x v="2"/>
    <x v="6"/>
    <s v="UPI"/>
    <d v="2018-05-03T00:00:00"/>
    <x v="152"/>
    <x v="10"/>
    <s v="Thiruvananthapuram"/>
    <x v="0"/>
    <n v="5"/>
    <s v="May"/>
    <x v="7"/>
    <n v="-0.14285714285714285"/>
    <s v="Q2"/>
    <s v="Thursday"/>
  </r>
  <r>
    <s v="B-25861"/>
    <n v="56"/>
    <n v="18"/>
    <n v="2"/>
    <x v="2"/>
    <x v="7"/>
    <s v="UPI"/>
    <d v="2018-11-15T00:00:00"/>
    <x v="193"/>
    <x v="1"/>
    <s v="Lucknow"/>
    <x v="0"/>
    <n v="11"/>
    <s v="Nov"/>
    <x v="4"/>
    <n v="0.32142857142857145"/>
    <s v="Q4"/>
    <s v="Thursday"/>
  </r>
  <r>
    <s v="B-25802"/>
    <n v="95"/>
    <n v="5"/>
    <n v="2"/>
    <x v="2"/>
    <x v="11"/>
    <s v="COD"/>
    <d v="2018-10-05T00:00:00"/>
    <x v="249"/>
    <x v="2"/>
    <s v="Mumbai"/>
    <x v="0"/>
    <n v="10"/>
    <s v="Oct"/>
    <x v="11"/>
    <n v="5.2631578947368418E-2"/>
    <s v="Q4"/>
    <s v="Friday"/>
  </r>
  <r>
    <s v="B-25901"/>
    <n v="159"/>
    <n v="2"/>
    <n v="3"/>
    <x v="1"/>
    <x v="15"/>
    <s v="EMI"/>
    <d v="2018-12-10T00:00:00"/>
    <x v="255"/>
    <x v="7"/>
    <s v="Surat"/>
    <x v="0"/>
    <n v="12"/>
    <s v="Dec"/>
    <x v="5"/>
    <n v="1.2578616352201259E-2"/>
    <s v="Q4"/>
    <s v="Monday"/>
  </r>
  <r>
    <s v="B-25623"/>
    <n v="158"/>
    <n v="69"/>
    <n v="3"/>
    <x v="2"/>
    <x v="11"/>
    <s v="EMI"/>
    <d v="2018-04-22T00:00:00"/>
    <x v="86"/>
    <x v="17"/>
    <s v="Kolkata"/>
    <x v="0"/>
    <n v="4"/>
    <s v="Apr"/>
    <x v="3"/>
    <n v="0.43670886075949367"/>
    <s v="Q2"/>
    <s v="Sunday"/>
  </r>
  <r>
    <s v="B-25751"/>
    <n v="106"/>
    <n v="0"/>
    <n v="2"/>
    <x v="0"/>
    <x v="4"/>
    <s v="EMI"/>
    <d v="2018-08-14T00:00:00"/>
    <x v="188"/>
    <x v="2"/>
    <s v="Mumbai"/>
    <x v="0"/>
    <n v="8"/>
    <s v="Aug"/>
    <x v="6"/>
    <n v="0"/>
    <s v="Q3"/>
    <s v="Tuesday"/>
  </r>
  <r>
    <s v="B-26052"/>
    <n v="101"/>
    <n v="16"/>
    <n v="4"/>
    <x v="2"/>
    <x v="14"/>
    <s v="COD"/>
    <d v="2018-03-08T00:00:00"/>
    <x v="84"/>
    <x v="3"/>
    <s v="Bangalore"/>
    <x v="0"/>
    <n v="3"/>
    <s v="Mar"/>
    <x v="1"/>
    <n v="0.15841584158415842"/>
    <s v="Q1"/>
    <s v="Thursday"/>
  </r>
  <r>
    <s v="B-25886"/>
    <n v="107"/>
    <n v="37"/>
    <n v="3"/>
    <x v="2"/>
    <x v="16"/>
    <s v="COD"/>
    <d v="2018-11-28T00:00:00"/>
    <x v="135"/>
    <x v="6"/>
    <s v="Udaipur"/>
    <x v="0"/>
    <n v="11"/>
    <s v="Nov"/>
    <x v="4"/>
    <n v="0.34579439252336447"/>
    <s v="Q4"/>
    <s v="Wednesday"/>
  </r>
  <r>
    <s v="B-25804"/>
    <n v="156"/>
    <n v="36"/>
    <n v="5"/>
    <x v="2"/>
    <x v="14"/>
    <s v="EMI"/>
    <d v="2018-10-05T00:00:00"/>
    <x v="256"/>
    <x v="3"/>
    <s v="Bangalore"/>
    <x v="0"/>
    <n v="10"/>
    <s v="Oct"/>
    <x v="11"/>
    <n v="0.23076923076923078"/>
    <s v="Q4"/>
    <s v="Friday"/>
  </r>
  <r>
    <s v="B-25734"/>
    <n v="108"/>
    <n v="-19"/>
    <n v="3"/>
    <x v="0"/>
    <x v="0"/>
    <s v="UPI"/>
    <d v="2018-07-29T00:00:00"/>
    <x v="123"/>
    <x v="0"/>
    <s v="Indore"/>
    <x v="0"/>
    <n v="7"/>
    <s v="Jul"/>
    <x v="9"/>
    <n v="-0.17592592592592593"/>
    <s v="Q3"/>
    <s v="Sunday"/>
  </r>
  <r>
    <s v="B-25610"/>
    <n v="107"/>
    <n v="-54"/>
    <n v="4"/>
    <x v="2"/>
    <x v="11"/>
    <s v="EMI"/>
    <d v="2018-04-09T00:00:00"/>
    <x v="190"/>
    <x v="12"/>
    <s v="Patna"/>
    <x v="0"/>
    <n v="4"/>
    <s v="Apr"/>
    <x v="3"/>
    <n v="-0.50467289719626163"/>
    <s v="Q2"/>
    <s v="Monday"/>
  </r>
  <r>
    <s v="B-25711"/>
    <n v="100"/>
    <n v="-58"/>
    <n v="4"/>
    <x v="2"/>
    <x v="7"/>
    <s v="COD"/>
    <d v="2018-07-06T00:00:00"/>
    <x v="178"/>
    <x v="0"/>
    <s v="Bhopal"/>
    <x v="0"/>
    <n v="7"/>
    <s v="Jul"/>
    <x v="9"/>
    <n v="-0.57999999999999996"/>
    <s v="Q3"/>
    <s v="Friday"/>
  </r>
  <r>
    <s v="B-25985"/>
    <n v="108"/>
    <n v="26"/>
    <n v="4"/>
    <x v="2"/>
    <x v="16"/>
    <s v="UPI"/>
    <d v="2018-01-31T00:00:00"/>
    <x v="201"/>
    <x v="0"/>
    <s v="Indore"/>
    <x v="0"/>
    <n v="1"/>
    <s v="Jan"/>
    <x v="2"/>
    <n v="0.24074074074074073"/>
    <s v="Q1"/>
    <s v="Wednesday"/>
  </r>
  <r>
    <s v="B-25864"/>
    <n v="100"/>
    <n v="6"/>
    <n v="4"/>
    <x v="2"/>
    <x v="11"/>
    <s v="COD"/>
    <d v="2018-11-15T00:00:00"/>
    <x v="257"/>
    <x v="2"/>
    <s v="Mumbai"/>
    <x v="0"/>
    <n v="11"/>
    <s v="Nov"/>
    <x v="4"/>
    <n v="0.06"/>
    <s v="Q4"/>
    <s v="Thursday"/>
  </r>
  <r>
    <s v="B-25648"/>
    <n v="100"/>
    <n v="-23"/>
    <n v="1"/>
    <x v="0"/>
    <x v="4"/>
    <s v="COD"/>
    <d v="2018-05-04T00:00:00"/>
    <x v="160"/>
    <x v="13"/>
    <s v="Chandigarh"/>
    <x v="0"/>
    <n v="5"/>
    <s v="May"/>
    <x v="7"/>
    <n v="-0.23"/>
    <s v="Q2"/>
    <s v="Friday"/>
  </r>
  <r>
    <s v="B-26086"/>
    <n v="43"/>
    <n v="17"/>
    <n v="2"/>
    <x v="2"/>
    <x v="14"/>
    <s v="UPI"/>
    <d v="2018-03-26T00:00:00"/>
    <x v="88"/>
    <x v="15"/>
    <s v="Chandigarh"/>
    <x v="0"/>
    <n v="3"/>
    <s v="Mar"/>
    <x v="1"/>
    <n v="0.39534883720930231"/>
    <s v="Q1"/>
    <s v="Monday"/>
  </r>
  <r>
    <s v="B-25835"/>
    <n v="155"/>
    <n v="26"/>
    <n v="3"/>
    <x v="2"/>
    <x v="11"/>
    <s v="EMI"/>
    <d v="2018-10-29T00:00:00"/>
    <x v="147"/>
    <x v="7"/>
    <s v="Ahmedabad"/>
    <x v="0"/>
    <n v="10"/>
    <s v="Oct"/>
    <x v="11"/>
    <n v="0.16774193548387098"/>
    <s v="Q4"/>
    <s v="Monday"/>
  </r>
  <r>
    <s v="B-25949"/>
    <n v="151"/>
    <n v="9"/>
    <n v="3"/>
    <x v="2"/>
    <x v="7"/>
    <s v="EMI"/>
    <d v="2018-01-13T00:00:00"/>
    <x v="258"/>
    <x v="2"/>
    <s v="Mumbai"/>
    <x v="0"/>
    <n v="1"/>
    <s v="Jan"/>
    <x v="2"/>
    <n v="5.9602649006622516E-2"/>
    <s v="Q1"/>
    <s v="Saturday"/>
  </r>
  <r>
    <s v="B-25930"/>
    <n v="151"/>
    <n v="29"/>
    <n v="5"/>
    <x v="2"/>
    <x v="7"/>
    <s v="EMI"/>
    <d v="2018-01-03T00:00:00"/>
    <x v="120"/>
    <x v="13"/>
    <s v="Chandigarh"/>
    <x v="0"/>
    <n v="1"/>
    <s v="Jan"/>
    <x v="2"/>
    <n v="0.19205298013245034"/>
    <s v="Q1"/>
    <s v="Wednesday"/>
  </r>
  <r>
    <s v="B-25655"/>
    <n v="110"/>
    <n v="-68"/>
    <n v="4"/>
    <x v="2"/>
    <x v="6"/>
    <s v="EMI"/>
    <d v="2018-05-11T00:00:00"/>
    <x v="15"/>
    <x v="0"/>
    <s v="Indore"/>
    <x v="0"/>
    <n v="5"/>
    <s v="May"/>
    <x v="7"/>
    <n v="-0.61818181818181817"/>
    <s v="Q2"/>
    <s v="Friday"/>
  </r>
  <r>
    <s v="B-25757"/>
    <n v="98"/>
    <n v="9"/>
    <n v="2"/>
    <x v="1"/>
    <x v="15"/>
    <s v="COD"/>
    <d v="2018-08-21T00:00:00"/>
    <x v="11"/>
    <x v="0"/>
    <s v="Indore"/>
    <x v="0"/>
    <n v="8"/>
    <s v="Aug"/>
    <x v="6"/>
    <n v="9.1836734693877556E-2"/>
    <s v="Q3"/>
    <s v="Tuesday"/>
  </r>
  <r>
    <s v="B-25655"/>
    <n v="97"/>
    <n v="-62"/>
    <n v="2"/>
    <x v="2"/>
    <x v="5"/>
    <s v="COD"/>
    <d v="2018-05-11T00:00:00"/>
    <x v="15"/>
    <x v="0"/>
    <s v="Indore"/>
    <x v="0"/>
    <n v="5"/>
    <s v="May"/>
    <x v="7"/>
    <n v="-0.63917525773195871"/>
    <s v="Q2"/>
    <s v="Friday"/>
  </r>
  <r>
    <s v="B-26033"/>
    <n v="111"/>
    <n v="35"/>
    <n v="5"/>
    <x v="2"/>
    <x v="16"/>
    <s v="COD"/>
    <d v="2018-02-22T00:00:00"/>
    <x v="86"/>
    <x v="17"/>
    <s v="Kolkata"/>
    <x v="0"/>
    <n v="2"/>
    <s v="Feb"/>
    <x v="10"/>
    <n v="0.31531531531531531"/>
    <s v="Q1"/>
    <s v="Thursday"/>
  </r>
  <r>
    <s v="B-26083"/>
    <n v="45"/>
    <n v="17"/>
    <n v="1"/>
    <x v="0"/>
    <x v="13"/>
    <s v="COD"/>
    <d v="2018-03-24T00:00:00"/>
    <x v="190"/>
    <x v="12"/>
    <s v="Patna"/>
    <x v="0"/>
    <n v="3"/>
    <s v="Mar"/>
    <x v="1"/>
    <n v="0.37777777777777777"/>
    <s v="Q1"/>
    <s v="Saturday"/>
  </r>
  <r>
    <s v="B-25805"/>
    <n v="112"/>
    <n v="15"/>
    <n v="2"/>
    <x v="1"/>
    <x v="1"/>
    <s v="COD"/>
    <d v="2018-10-05T00:00:00"/>
    <x v="138"/>
    <x v="2"/>
    <s v="Mumbai"/>
    <x v="0"/>
    <n v="10"/>
    <s v="Oct"/>
    <x v="11"/>
    <n v="0.13392857142857142"/>
    <s v="Q4"/>
    <s v="Friday"/>
  </r>
  <r>
    <s v="B-25955"/>
    <n v="110"/>
    <n v="20"/>
    <n v="5"/>
    <x v="2"/>
    <x v="11"/>
    <s v="Debit Card"/>
    <d v="2018-01-16T00:00:00"/>
    <x v="2"/>
    <x v="2"/>
    <s v="Pune"/>
    <x v="0"/>
    <n v="1"/>
    <s v="Jan"/>
    <x v="2"/>
    <n v="0.18181818181818182"/>
    <s v="Q1"/>
    <s v="Tuesday"/>
  </r>
  <r>
    <s v="B-25762"/>
    <n v="98"/>
    <n v="-5"/>
    <n v="2"/>
    <x v="2"/>
    <x v="6"/>
    <s v="UPI"/>
    <d v="2018-08-26T00:00:00"/>
    <x v="58"/>
    <x v="0"/>
    <s v="Indore"/>
    <x v="0"/>
    <n v="8"/>
    <s v="Aug"/>
    <x v="6"/>
    <n v="-5.1020408163265307E-2"/>
    <s v="Q3"/>
    <s v="Sunday"/>
  </r>
  <r>
    <s v="B-25919"/>
    <n v="110"/>
    <n v="12"/>
    <n v="7"/>
    <x v="2"/>
    <x v="11"/>
    <s v="Debit Card"/>
    <d v="2018-12-23T00:00:00"/>
    <x v="259"/>
    <x v="6"/>
    <s v="Udaipur"/>
    <x v="0"/>
    <n v="12"/>
    <s v="Dec"/>
    <x v="5"/>
    <n v="0.10909090909090909"/>
    <s v="Q4"/>
    <s v="Sunday"/>
  </r>
  <r>
    <s v="B-25853"/>
    <n v="95"/>
    <n v="11"/>
    <n v="4"/>
    <x v="1"/>
    <x v="15"/>
    <s v="COD"/>
    <d v="2018-11-08T00:00:00"/>
    <x v="18"/>
    <x v="7"/>
    <s v="Ahmedabad"/>
    <x v="0"/>
    <n v="11"/>
    <s v="Nov"/>
    <x v="4"/>
    <n v="0.11578947368421053"/>
    <s v="Q4"/>
    <s v="Thursday"/>
  </r>
  <r>
    <s v="B-25925"/>
    <n v="1228"/>
    <n v="14"/>
    <n v="3"/>
    <x v="1"/>
    <x v="1"/>
    <s v="UPI"/>
    <d v="2018-12-29T00:00:00"/>
    <x v="21"/>
    <x v="2"/>
    <s v="Mumbai"/>
    <x v="0"/>
    <n v="12"/>
    <s v="Dec"/>
    <x v="5"/>
    <n v="1.1400651465798045E-2"/>
    <s v="Q4"/>
    <s v="Saturday"/>
  </r>
  <r>
    <s v="B-26023"/>
    <n v="29"/>
    <n v="0"/>
    <n v="3"/>
    <x v="1"/>
    <x v="15"/>
    <s v="COD"/>
    <d v="2018-02-19T00:00:00"/>
    <x v="88"/>
    <x v="15"/>
    <s v="Chandigarh"/>
    <x v="0"/>
    <n v="2"/>
    <s v="Feb"/>
    <x v="10"/>
    <n v="0"/>
    <s v="Q1"/>
    <s v="Monday"/>
  </r>
  <r>
    <s v="B-26055"/>
    <n v="94"/>
    <n v="27"/>
    <n v="2"/>
    <x v="2"/>
    <x v="14"/>
    <s v="COD"/>
    <d v="2018-03-10T00:00:00"/>
    <x v="1"/>
    <x v="1"/>
    <s v="Mathura"/>
    <x v="0"/>
    <n v="3"/>
    <s v="Mar"/>
    <x v="1"/>
    <n v="0.28723404255319152"/>
    <s v="Q1"/>
    <s v="Saturday"/>
  </r>
  <r>
    <s v="B-25653"/>
    <n v="115"/>
    <n v="25"/>
    <n v="1"/>
    <x v="0"/>
    <x v="13"/>
    <s v="COD"/>
    <d v="2018-05-08T00:00:00"/>
    <x v="80"/>
    <x v="5"/>
    <s v="Kohima"/>
    <x v="0"/>
    <n v="5"/>
    <s v="May"/>
    <x v="7"/>
    <n v="0.21739130434782608"/>
    <s v="Q2"/>
    <s v="Tuesday"/>
  </r>
  <r>
    <s v="B-25893"/>
    <n v="149"/>
    <n v="15"/>
    <n v="3"/>
    <x v="2"/>
    <x v="6"/>
    <s v="EMI"/>
    <d v="2018-12-04T00:00:00"/>
    <x v="4"/>
    <x v="1"/>
    <s v="Mathura"/>
    <x v="0"/>
    <n v="12"/>
    <s v="Dec"/>
    <x v="5"/>
    <n v="0.10067114093959731"/>
    <s v="Q4"/>
    <s v="Tuesday"/>
  </r>
  <r>
    <s v="B-26052"/>
    <n v="148"/>
    <n v="23"/>
    <n v="4"/>
    <x v="2"/>
    <x v="8"/>
    <s v="EMI"/>
    <d v="2018-03-08T00:00:00"/>
    <x v="84"/>
    <x v="3"/>
    <s v="Bangalore"/>
    <x v="0"/>
    <n v="3"/>
    <s v="Mar"/>
    <x v="1"/>
    <n v="0.1554054054054054"/>
    <s v="Q1"/>
    <s v="Thursday"/>
  </r>
  <r>
    <s v="B-25830"/>
    <n v="93"/>
    <n v="15"/>
    <n v="2"/>
    <x v="0"/>
    <x v="13"/>
    <s v="COD"/>
    <d v="2018-10-26T00:00:00"/>
    <x v="25"/>
    <x v="11"/>
    <s v="Simla"/>
    <x v="0"/>
    <n v="10"/>
    <s v="Oct"/>
    <x v="11"/>
    <n v="0.16129032258064516"/>
    <s v="Q4"/>
    <s v="Friday"/>
  </r>
  <r>
    <s v="B-26040"/>
    <n v="113"/>
    <n v="24"/>
    <n v="4"/>
    <x v="2"/>
    <x v="7"/>
    <s v="Debit Card"/>
    <d v="2018-02-26T00:00:00"/>
    <x v="168"/>
    <x v="13"/>
    <s v="Chandigarh"/>
    <x v="0"/>
    <n v="2"/>
    <s v="Feb"/>
    <x v="10"/>
    <n v="0.21238938053097345"/>
    <s v="Q1"/>
    <s v="Monday"/>
  </r>
  <r>
    <s v="B-25981"/>
    <n v="48"/>
    <n v="2"/>
    <n v="3"/>
    <x v="2"/>
    <x v="11"/>
    <s v="COD"/>
    <d v="2018-01-28T00:00:00"/>
    <x v="189"/>
    <x v="8"/>
    <s v="Delhi"/>
    <x v="0"/>
    <n v="1"/>
    <s v="Jan"/>
    <x v="2"/>
    <n v="4.1666666666666664E-2"/>
    <s v="Q1"/>
    <s v="Sunday"/>
  </r>
  <r>
    <s v="B-25954"/>
    <n v="148"/>
    <n v="9"/>
    <n v="1"/>
    <x v="0"/>
    <x v="0"/>
    <s v="UPI"/>
    <d v="2018-01-14T00:00:00"/>
    <x v="225"/>
    <x v="7"/>
    <s v="Ahmedabad"/>
    <x v="0"/>
    <n v="1"/>
    <s v="Jan"/>
    <x v="2"/>
    <n v="6.0810810810810814E-2"/>
    <s v="Q1"/>
    <s v="Sunday"/>
  </r>
  <r>
    <s v="B-25889"/>
    <n v="114"/>
    <n v="11"/>
    <n v="4"/>
    <x v="2"/>
    <x v="14"/>
    <s v="Debit Card"/>
    <d v="2018-12-03T00:00:00"/>
    <x v="76"/>
    <x v="7"/>
    <s v="Surat"/>
    <x v="0"/>
    <n v="12"/>
    <s v="Dec"/>
    <x v="5"/>
    <n v="9.6491228070175433E-2"/>
    <s v="Q4"/>
    <s v="Monday"/>
  </r>
  <r>
    <s v="B-25810"/>
    <n v="92"/>
    <n v="42"/>
    <n v="2"/>
    <x v="2"/>
    <x v="11"/>
    <s v="COD"/>
    <d v="2018-10-10T00:00:00"/>
    <x v="50"/>
    <x v="13"/>
    <s v="Chandigarh"/>
    <x v="0"/>
    <n v="10"/>
    <s v="Oct"/>
    <x v="11"/>
    <n v="0.45652173913043476"/>
    <s v="Q4"/>
    <s v="Wednesday"/>
  </r>
  <r>
    <s v="B-25637"/>
    <n v="117"/>
    <n v="14"/>
    <n v="3"/>
    <x v="2"/>
    <x v="16"/>
    <s v="UPI"/>
    <d v="2018-04-26T00:00:00"/>
    <x v="260"/>
    <x v="0"/>
    <s v="Indore"/>
    <x v="0"/>
    <n v="4"/>
    <s v="Apr"/>
    <x v="3"/>
    <n v="0.11965811965811966"/>
    <s v="Q2"/>
    <s v="Thursday"/>
  </r>
  <r>
    <s v="B-25801"/>
    <n v="21"/>
    <n v="-10"/>
    <n v="4"/>
    <x v="2"/>
    <x v="12"/>
    <s v="COD"/>
    <d v="2018-10-01T00:00:00"/>
    <x v="51"/>
    <x v="0"/>
    <s v="Bhopal"/>
    <x v="0"/>
    <n v="10"/>
    <s v="Oct"/>
    <x v="11"/>
    <n v="-0.47619047619047616"/>
    <s v="Q4"/>
    <s v="Monday"/>
  </r>
  <r>
    <s v="B-25783"/>
    <n v="33"/>
    <n v="-10"/>
    <n v="6"/>
    <x v="2"/>
    <x v="12"/>
    <s v="UPI"/>
    <d v="2018-09-15T00:00:00"/>
    <x v="211"/>
    <x v="0"/>
    <s v="Indore"/>
    <x v="0"/>
    <n v="9"/>
    <s v="Sep"/>
    <x v="8"/>
    <n v="-0.30303030303030304"/>
    <s v="Q3"/>
    <s v="Saturday"/>
  </r>
  <r>
    <s v="B-25697"/>
    <n v="114"/>
    <n v="8"/>
    <n v="3"/>
    <x v="0"/>
    <x v="13"/>
    <s v="Debit Card"/>
    <d v="2018-06-22T00:00:00"/>
    <x v="66"/>
    <x v="4"/>
    <s v="Kashmir"/>
    <x v="0"/>
    <n v="6"/>
    <s v="Jun"/>
    <x v="0"/>
    <n v="7.0175438596491224E-2"/>
    <s v="Q2"/>
    <s v="Friday"/>
  </r>
  <r>
    <s v="B-26028"/>
    <n v="115"/>
    <n v="0"/>
    <n v="1"/>
    <x v="0"/>
    <x v="13"/>
    <s v="Debit Card"/>
    <d v="2018-02-20T00:00:00"/>
    <x v="38"/>
    <x v="9"/>
    <s v="Hyderabad"/>
    <x v="0"/>
    <n v="2"/>
    <s v="Feb"/>
    <x v="10"/>
    <n v="0"/>
    <s v="Q1"/>
    <s v="Tuesday"/>
  </r>
  <r>
    <s v="B-25851"/>
    <n v="90"/>
    <n v="29"/>
    <n v="5"/>
    <x v="2"/>
    <x v="14"/>
    <s v="COD"/>
    <d v="2018-11-06T00:00:00"/>
    <x v="9"/>
    <x v="5"/>
    <s v="Kohima"/>
    <x v="0"/>
    <n v="11"/>
    <s v="Nov"/>
    <x v="4"/>
    <n v="0.32222222222222224"/>
    <s v="Q4"/>
    <s v="Tuesday"/>
  </r>
  <r>
    <s v="B-25938"/>
    <n v="61"/>
    <n v="1"/>
    <n v="2"/>
    <x v="1"/>
    <x v="15"/>
    <s v="COD"/>
    <d v="2018-01-05T00:00:00"/>
    <x v="161"/>
    <x v="11"/>
    <s v="Simla"/>
    <x v="0"/>
    <n v="1"/>
    <s v="Jan"/>
    <x v="2"/>
    <n v="1.6393442622950821E-2"/>
    <s v="Q1"/>
    <s v="Friday"/>
  </r>
  <r>
    <s v="B-25820"/>
    <n v="119"/>
    <n v="1"/>
    <n v="1"/>
    <x v="1"/>
    <x v="1"/>
    <s v="COD"/>
    <d v="2018-10-16T00:00:00"/>
    <x v="261"/>
    <x v="6"/>
    <s v="Jaipur"/>
    <x v="0"/>
    <n v="10"/>
    <s v="Oct"/>
    <x v="11"/>
    <n v="8.4033613445378148E-3"/>
    <s v="Q4"/>
    <s v="Tuesday"/>
  </r>
  <r>
    <s v="B-25850"/>
    <n v="117"/>
    <n v="36"/>
    <n v="2"/>
    <x v="2"/>
    <x v="5"/>
    <s v="Debit Card"/>
    <d v="2018-11-05T00:00:00"/>
    <x v="76"/>
    <x v="16"/>
    <s v="Goa"/>
    <x v="0"/>
    <n v="11"/>
    <s v="Nov"/>
    <x v="4"/>
    <n v="0.30769230769230771"/>
    <s v="Q4"/>
    <s v="Monday"/>
  </r>
  <r>
    <s v="B-25924"/>
    <n v="148"/>
    <n v="54"/>
    <n v="2"/>
    <x v="1"/>
    <x v="1"/>
    <s v="UPI"/>
    <d v="2018-12-28T00:00:00"/>
    <x v="262"/>
    <x v="3"/>
    <s v="Bangalore"/>
    <x v="0"/>
    <n v="12"/>
    <s v="Dec"/>
    <x v="5"/>
    <n v="0.36486486486486486"/>
    <s v="Q4"/>
    <s v="Friday"/>
  </r>
  <r>
    <s v="B-25609"/>
    <n v="249"/>
    <n v="-5"/>
    <n v="4"/>
    <x v="2"/>
    <x v="6"/>
    <s v="COD"/>
    <d v="2018-04-09T00:00:00"/>
    <x v="122"/>
    <x v="1"/>
    <s v="Lucknow"/>
    <x v="0"/>
    <n v="4"/>
    <s v="Apr"/>
    <x v="3"/>
    <n v="-2.0080321285140562E-2"/>
    <s v="Q2"/>
    <s v="Monday"/>
  </r>
  <r>
    <s v="B-25898"/>
    <n v="147"/>
    <n v="73"/>
    <n v="3"/>
    <x v="2"/>
    <x v="11"/>
    <s v="UPI"/>
    <d v="2018-12-07T00:00:00"/>
    <x v="76"/>
    <x v="6"/>
    <s v="Udaipur"/>
    <x v="0"/>
    <n v="12"/>
    <s v="Dec"/>
    <x v="5"/>
    <n v="0.49659863945578231"/>
    <s v="Q4"/>
    <s v="Friday"/>
  </r>
  <r>
    <s v="B-25814"/>
    <n v="118"/>
    <n v="35"/>
    <n v="7"/>
    <x v="2"/>
    <x v="14"/>
    <s v="EMI"/>
    <d v="2018-10-10T00:00:00"/>
    <x v="252"/>
    <x v="0"/>
    <s v="Indore"/>
    <x v="0"/>
    <n v="10"/>
    <s v="Oct"/>
    <x v="11"/>
    <n v="0.29661016949152541"/>
    <s v="Q4"/>
    <s v="Wednesday"/>
  </r>
  <r>
    <s v="B-26087"/>
    <n v="119"/>
    <n v="56"/>
    <n v="7"/>
    <x v="2"/>
    <x v="6"/>
    <s v="EMI"/>
    <d v="2018-03-26T00:00:00"/>
    <x v="143"/>
    <x v="11"/>
    <s v="Simla"/>
    <x v="0"/>
    <n v="3"/>
    <s v="Mar"/>
    <x v="1"/>
    <n v="0.47058823529411764"/>
    <s v="Q1"/>
    <s v="Monday"/>
  </r>
  <r>
    <s v="B-25901"/>
    <n v="90"/>
    <n v="27"/>
    <n v="2"/>
    <x v="2"/>
    <x v="14"/>
    <s v="COD"/>
    <d v="2018-12-10T00:00:00"/>
    <x v="255"/>
    <x v="7"/>
    <s v="Surat"/>
    <x v="0"/>
    <n v="12"/>
    <s v="Dec"/>
    <x v="5"/>
    <n v="0.3"/>
    <s v="Q4"/>
    <s v="Monday"/>
  </r>
  <r>
    <s v="B-26025"/>
    <n v="32"/>
    <n v="1"/>
    <n v="2"/>
    <x v="2"/>
    <x v="11"/>
    <s v="COD"/>
    <d v="2018-02-19T00:00:00"/>
    <x v="175"/>
    <x v="18"/>
    <s v="Gangtok"/>
    <x v="0"/>
    <n v="2"/>
    <s v="Feb"/>
    <x v="10"/>
    <n v="3.125E-2"/>
    <s v="Q1"/>
    <s v="Monday"/>
  </r>
  <r>
    <s v="B-25631"/>
    <n v="89"/>
    <n v="-89"/>
    <n v="2"/>
    <x v="1"/>
    <x v="15"/>
    <s v="COD"/>
    <d v="2018-04-24T00:00:00"/>
    <x v="221"/>
    <x v="15"/>
    <s v="Chandigarh"/>
    <x v="0"/>
    <n v="4"/>
    <s v="Apr"/>
    <x v="3"/>
    <n v="-1"/>
    <s v="Q2"/>
    <s v="Tuesday"/>
  </r>
  <r>
    <s v="B-25954"/>
    <n v="146"/>
    <n v="66"/>
    <n v="1"/>
    <x v="0"/>
    <x v="4"/>
    <s v="UPI"/>
    <d v="2018-01-14T00:00:00"/>
    <x v="225"/>
    <x v="7"/>
    <s v="Ahmedabad"/>
    <x v="0"/>
    <n v="1"/>
    <s v="Jan"/>
    <x v="2"/>
    <n v="0.45205479452054792"/>
    <s v="Q1"/>
    <s v="Sunday"/>
  </r>
  <r>
    <s v="B-25956"/>
    <n v="89"/>
    <n v="-37"/>
    <n v="4"/>
    <x v="2"/>
    <x v="16"/>
    <s v="COD"/>
    <d v="2018-01-17T00:00:00"/>
    <x v="74"/>
    <x v="2"/>
    <s v="Mumbai"/>
    <x v="0"/>
    <n v="1"/>
    <s v="Jan"/>
    <x v="2"/>
    <n v="-0.4157303370786517"/>
    <s v="Q1"/>
    <s v="Wednesday"/>
  </r>
  <r>
    <s v="B-26096"/>
    <n v="88"/>
    <n v="11"/>
    <n v="3"/>
    <x v="0"/>
    <x v="13"/>
    <s v="COD"/>
    <d v="2018-03-28T00:00:00"/>
    <x v="86"/>
    <x v="17"/>
    <s v="Kolkata"/>
    <x v="0"/>
    <n v="3"/>
    <s v="Mar"/>
    <x v="1"/>
    <n v="0.125"/>
    <s v="Q1"/>
    <s v="Wednesday"/>
  </r>
  <r>
    <s v="B-25862"/>
    <n v="121"/>
    <n v="41"/>
    <n v="4"/>
    <x v="2"/>
    <x v="11"/>
    <s v="EMI"/>
    <d v="2018-11-15T00:00:00"/>
    <x v="263"/>
    <x v="12"/>
    <s v="Patna"/>
    <x v="0"/>
    <n v="11"/>
    <s v="Nov"/>
    <x v="4"/>
    <n v="0.33884297520661155"/>
    <s v="Q4"/>
    <s v="Thursday"/>
  </r>
  <r>
    <s v="B-26054"/>
    <n v="88"/>
    <n v="20"/>
    <n v="2"/>
    <x v="2"/>
    <x v="6"/>
    <s v="COD"/>
    <d v="2018-03-10T00:00:00"/>
    <x v="195"/>
    <x v="2"/>
    <s v="Mumbai"/>
    <x v="0"/>
    <n v="3"/>
    <s v="Mar"/>
    <x v="1"/>
    <n v="0.22727272727272727"/>
    <s v="Q1"/>
    <s v="Saturday"/>
  </r>
  <r>
    <s v="B-25698"/>
    <n v="87"/>
    <n v="-83"/>
    <n v="5"/>
    <x v="2"/>
    <x v="8"/>
    <s v="COD"/>
    <d v="2018-06-23T00:00:00"/>
    <x v="133"/>
    <x v="14"/>
    <s v="Chennai"/>
    <x v="0"/>
    <n v="6"/>
    <s v="Jun"/>
    <x v="0"/>
    <n v="-0.95402298850574707"/>
    <s v="Q2"/>
    <s v="Saturday"/>
  </r>
  <r>
    <s v="B-25606"/>
    <n v="87"/>
    <n v="4"/>
    <n v="2"/>
    <x v="2"/>
    <x v="16"/>
    <s v="COD"/>
    <d v="2018-04-06T00:00:00"/>
    <x v="75"/>
    <x v="3"/>
    <s v="Bangalore"/>
    <x v="0"/>
    <n v="4"/>
    <s v="Apr"/>
    <x v="3"/>
    <n v="4.5977011494252873E-2"/>
    <s v="Q2"/>
    <s v="Friday"/>
  </r>
  <r>
    <s v="B-25928"/>
    <n v="122"/>
    <n v="15"/>
    <n v="3"/>
    <x v="0"/>
    <x v="13"/>
    <s v="EMI"/>
    <d v="2018-01-01T00:00:00"/>
    <x v="264"/>
    <x v="12"/>
    <s v="Patna"/>
    <x v="0"/>
    <n v="1"/>
    <s v="Jan"/>
    <x v="2"/>
    <n v="0.12295081967213115"/>
    <s v="Q1"/>
    <s v="Monday"/>
  </r>
  <r>
    <s v="B-26005"/>
    <n v="87"/>
    <n v="10"/>
    <n v="3"/>
    <x v="2"/>
    <x v="11"/>
    <s v="COD"/>
    <d v="2018-02-08T00:00:00"/>
    <x v="265"/>
    <x v="17"/>
    <s v="Kolkata"/>
    <x v="0"/>
    <n v="2"/>
    <s v="Feb"/>
    <x v="10"/>
    <n v="0.11494252873563218"/>
    <s v="Q1"/>
    <s v="Thursday"/>
  </r>
  <r>
    <s v="B-25963"/>
    <n v="53"/>
    <n v="8"/>
    <n v="3"/>
    <x v="1"/>
    <x v="15"/>
    <s v="UPI"/>
    <d v="2018-01-19T00:00:00"/>
    <x v="266"/>
    <x v="2"/>
    <s v="Mumbai"/>
    <x v="0"/>
    <n v="1"/>
    <s v="Jan"/>
    <x v="2"/>
    <n v="0.15094339622641509"/>
    <s v="Q1"/>
    <s v="Friday"/>
  </r>
  <r>
    <s v="B-25952"/>
    <n v="87"/>
    <n v="-32"/>
    <n v="9"/>
    <x v="2"/>
    <x v="9"/>
    <s v="COD"/>
    <d v="2018-01-13T00:00:00"/>
    <x v="85"/>
    <x v="0"/>
    <s v="Indore"/>
    <x v="0"/>
    <n v="1"/>
    <s v="Jan"/>
    <x v="2"/>
    <n v="-0.36781609195402298"/>
    <s v="Q1"/>
    <s v="Saturday"/>
  </r>
  <r>
    <s v="B-25683"/>
    <n v="86"/>
    <n v="-55"/>
    <n v="6"/>
    <x v="2"/>
    <x v="6"/>
    <s v="COD"/>
    <d v="2018-06-08T00:00:00"/>
    <x v="74"/>
    <x v="10"/>
    <s v="Thiruvananthapuram"/>
    <x v="0"/>
    <n v="6"/>
    <s v="Jun"/>
    <x v="0"/>
    <n v="-0.63953488372093026"/>
    <s v="Q2"/>
    <s v="Friday"/>
  </r>
  <r>
    <s v="B-25914"/>
    <n v="125"/>
    <n v="22"/>
    <n v="3"/>
    <x v="2"/>
    <x v="11"/>
    <s v="EMI"/>
    <d v="2018-12-18T00:00:00"/>
    <x v="69"/>
    <x v="8"/>
    <s v="Delhi"/>
    <x v="0"/>
    <n v="12"/>
    <s v="Dec"/>
    <x v="5"/>
    <n v="0.17599999999999999"/>
    <s v="Q4"/>
    <s v="Tuesday"/>
  </r>
  <r>
    <s v="B-25828"/>
    <n v="128"/>
    <n v="-3"/>
    <n v="3"/>
    <x v="2"/>
    <x v="6"/>
    <s v="Debit Card"/>
    <d v="2018-10-24T00:00:00"/>
    <x v="131"/>
    <x v="13"/>
    <s v="Chandigarh"/>
    <x v="0"/>
    <n v="10"/>
    <s v="Oct"/>
    <x v="11"/>
    <n v="-2.34375E-2"/>
    <s v="Q4"/>
    <s v="Wednesday"/>
  </r>
  <r>
    <s v="B-25743"/>
    <n v="143"/>
    <n v="-124"/>
    <n v="5"/>
    <x v="2"/>
    <x v="6"/>
    <s v="UPI"/>
    <d v="2018-08-07T00:00:00"/>
    <x v="140"/>
    <x v="5"/>
    <s v="Kohima"/>
    <x v="0"/>
    <n v="8"/>
    <s v="Aug"/>
    <x v="6"/>
    <n v="-0.86713286713286708"/>
    <s v="Q3"/>
    <s v="Tuesday"/>
  </r>
  <r>
    <s v="B-26085"/>
    <n v="86"/>
    <n v="22"/>
    <n v="2"/>
    <x v="2"/>
    <x v="6"/>
    <s v="COD"/>
    <d v="2018-03-26T00:00:00"/>
    <x v="32"/>
    <x v="13"/>
    <s v="Chandigarh"/>
    <x v="0"/>
    <n v="3"/>
    <s v="Mar"/>
    <x v="1"/>
    <n v="0.2558139534883721"/>
    <s v="Q1"/>
    <s v="Monday"/>
  </r>
  <r>
    <s v="B-25869"/>
    <n v="86"/>
    <n v="9"/>
    <n v="3"/>
    <x v="2"/>
    <x v="6"/>
    <s v="COD"/>
    <d v="2018-11-19T00:00:00"/>
    <x v="267"/>
    <x v="5"/>
    <s v="Kohima"/>
    <x v="0"/>
    <n v="11"/>
    <s v="Nov"/>
    <x v="4"/>
    <n v="0.10465116279069768"/>
    <s v="Q4"/>
    <s v="Monday"/>
  </r>
  <r>
    <s v="B-25773"/>
    <n v="85"/>
    <n v="-9"/>
    <n v="4"/>
    <x v="2"/>
    <x v="6"/>
    <s v="COD"/>
    <d v="2018-09-06T00:00:00"/>
    <x v="74"/>
    <x v="10"/>
    <s v="Thiruvananthapuram"/>
    <x v="0"/>
    <n v="9"/>
    <s v="Sep"/>
    <x v="8"/>
    <n v="-0.10588235294117647"/>
    <s v="Q3"/>
    <s v="Thursday"/>
  </r>
  <r>
    <s v="B-25700"/>
    <n v="129"/>
    <n v="-75"/>
    <n v="5"/>
    <x v="2"/>
    <x v="16"/>
    <s v="Debit Card"/>
    <d v="2018-06-25T00:00:00"/>
    <x v="192"/>
    <x v="2"/>
    <s v="Mumbai"/>
    <x v="0"/>
    <n v="6"/>
    <s v="Jun"/>
    <x v="0"/>
    <n v="-0.58139534883720934"/>
    <s v="Q2"/>
    <s v="Monday"/>
  </r>
  <r>
    <s v="B-25921"/>
    <n v="84"/>
    <n v="-42"/>
    <n v="2"/>
    <x v="0"/>
    <x v="13"/>
    <s v="COD"/>
    <d v="2018-12-25T00:00:00"/>
    <x v="268"/>
    <x v="13"/>
    <s v="Amritsar"/>
    <x v="0"/>
    <n v="12"/>
    <s v="Dec"/>
    <x v="5"/>
    <n v="-0.5"/>
    <s v="Q4"/>
    <s v="Tuesday"/>
  </r>
  <r>
    <s v="B-25730"/>
    <n v="83"/>
    <n v="-81"/>
    <n v="3"/>
    <x v="1"/>
    <x v="1"/>
    <s v="COD"/>
    <d v="2018-07-22T00:00:00"/>
    <x v="83"/>
    <x v="6"/>
    <s v="Jaipur"/>
    <x v="0"/>
    <n v="7"/>
    <s v="Jul"/>
    <x v="9"/>
    <n v="-0.97590361445783136"/>
    <s v="Q3"/>
    <s v="Sunday"/>
  </r>
  <r>
    <s v="B-26083"/>
    <n v="143"/>
    <n v="6"/>
    <n v="2"/>
    <x v="0"/>
    <x v="13"/>
    <s v="UPI"/>
    <d v="2018-03-24T00:00:00"/>
    <x v="190"/>
    <x v="12"/>
    <s v="Patna"/>
    <x v="0"/>
    <n v="3"/>
    <s v="Mar"/>
    <x v="1"/>
    <n v="4.195804195804196E-2"/>
    <s v="Q1"/>
    <s v="Saturday"/>
  </r>
  <r>
    <s v="B-25849"/>
    <n v="336"/>
    <n v="123"/>
    <n v="3"/>
    <x v="0"/>
    <x v="4"/>
    <s v="UPI"/>
    <d v="2018-11-04T00:00:00"/>
    <x v="269"/>
    <x v="18"/>
    <s v="Gangtok"/>
    <x v="0"/>
    <n v="11"/>
    <s v="Nov"/>
    <x v="4"/>
    <n v="0.36607142857142855"/>
    <s v="Q4"/>
    <s v="Sunday"/>
  </r>
  <r>
    <s v="B-25909"/>
    <n v="323"/>
    <n v="122"/>
    <n v="5"/>
    <x v="0"/>
    <x v="4"/>
    <s v="UPI"/>
    <d v="2018-12-13T00:00:00"/>
    <x v="44"/>
    <x v="2"/>
    <s v="Pune"/>
    <x v="0"/>
    <n v="12"/>
    <s v="Dec"/>
    <x v="5"/>
    <n v="0.37770897832817335"/>
    <s v="Q4"/>
    <s v="Thursday"/>
  </r>
  <r>
    <s v="B-26038"/>
    <n v="130"/>
    <n v="61"/>
    <n v="3"/>
    <x v="2"/>
    <x v="16"/>
    <s v="Debit Card"/>
    <d v="2018-02-24T00:00:00"/>
    <x v="28"/>
    <x v="12"/>
    <s v="Patna"/>
    <x v="0"/>
    <n v="2"/>
    <s v="Feb"/>
    <x v="10"/>
    <n v="0.46923076923076923"/>
    <s v="Q1"/>
    <s v="Saturday"/>
  </r>
  <r>
    <s v="B-25999"/>
    <n v="152"/>
    <n v="-3"/>
    <n v="5"/>
    <x v="2"/>
    <x v="6"/>
    <s v="COD"/>
    <d v="2018-02-05T00:00:00"/>
    <x v="207"/>
    <x v="8"/>
    <s v="Delhi"/>
    <x v="0"/>
    <n v="2"/>
    <s v="Feb"/>
    <x v="10"/>
    <n v="-1.9736842105263157E-2"/>
    <s v="Q1"/>
    <s v="Monday"/>
  </r>
  <r>
    <s v="B-25928"/>
    <n v="25"/>
    <n v="10"/>
    <n v="1"/>
    <x v="1"/>
    <x v="15"/>
    <s v="UPI"/>
    <d v="2018-01-01T00:00:00"/>
    <x v="264"/>
    <x v="12"/>
    <s v="Patna"/>
    <x v="0"/>
    <n v="1"/>
    <s v="Jan"/>
    <x v="2"/>
    <n v="0.4"/>
    <s v="Q1"/>
    <s v="Monday"/>
  </r>
  <r>
    <s v="B-25878"/>
    <n v="140"/>
    <n v="15"/>
    <n v="5"/>
    <x v="2"/>
    <x v="11"/>
    <s v="UPI"/>
    <d v="2018-11-24T00:00:00"/>
    <x v="99"/>
    <x v="2"/>
    <s v="Mumbai"/>
    <x v="0"/>
    <n v="11"/>
    <s v="Nov"/>
    <x v="4"/>
    <n v="0.10714285714285714"/>
    <s v="Q4"/>
    <s v="Saturday"/>
  </r>
  <r>
    <s v="B-25843"/>
    <n v="45"/>
    <n v="0"/>
    <n v="2"/>
    <x v="2"/>
    <x v="11"/>
    <s v="UPI"/>
    <d v="2018-11-03T00:00:00"/>
    <x v="173"/>
    <x v="2"/>
    <s v="Mumbai"/>
    <x v="0"/>
    <n v="11"/>
    <s v="Nov"/>
    <x v="4"/>
    <n v="0"/>
    <s v="Q4"/>
    <s v="Saturday"/>
  </r>
  <r>
    <s v="B-25959"/>
    <n v="132"/>
    <n v="49"/>
    <n v="3"/>
    <x v="2"/>
    <x v="16"/>
    <s v="COD"/>
    <d v="2018-01-18T00:00:00"/>
    <x v="113"/>
    <x v="0"/>
    <s v="Indore"/>
    <x v="0"/>
    <n v="1"/>
    <s v="Jan"/>
    <x v="2"/>
    <n v="0.37121212121212122"/>
    <s v="Q1"/>
    <s v="Thursday"/>
  </r>
  <r>
    <s v="B-25630"/>
    <n v="133"/>
    <n v="12"/>
    <n v="5"/>
    <x v="2"/>
    <x v="11"/>
    <s v="Debit Card"/>
    <d v="2018-04-24T00:00:00"/>
    <x v="168"/>
    <x v="13"/>
    <s v="Chandigarh"/>
    <x v="0"/>
    <n v="4"/>
    <s v="Apr"/>
    <x v="3"/>
    <n v="9.0225563909774431E-2"/>
    <s v="Q2"/>
    <s v="Tuesday"/>
  </r>
  <r>
    <s v="B-25858"/>
    <n v="82"/>
    <n v="13"/>
    <n v="2"/>
    <x v="2"/>
    <x v="16"/>
    <s v="COD"/>
    <d v="2018-11-13T00:00:00"/>
    <x v="137"/>
    <x v="2"/>
    <s v="Mumbai"/>
    <x v="0"/>
    <n v="11"/>
    <s v="Nov"/>
    <x v="4"/>
    <n v="0.15853658536585366"/>
    <s v="Q4"/>
    <s v="Tuesday"/>
  </r>
  <r>
    <s v="B-26096"/>
    <n v="140"/>
    <n v="56"/>
    <n v="4"/>
    <x v="2"/>
    <x v="16"/>
    <s v="UPI"/>
    <d v="2018-03-28T00:00:00"/>
    <x v="86"/>
    <x v="17"/>
    <s v="Kolkata"/>
    <x v="0"/>
    <n v="3"/>
    <s v="Mar"/>
    <x v="1"/>
    <n v="0.4"/>
    <s v="Q1"/>
    <s v="Wednesday"/>
  </r>
  <r>
    <s v="B-25838"/>
    <n v="81"/>
    <n v="19"/>
    <n v="7"/>
    <x v="2"/>
    <x v="7"/>
    <s v="COD"/>
    <d v="2018-10-29T00:00:00"/>
    <x v="48"/>
    <x v="0"/>
    <s v="Indore"/>
    <x v="0"/>
    <n v="10"/>
    <s v="Oct"/>
    <x v="11"/>
    <n v="0.23456790123456789"/>
    <s v="Q4"/>
    <s v="Monday"/>
  </r>
  <r>
    <s v="B-25943"/>
    <n v="137"/>
    <n v="38"/>
    <n v="5"/>
    <x v="2"/>
    <x v="7"/>
    <s v="Debit Card"/>
    <d v="2018-01-09T00:00:00"/>
    <x v="45"/>
    <x v="7"/>
    <s v="Ahmedabad"/>
    <x v="0"/>
    <n v="1"/>
    <s v="Jan"/>
    <x v="2"/>
    <n v="0.27737226277372262"/>
    <s v="Q1"/>
    <s v="Tuesday"/>
  </r>
  <r>
    <s v="B-25780"/>
    <n v="137"/>
    <n v="-41"/>
    <n v="3"/>
    <x v="0"/>
    <x v="4"/>
    <s v="Debit Card"/>
    <d v="2018-09-13T00:00:00"/>
    <x v="270"/>
    <x v="9"/>
    <s v="Hyderabad"/>
    <x v="0"/>
    <n v="9"/>
    <s v="Sep"/>
    <x v="8"/>
    <n v="-0.29927007299270075"/>
    <s v="Q3"/>
    <s v="Thursday"/>
  </r>
  <r>
    <s v="B-25949"/>
    <n v="140"/>
    <n v="57"/>
    <n v="2"/>
    <x v="2"/>
    <x v="5"/>
    <s v="Debit Card"/>
    <d v="2018-01-13T00:00:00"/>
    <x v="258"/>
    <x v="2"/>
    <s v="Mumbai"/>
    <x v="0"/>
    <n v="1"/>
    <s v="Jan"/>
    <x v="2"/>
    <n v="0.40714285714285714"/>
    <s v="Q1"/>
    <s v="Saturday"/>
  </r>
  <r>
    <s v="B-25892"/>
    <n v="139"/>
    <n v="30"/>
    <n v="3"/>
    <x v="2"/>
    <x v="16"/>
    <s v="UPI"/>
    <d v="2018-12-04T00:00:00"/>
    <x v="64"/>
    <x v="6"/>
    <s v="Udaipur"/>
    <x v="0"/>
    <n v="12"/>
    <s v="Dec"/>
    <x v="5"/>
    <n v="0.21582733812949639"/>
    <s v="Q4"/>
    <s v="Tuesday"/>
  </r>
  <r>
    <s v="B-26054"/>
    <n v="138"/>
    <n v="11"/>
    <n v="5"/>
    <x v="2"/>
    <x v="11"/>
    <s v="UPI"/>
    <d v="2018-03-10T00:00:00"/>
    <x v="195"/>
    <x v="2"/>
    <s v="Mumbai"/>
    <x v="0"/>
    <n v="3"/>
    <s v="Mar"/>
    <x v="1"/>
    <n v="7.9710144927536225E-2"/>
    <s v="Q1"/>
    <s v="Saturday"/>
  </r>
  <r>
    <s v="B-25988"/>
    <n v="79"/>
    <n v="-124"/>
    <n v="9"/>
    <x v="2"/>
    <x v="9"/>
    <s v="COD"/>
    <d v="2018-01-31T00:00:00"/>
    <x v="271"/>
    <x v="8"/>
    <s v="Delhi"/>
    <x v="0"/>
    <n v="1"/>
    <s v="Jan"/>
    <x v="2"/>
    <n v="-1.5696202531645569"/>
    <s v="Q1"/>
    <s v="Wednesday"/>
  </r>
  <r>
    <s v="B-25939"/>
    <n v="136"/>
    <n v="41"/>
    <n v="3"/>
    <x v="0"/>
    <x v="13"/>
    <s v="UPI"/>
    <d v="2018-01-05T00:00:00"/>
    <x v="272"/>
    <x v="18"/>
    <s v="Gangtok"/>
    <x v="0"/>
    <n v="1"/>
    <s v="Jan"/>
    <x v="2"/>
    <n v="0.3014705882352941"/>
    <s v="Q1"/>
    <s v="Friday"/>
  </r>
  <r>
    <s v="B-26083"/>
    <n v="145"/>
    <n v="16"/>
    <n v="3"/>
    <x v="2"/>
    <x v="14"/>
    <s v="Debit Card"/>
    <d v="2018-03-24T00:00:00"/>
    <x v="190"/>
    <x v="12"/>
    <s v="Patna"/>
    <x v="0"/>
    <n v="3"/>
    <s v="Mar"/>
    <x v="1"/>
    <n v="0.1103448275862069"/>
    <s v="Q1"/>
    <s v="Saturday"/>
  </r>
  <r>
    <s v="B-26078"/>
    <n v="44"/>
    <n v="20"/>
    <n v="2"/>
    <x v="2"/>
    <x v="14"/>
    <s v="UPI"/>
    <d v="2018-03-22T00:00:00"/>
    <x v="127"/>
    <x v="17"/>
    <s v="Kolkata"/>
    <x v="0"/>
    <n v="3"/>
    <s v="Mar"/>
    <x v="1"/>
    <n v="0.45454545454545453"/>
    <s v="Q1"/>
    <s v="Thursday"/>
  </r>
  <r>
    <s v="B-25902"/>
    <n v="79"/>
    <n v="6"/>
    <n v="7"/>
    <x v="2"/>
    <x v="6"/>
    <s v="COD"/>
    <d v="2018-12-10T00:00:00"/>
    <x v="215"/>
    <x v="2"/>
    <s v="Mumbai"/>
    <x v="0"/>
    <n v="12"/>
    <s v="Dec"/>
    <x v="5"/>
    <n v="7.5949367088607597E-2"/>
    <s v="Q4"/>
    <s v="Monday"/>
  </r>
  <r>
    <s v="B-25676"/>
    <n v="79"/>
    <n v="36"/>
    <n v="4"/>
    <x v="2"/>
    <x v="16"/>
    <s v="COD"/>
    <d v="2018-06-01T00:00:00"/>
    <x v="114"/>
    <x v="6"/>
    <s v="Jaipur"/>
    <x v="0"/>
    <n v="6"/>
    <s v="Jun"/>
    <x v="0"/>
    <n v="0.45569620253164556"/>
    <s v="Q2"/>
    <s v="Friday"/>
  </r>
  <r>
    <s v="B-26016"/>
    <n v="134"/>
    <n v="-13"/>
    <n v="3"/>
    <x v="0"/>
    <x v="0"/>
    <s v="UPI"/>
    <d v="2018-02-14T00:00:00"/>
    <x v="75"/>
    <x v="3"/>
    <s v="Bangalore"/>
    <x v="0"/>
    <n v="2"/>
    <s v="Feb"/>
    <x v="10"/>
    <n v="-9.7014925373134331E-2"/>
    <s v="Q1"/>
    <s v="Wednesday"/>
  </r>
  <r>
    <s v="B-25950"/>
    <n v="133"/>
    <n v="5"/>
    <n v="5"/>
    <x v="2"/>
    <x v="11"/>
    <s v="UPI"/>
    <d v="2018-01-13T00:00:00"/>
    <x v="21"/>
    <x v="0"/>
    <s v="Indore"/>
    <x v="0"/>
    <n v="1"/>
    <s v="Jan"/>
    <x v="2"/>
    <n v="3.7593984962406013E-2"/>
    <s v="Q1"/>
    <s v="Saturday"/>
  </r>
  <r>
    <s v="B-26056"/>
    <n v="47"/>
    <n v="20"/>
    <n v="7"/>
    <x v="2"/>
    <x v="7"/>
    <s v="UPI"/>
    <d v="2018-03-10T00:00:00"/>
    <x v="156"/>
    <x v="12"/>
    <s v="Patna"/>
    <x v="0"/>
    <n v="3"/>
    <s v="Mar"/>
    <x v="1"/>
    <n v="0.42553191489361702"/>
    <s v="Q1"/>
    <s v="Saturday"/>
  </r>
  <r>
    <s v="B-25645"/>
    <n v="133"/>
    <n v="-42"/>
    <n v="1"/>
    <x v="0"/>
    <x v="3"/>
    <s v="UPI"/>
    <d v="2018-05-01T00:00:00"/>
    <x v="185"/>
    <x v="0"/>
    <s v="Indore"/>
    <x v="0"/>
    <n v="5"/>
    <s v="May"/>
    <x v="7"/>
    <n v="-0.31578947368421051"/>
    <s v="Q2"/>
    <s v="Tuesday"/>
  </r>
  <r>
    <s v="B-25906"/>
    <n v="78"/>
    <n v="27"/>
    <n v="3"/>
    <x v="2"/>
    <x v="11"/>
    <s v="COD"/>
    <d v="2018-12-11T00:00:00"/>
    <x v="273"/>
    <x v="8"/>
    <s v="Delhi"/>
    <x v="0"/>
    <n v="12"/>
    <s v="Dec"/>
    <x v="5"/>
    <n v="0.34615384615384615"/>
    <s v="Q4"/>
    <s v="Tuesday"/>
  </r>
  <r>
    <s v="B-26017"/>
    <n v="78"/>
    <n v="7"/>
    <n v="1"/>
    <x v="1"/>
    <x v="1"/>
    <s v="COD"/>
    <d v="2018-02-14T00:00:00"/>
    <x v="108"/>
    <x v="4"/>
    <s v="Kashmir"/>
    <x v="0"/>
    <n v="2"/>
    <s v="Feb"/>
    <x v="10"/>
    <n v="8.9743589743589744E-2"/>
    <s v="Q1"/>
    <s v="Wednesday"/>
  </r>
  <r>
    <s v="B-25644"/>
    <n v="76"/>
    <n v="-92"/>
    <n v="8"/>
    <x v="1"/>
    <x v="15"/>
    <s v="COD"/>
    <d v="2018-04-30T00:00:00"/>
    <x v="195"/>
    <x v="2"/>
    <s v="Mumbai"/>
    <x v="0"/>
    <n v="4"/>
    <s v="Apr"/>
    <x v="3"/>
    <n v="-1.2105263157894737"/>
    <s v="Q2"/>
    <s v="Monday"/>
  </r>
  <r>
    <s v="B-25679"/>
    <n v="76"/>
    <n v="-50"/>
    <n v="1"/>
    <x v="2"/>
    <x v="6"/>
    <s v="COD"/>
    <d v="2018-06-04T00:00:00"/>
    <x v="274"/>
    <x v="2"/>
    <s v="Mumbai"/>
    <x v="0"/>
    <n v="6"/>
    <s v="Jun"/>
    <x v="0"/>
    <n v="-0.65789473684210531"/>
    <s v="Q2"/>
    <s v="Monday"/>
  </r>
  <r>
    <s v="B-25854"/>
    <n v="76"/>
    <n v="19"/>
    <n v="3"/>
    <x v="2"/>
    <x v="7"/>
    <s v="COD"/>
    <d v="2018-11-08T00:00:00"/>
    <x v="141"/>
    <x v="2"/>
    <s v="Pune"/>
    <x v="0"/>
    <n v="11"/>
    <s v="Nov"/>
    <x v="4"/>
    <n v="0.25"/>
    <s v="Q4"/>
    <s v="Thursday"/>
  </r>
  <r>
    <s v="B-25670"/>
    <n v="74"/>
    <n v="29"/>
    <n v="3"/>
    <x v="2"/>
    <x v="11"/>
    <s v="COD"/>
    <d v="2018-05-25T00:00:00"/>
    <x v="111"/>
    <x v="16"/>
    <s v="Goa"/>
    <x v="0"/>
    <n v="5"/>
    <s v="May"/>
    <x v="7"/>
    <n v="0.39189189189189189"/>
    <s v="Q2"/>
    <s v="Friday"/>
  </r>
  <r>
    <s v="B-25792"/>
    <n v="74"/>
    <n v="-25"/>
    <n v="3"/>
    <x v="2"/>
    <x v="11"/>
    <s v="COD"/>
    <d v="2018-09-24T00:00:00"/>
    <x v="76"/>
    <x v="2"/>
    <s v="Mumbai"/>
    <x v="0"/>
    <n v="9"/>
    <s v="Sep"/>
    <x v="8"/>
    <n v="-0.33783783783783783"/>
    <s v="Q3"/>
    <s v="Monday"/>
  </r>
  <r>
    <s v="B-25808"/>
    <n v="146"/>
    <n v="-63"/>
    <n v="3"/>
    <x v="0"/>
    <x v="0"/>
    <s v="Debit Card"/>
    <d v="2018-10-08T00:00:00"/>
    <x v="102"/>
    <x v="12"/>
    <s v="Patna"/>
    <x v="0"/>
    <n v="10"/>
    <s v="Oct"/>
    <x v="11"/>
    <n v="-0.4315068493150685"/>
    <s v="Q4"/>
    <s v="Monday"/>
  </r>
  <r>
    <s v="B-25750"/>
    <n v="73"/>
    <n v="-31"/>
    <n v="1"/>
    <x v="1"/>
    <x v="2"/>
    <s v="COD"/>
    <d v="2018-08-14T00:00:00"/>
    <x v="100"/>
    <x v="0"/>
    <s v="Indore"/>
    <x v="0"/>
    <n v="8"/>
    <s v="Aug"/>
    <x v="6"/>
    <n v="-0.42465753424657532"/>
    <s v="Q3"/>
    <s v="Tuesday"/>
  </r>
  <r>
    <s v="B-26051"/>
    <n v="80"/>
    <n v="22"/>
    <n v="3"/>
    <x v="2"/>
    <x v="11"/>
    <s v="UPI"/>
    <d v="2018-03-07T00:00:00"/>
    <x v="56"/>
    <x v="17"/>
    <s v="Kolkata"/>
    <x v="0"/>
    <n v="3"/>
    <s v="Mar"/>
    <x v="1"/>
    <n v="0.27500000000000002"/>
    <s v="Q1"/>
    <s v="Wednesday"/>
  </r>
  <r>
    <s v="B-26076"/>
    <n v="133"/>
    <n v="46"/>
    <n v="5"/>
    <x v="2"/>
    <x v="16"/>
    <s v="EMI"/>
    <d v="2018-03-21T00:00:00"/>
    <x v="106"/>
    <x v="0"/>
    <s v="Bhopal"/>
    <x v="0"/>
    <n v="3"/>
    <s v="Mar"/>
    <x v="1"/>
    <n v="0.34586466165413532"/>
    <s v="Q1"/>
    <s v="Wednesday"/>
  </r>
  <r>
    <s v="B-25946"/>
    <n v="146"/>
    <n v="7"/>
    <n v="2"/>
    <x v="0"/>
    <x v="4"/>
    <s v="Debit Card"/>
    <d v="2018-01-12T00:00:00"/>
    <x v="213"/>
    <x v="9"/>
    <s v="Hyderabad"/>
    <x v="0"/>
    <n v="1"/>
    <s v="Jan"/>
    <x v="2"/>
    <n v="4.7945205479452052E-2"/>
    <s v="Q1"/>
    <s v="Friday"/>
  </r>
  <r>
    <s v="B-25648"/>
    <n v="130"/>
    <n v="-41"/>
    <n v="4"/>
    <x v="2"/>
    <x v="6"/>
    <s v="EMI"/>
    <d v="2018-05-04T00:00:00"/>
    <x v="160"/>
    <x v="13"/>
    <s v="Chandigarh"/>
    <x v="0"/>
    <n v="5"/>
    <s v="May"/>
    <x v="7"/>
    <n v="-0.31538461538461537"/>
    <s v="Q2"/>
    <s v="Friday"/>
  </r>
  <r>
    <s v="B-25992"/>
    <n v="141"/>
    <n v="41"/>
    <n v="3"/>
    <x v="2"/>
    <x v="16"/>
    <s v="UPI"/>
    <d v="2018-02-03T00:00:00"/>
    <x v="18"/>
    <x v="6"/>
    <s v="Udaipur"/>
    <x v="0"/>
    <n v="2"/>
    <s v="Feb"/>
    <x v="10"/>
    <n v="0.29078014184397161"/>
    <s v="Q1"/>
    <s v="Saturday"/>
  </r>
  <r>
    <s v="B-25848"/>
    <n v="147"/>
    <n v="21"/>
    <n v="3"/>
    <x v="1"/>
    <x v="15"/>
    <s v="Debit Card"/>
    <d v="2018-11-03T00:00:00"/>
    <x v="115"/>
    <x v="11"/>
    <s v="Simla"/>
    <x v="0"/>
    <n v="11"/>
    <s v="Nov"/>
    <x v="4"/>
    <n v="0.14285714285714285"/>
    <s v="Q4"/>
    <s v="Saturday"/>
  </r>
  <r>
    <s v="B-25697"/>
    <n v="73"/>
    <n v="-7"/>
    <n v="1"/>
    <x v="0"/>
    <x v="4"/>
    <s v="COD"/>
    <d v="2018-06-22T00:00:00"/>
    <x v="66"/>
    <x v="4"/>
    <s v="Kashmir"/>
    <x v="0"/>
    <n v="6"/>
    <s v="Jun"/>
    <x v="0"/>
    <n v="-9.5890410958904104E-2"/>
    <s v="Q2"/>
    <s v="Friday"/>
  </r>
  <r>
    <s v="B-25659"/>
    <n v="148"/>
    <n v="72"/>
    <n v="7"/>
    <x v="2"/>
    <x v="14"/>
    <s v="Debit Card"/>
    <d v="2018-05-15T00:00:00"/>
    <x v="275"/>
    <x v="17"/>
    <s v="Kolkata"/>
    <x v="0"/>
    <n v="5"/>
    <s v="May"/>
    <x v="7"/>
    <n v="0.48648648648648651"/>
    <s v="Q2"/>
    <s v="Tuesday"/>
  </r>
  <r>
    <s v="B-25716"/>
    <n v="58"/>
    <n v="0"/>
    <n v="4"/>
    <x v="2"/>
    <x v="6"/>
    <s v="UPI"/>
    <d v="2018-07-11T00:00:00"/>
    <x v="27"/>
    <x v="14"/>
    <s v="Chennai"/>
    <x v="0"/>
    <n v="7"/>
    <s v="Jul"/>
    <x v="9"/>
    <n v="0"/>
    <s v="Q3"/>
    <s v="Wednesday"/>
  </r>
  <r>
    <s v="B-25652"/>
    <n v="21"/>
    <n v="-13"/>
    <n v="3"/>
    <x v="2"/>
    <x v="12"/>
    <s v="UPI"/>
    <d v="2018-05-08T00:00:00"/>
    <x v="97"/>
    <x v="16"/>
    <s v="Goa"/>
    <x v="0"/>
    <n v="5"/>
    <s v="May"/>
    <x v="7"/>
    <n v="-0.61904761904761907"/>
    <s v="Q2"/>
    <s v="Tuesday"/>
  </r>
  <r>
    <s v="B-26093"/>
    <n v="148"/>
    <n v="25"/>
    <n v="3"/>
    <x v="2"/>
    <x v="6"/>
    <s v="Debit Card"/>
    <d v="2018-03-27T00:00:00"/>
    <x v="3"/>
    <x v="2"/>
    <s v="Pune"/>
    <x v="0"/>
    <n v="3"/>
    <s v="Mar"/>
    <x v="1"/>
    <n v="0.16891891891891891"/>
    <s v="Q1"/>
    <s v="Tuesday"/>
  </r>
  <r>
    <s v="B-25725"/>
    <n v="144"/>
    <n v="-7"/>
    <n v="4"/>
    <x v="0"/>
    <x v="0"/>
    <s v="COD"/>
    <d v="2018-07-20T00:00:00"/>
    <x v="276"/>
    <x v="5"/>
    <s v="Kohima"/>
    <x v="0"/>
    <n v="7"/>
    <s v="Jul"/>
    <x v="9"/>
    <n v="-4.8611111111111112E-2"/>
    <s v="Q3"/>
    <s v="Friday"/>
  </r>
  <r>
    <s v="B-25661"/>
    <n v="145"/>
    <n v="-104"/>
    <n v="5"/>
    <x v="1"/>
    <x v="1"/>
    <s v="UPI"/>
    <d v="2018-05-17T00:00:00"/>
    <x v="206"/>
    <x v="4"/>
    <s v="Kashmir"/>
    <x v="0"/>
    <n v="5"/>
    <s v="May"/>
    <x v="7"/>
    <n v="-0.71724137931034482"/>
    <s v="Q2"/>
    <s v="Thursday"/>
  </r>
  <r>
    <s v="B-25693"/>
    <n v="72"/>
    <n v="-49"/>
    <n v="1"/>
    <x v="0"/>
    <x v="4"/>
    <s v="COD"/>
    <d v="2018-06-18T00:00:00"/>
    <x v="77"/>
    <x v="0"/>
    <s v="Bhopal"/>
    <x v="0"/>
    <n v="6"/>
    <s v="Jun"/>
    <x v="0"/>
    <n v="-0.68055555555555558"/>
    <s v="Q2"/>
    <s v="Monday"/>
  </r>
  <r>
    <s v="B-25910"/>
    <n v="125"/>
    <n v="15"/>
    <n v="5"/>
    <x v="2"/>
    <x v="16"/>
    <s v="EMI"/>
    <d v="2018-12-14T00:00:00"/>
    <x v="20"/>
    <x v="8"/>
    <s v="Delhi"/>
    <x v="0"/>
    <n v="12"/>
    <s v="Dec"/>
    <x v="5"/>
    <n v="0.12"/>
    <s v="Q4"/>
    <s v="Friday"/>
  </r>
  <r>
    <s v="B-25943"/>
    <n v="149"/>
    <n v="15"/>
    <n v="3"/>
    <x v="2"/>
    <x v="6"/>
    <s v="Debit Card"/>
    <d v="2018-01-09T00:00:00"/>
    <x v="45"/>
    <x v="7"/>
    <s v="Ahmedabad"/>
    <x v="0"/>
    <n v="1"/>
    <s v="Jan"/>
    <x v="2"/>
    <n v="0.10067114093959731"/>
    <s v="Q1"/>
    <s v="Tuesday"/>
  </r>
  <r>
    <s v="B-26100"/>
    <n v="72"/>
    <n v="16"/>
    <n v="2"/>
    <x v="2"/>
    <x v="16"/>
    <s v="COD"/>
    <d v="2018-03-31T00:00:00"/>
    <x v="79"/>
    <x v="0"/>
    <s v="Indore"/>
    <x v="0"/>
    <n v="3"/>
    <s v="Mar"/>
    <x v="1"/>
    <n v="0.22222222222222221"/>
    <s v="Q1"/>
    <s v="Saturday"/>
  </r>
  <r>
    <s v="B-25830"/>
    <n v="71"/>
    <n v="0"/>
    <n v="8"/>
    <x v="2"/>
    <x v="9"/>
    <s v="COD"/>
    <d v="2018-10-26T00:00:00"/>
    <x v="25"/>
    <x v="11"/>
    <s v="Simla"/>
    <x v="0"/>
    <n v="10"/>
    <s v="Oct"/>
    <x v="11"/>
    <n v="0"/>
    <s v="Q4"/>
    <s v="Friday"/>
  </r>
  <r>
    <s v="B-25932"/>
    <n v="71"/>
    <n v="-14"/>
    <n v="4"/>
    <x v="1"/>
    <x v="15"/>
    <s v="COD"/>
    <d v="2018-01-04T00:00:00"/>
    <x v="277"/>
    <x v="0"/>
    <s v="Indore"/>
    <x v="0"/>
    <n v="1"/>
    <s v="Jan"/>
    <x v="2"/>
    <n v="-0.19718309859154928"/>
    <s v="Q1"/>
    <s v="Thursday"/>
  </r>
  <r>
    <s v="B-25929"/>
    <n v="154"/>
    <n v="-85"/>
    <n v="3"/>
    <x v="1"/>
    <x v="1"/>
    <s v="EMI"/>
    <d v="2018-01-02T00:00:00"/>
    <x v="63"/>
    <x v="10"/>
    <s v="Thiruvananthapuram"/>
    <x v="0"/>
    <n v="1"/>
    <s v="Jan"/>
    <x v="2"/>
    <n v="-0.55194805194805197"/>
    <s v="Q1"/>
    <s v="Tuesday"/>
  </r>
  <r>
    <s v="B-25708"/>
    <n v="191"/>
    <n v="13"/>
    <n v="8"/>
    <x v="1"/>
    <x v="15"/>
    <s v="COD"/>
    <d v="2018-07-01T00:00:00"/>
    <x v="109"/>
    <x v="0"/>
    <s v="Indore"/>
    <x v="0"/>
    <n v="7"/>
    <s v="Jul"/>
    <x v="9"/>
    <n v="6.8062827225130892E-2"/>
    <s v="Q3"/>
    <s v="Sunday"/>
  </r>
  <r>
    <s v="B-25921"/>
    <n v="170"/>
    <n v="19"/>
    <n v="5"/>
    <x v="2"/>
    <x v="14"/>
    <s v="UPI"/>
    <d v="2018-12-25T00:00:00"/>
    <x v="268"/>
    <x v="13"/>
    <s v="Amritsar"/>
    <x v="0"/>
    <n v="12"/>
    <s v="Dec"/>
    <x v="5"/>
    <n v="0.11176470588235295"/>
    <s v="Q4"/>
    <s v="Tuesday"/>
  </r>
  <r>
    <s v="B-25755"/>
    <n v="47"/>
    <n v="-3"/>
    <n v="2"/>
    <x v="2"/>
    <x v="11"/>
    <s v="UPI"/>
    <d v="2018-08-19T00:00:00"/>
    <x v="40"/>
    <x v="10"/>
    <s v="Thiruvananthapuram"/>
    <x v="0"/>
    <n v="8"/>
    <s v="Aug"/>
    <x v="6"/>
    <n v="-6.3829787234042548E-2"/>
    <s v="Q3"/>
    <s v="Sunday"/>
  </r>
  <r>
    <s v="B-25640"/>
    <n v="122"/>
    <n v="-47"/>
    <n v="4"/>
    <x v="2"/>
    <x v="6"/>
    <s v="EMI"/>
    <d v="2018-04-27T00:00:00"/>
    <x v="49"/>
    <x v="6"/>
    <s v="Jaipur"/>
    <x v="0"/>
    <n v="4"/>
    <s v="Apr"/>
    <x v="3"/>
    <n v="-0.38524590163934425"/>
    <s v="Q2"/>
    <s v="Friday"/>
  </r>
  <r>
    <s v="B-25838"/>
    <n v="70"/>
    <n v="26"/>
    <n v="5"/>
    <x v="2"/>
    <x v="7"/>
    <s v="COD"/>
    <d v="2018-10-29T00:00:00"/>
    <x v="48"/>
    <x v="0"/>
    <s v="Indore"/>
    <x v="0"/>
    <n v="10"/>
    <s v="Oct"/>
    <x v="11"/>
    <n v="0.37142857142857144"/>
    <s v="Q4"/>
    <s v="Monday"/>
  </r>
  <r>
    <s v="B-26025"/>
    <n v="155"/>
    <n v="5"/>
    <n v="3"/>
    <x v="2"/>
    <x v="11"/>
    <s v="EMI"/>
    <d v="2018-02-19T00:00:00"/>
    <x v="175"/>
    <x v="18"/>
    <s v="Gangtok"/>
    <x v="0"/>
    <n v="2"/>
    <s v="Feb"/>
    <x v="10"/>
    <n v="3.2258064516129031E-2"/>
    <s v="Q1"/>
    <s v="Monday"/>
  </r>
  <r>
    <s v="B-25789"/>
    <n v="67"/>
    <n v="-86"/>
    <n v="9"/>
    <x v="1"/>
    <x v="15"/>
    <s v="COD"/>
    <d v="2018-09-22T00:00:00"/>
    <x v="29"/>
    <x v="1"/>
    <s v="Lucknow"/>
    <x v="0"/>
    <n v="9"/>
    <s v="Sep"/>
    <x v="8"/>
    <n v="-1.2835820895522387"/>
    <s v="Q3"/>
    <s v="Saturday"/>
  </r>
  <r>
    <s v="B-25697"/>
    <n v="67"/>
    <n v="-42"/>
    <n v="3"/>
    <x v="2"/>
    <x v="11"/>
    <s v="COD"/>
    <d v="2018-06-22T00:00:00"/>
    <x v="66"/>
    <x v="4"/>
    <s v="Kashmir"/>
    <x v="0"/>
    <n v="6"/>
    <s v="Jun"/>
    <x v="0"/>
    <n v="-0.62686567164179108"/>
    <s v="Q2"/>
    <s v="Friday"/>
  </r>
  <r>
    <s v="B-25797"/>
    <n v="148"/>
    <n v="-101"/>
    <n v="2"/>
    <x v="1"/>
    <x v="2"/>
    <s v="UPI"/>
    <d v="2018-09-30T00:00:00"/>
    <x v="37"/>
    <x v="0"/>
    <s v="Indore"/>
    <x v="0"/>
    <n v="9"/>
    <s v="Sep"/>
    <x v="8"/>
    <n v="-0.68243243243243246"/>
    <s v="Q3"/>
    <s v="Sunday"/>
  </r>
  <r>
    <s v="B-26064"/>
    <n v="122"/>
    <n v="38"/>
    <n v="6"/>
    <x v="2"/>
    <x v="14"/>
    <s v="Credit Card"/>
    <d v="2018-03-16T00:00:00"/>
    <x v="167"/>
    <x v="2"/>
    <s v="Mumbai"/>
    <x v="0"/>
    <n v="3"/>
    <s v="Mar"/>
    <x v="1"/>
    <n v="0.31147540983606559"/>
    <s v="Q1"/>
    <s v="Friday"/>
  </r>
  <r>
    <s v="B-25732"/>
    <n v="16"/>
    <n v="-5"/>
    <n v="2"/>
    <x v="2"/>
    <x v="11"/>
    <s v="UPI"/>
    <d v="2018-07-27T00:00:00"/>
    <x v="278"/>
    <x v="3"/>
    <s v="Bangalore"/>
    <x v="0"/>
    <n v="7"/>
    <s v="Jul"/>
    <x v="9"/>
    <n v="-0.3125"/>
    <s v="Q3"/>
    <s v="Friday"/>
  </r>
  <r>
    <s v="B-25654"/>
    <n v="121"/>
    <n v="-17"/>
    <n v="3"/>
    <x v="1"/>
    <x v="15"/>
    <s v="Credit Card"/>
    <d v="2018-05-10T00:00:00"/>
    <x v="150"/>
    <x v="2"/>
    <s v="Mumbai"/>
    <x v="0"/>
    <n v="5"/>
    <s v="May"/>
    <x v="7"/>
    <n v="-0.14049586776859505"/>
    <s v="Q2"/>
    <s v="Thursday"/>
  </r>
  <r>
    <s v="B-25750"/>
    <n v="42"/>
    <n v="-15"/>
    <n v="12"/>
    <x v="2"/>
    <x v="9"/>
    <s v="UPI"/>
    <d v="2018-08-14T00:00:00"/>
    <x v="100"/>
    <x v="0"/>
    <s v="Indore"/>
    <x v="0"/>
    <n v="8"/>
    <s v="Aug"/>
    <x v="6"/>
    <n v="-0.35714285714285715"/>
    <s v="Q3"/>
    <s v="Tuesday"/>
  </r>
  <r>
    <s v="B-25751"/>
    <n v="65"/>
    <n v="-4"/>
    <n v="6"/>
    <x v="2"/>
    <x v="7"/>
    <s v="COD"/>
    <d v="2018-08-14T00:00:00"/>
    <x v="188"/>
    <x v="2"/>
    <s v="Mumbai"/>
    <x v="0"/>
    <n v="8"/>
    <s v="Aug"/>
    <x v="6"/>
    <n v="-6.1538461538461542E-2"/>
    <s v="Q3"/>
    <s v="Tuesday"/>
  </r>
  <r>
    <s v="B-25889"/>
    <n v="119"/>
    <n v="-43"/>
    <n v="7"/>
    <x v="2"/>
    <x v="8"/>
    <s v="Credit Card"/>
    <d v="2018-12-03T00:00:00"/>
    <x v="76"/>
    <x v="7"/>
    <s v="Surat"/>
    <x v="0"/>
    <n v="12"/>
    <s v="Dec"/>
    <x v="5"/>
    <n v="-0.36134453781512604"/>
    <s v="Q4"/>
    <s v="Monday"/>
  </r>
  <r>
    <s v="B-25683"/>
    <n v="155"/>
    <n v="56"/>
    <n v="3"/>
    <x v="1"/>
    <x v="15"/>
    <s v="EMI"/>
    <d v="2018-06-08T00:00:00"/>
    <x v="74"/>
    <x v="10"/>
    <s v="Thiruvananthapuram"/>
    <x v="0"/>
    <n v="6"/>
    <s v="Jun"/>
    <x v="0"/>
    <n v="0.36129032258064514"/>
    <s v="Q2"/>
    <s v="Friday"/>
  </r>
  <r>
    <s v="B-25602"/>
    <n v="119"/>
    <n v="-5"/>
    <n v="8"/>
    <x v="2"/>
    <x v="6"/>
    <s v="Credit Card"/>
    <d v="2018-04-01T00:00:00"/>
    <x v="4"/>
    <x v="2"/>
    <s v="Pune"/>
    <x v="0"/>
    <n v="4"/>
    <s v="Apr"/>
    <x v="3"/>
    <n v="-4.2016806722689079E-2"/>
    <s v="Q2"/>
    <s v="Sunday"/>
  </r>
  <r>
    <s v="B-25871"/>
    <n v="118"/>
    <n v="25"/>
    <n v="4"/>
    <x v="2"/>
    <x v="7"/>
    <s v="Credit Card"/>
    <d v="2018-11-21T00:00:00"/>
    <x v="279"/>
    <x v="7"/>
    <s v="Surat"/>
    <x v="0"/>
    <n v="11"/>
    <s v="Nov"/>
    <x v="4"/>
    <n v="0.21186440677966101"/>
    <s v="Q4"/>
    <s v="Wednesday"/>
  </r>
  <r>
    <s v="B-25953"/>
    <n v="116"/>
    <n v="22"/>
    <n v="1"/>
    <x v="0"/>
    <x v="13"/>
    <s v="Credit Card"/>
    <d v="2018-01-14T00:00:00"/>
    <x v="93"/>
    <x v="9"/>
    <s v="Hyderabad"/>
    <x v="0"/>
    <n v="1"/>
    <s v="Jan"/>
    <x v="2"/>
    <n v="0.18965517241379309"/>
    <s v="Q1"/>
    <s v="Sunday"/>
  </r>
  <r>
    <s v="B-25950"/>
    <n v="158"/>
    <n v="-29"/>
    <n v="10"/>
    <x v="2"/>
    <x v="7"/>
    <s v="EMI"/>
    <d v="2018-01-13T00:00:00"/>
    <x v="21"/>
    <x v="0"/>
    <s v="Indore"/>
    <x v="0"/>
    <n v="1"/>
    <s v="Jan"/>
    <x v="2"/>
    <n v="-0.18354430379746836"/>
    <s v="Q1"/>
    <s v="Saturday"/>
  </r>
  <r>
    <s v="B-26091"/>
    <n v="158"/>
    <n v="69"/>
    <n v="3"/>
    <x v="2"/>
    <x v="11"/>
    <s v="EMI"/>
    <d v="2018-03-27T00:00:00"/>
    <x v="38"/>
    <x v="9"/>
    <s v="Hyderabad"/>
    <x v="0"/>
    <n v="3"/>
    <s v="Mar"/>
    <x v="1"/>
    <n v="0.43670886075949367"/>
    <s v="Q1"/>
    <s v="Tuesday"/>
  </r>
  <r>
    <s v="B-25753"/>
    <n v="65"/>
    <n v="-52"/>
    <n v="3"/>
    <x v="0"/>
    <x v="13"/>
    <s v="COD"/>
    <d v="2018-08-17T00:00:00"/>
    <x v="205"/>
    <x v="1"/>
    <s v="Lucknow"/>
    <x v="0"/>
    <n v="8"/>
    <s v="Aug"/>
    <x v="6"/>
    <n v="-0.8"/>
    <s v="Q3"/>
    <s v="Friday"/>
  </r>
  <r>
    <s v="B-25611"/>
    <n v="160"/>
    <n v="-59"/>
    <n v="2"/>
    <x v="2"/>
    <x v="6"/>
    <s v="EMI"/>
    <d v="2018-04-11T00:00:00"/>
    <x v="110"/>
    <x v="10"/>
    <s v="Thiruvananthapuram"/>
    <x v="0"/>
    <n v="4"/>
    <s v="Apr"/>
    <x v="3"/>
    <n v="-0.36875000000000002"/>
    <s v="Q2"/>
    <s v="Wednesday"/>
  </r>
  <r>
    <s v="B-25935"/>
    <n v="162"/>
    <n v="20"/>
    <n v="3"/>
    <x v="1"/>
    <x v="1"/>
    <s v="EMI"/>
    <d v="2018-01-04T00:00:00"/>
    <x v="46"/>
    <x v="5"/>
    <s v="Kohima"/>
    <x v="0"/>
    <n v="1"/>
    <s v="Jan"/>
    <x v="2"/>
    <n v="0.12345679012345678"/>
    <s v="Q1"/>
    <s v="Thursday"/>
  </r>
  <r>
    <s v="B-25886"/>
    <n v="63"/>
    <n v="1"/>
    <n v="4"/>
    <x v="2"/>
    <x v="14"/>
    <s v="COD"/>
    <d v="2018-11-28T00:00:00"/>
    <x v="135"/>
    <x v="6"/>
    <s v="Udaipur"/>
    <x v="0"/>
    <n v="11"/>
    <s v="Nov"/>
    <x v="4"/>
    <n v="1.5873015873015872E-2"/>
    <s v="Q4"/>
    <s v="Wednesday"/>
  </r>
  <r>
    <s v="B-25833"/>
    <n v="64"/>
    <n v="27"/>
    <n v="5"/>
    <x v="2"/>
    <x v="7"/>
    <s v="UPI"/>
    <d v="2018-10-29T00:00:00"/>
    <x v="280"/>
    <x v="0"/>
    <s v="Indore"/>
    <x v="0"/>
    <n v="10"/>
    <s v="Oct"/>
    <x v="11"/>
    <n v="0.421875"/>
    <s v="Q4"/>
    <s v="Monday"/>
  </r>
  <r>
    <s v="B-25665"/>
    <n v="166"/>
    <n v="-113"/>
    <n v="4"/>
    <x v="0"/>
    <x v="13"/>
    <s v="EMI"/>
    <d v="2018-05-21T00:00:00"/>
    <x v="281"/>
    <x v="10"/>
    <s v="Thiruvananthapuram"/>
    <x v="0"/>
    <n v="5"/>
    <s v="May"/>
    <x v="7"/>
    <n v="-0.68072289156626509"/>
    <s v="Q2"/>
    <s v="Monday"/>
  </r>
  <r>
    <s v="B-25694"/>
    <n v="167"/>
    <n v="43"/>
    <n v="7"/>
    <x v="2"/>
    <x v="14"/>
    <s v="EMI"/>
    <d v="2018-06-18T00:00:00"/>
    <x v="282"/>
    <x v="6"/>
    <s v="Jaipur"/>
    <x v="0"/>
    <n v="6"/>
    <s v="Jun"/>
    <x v="0"/>
    <n v="0.25748502994011974"/>
    <s v="Q2"/>
    <s v="Monday"/>
  </r>
  <r>
    <s v="B-25668"/>
    <n v="123"/>
    <n v="17"/>
    <n v="3"/>
    <x v="1"/>
    <x v="15"/>
    <s v="COD"/>
    <d v="2018-05-24T00:00:00"/>
    <x v="96"/>
    <x v="11"/>
    <s v="Simla"/>
    <x v="0"/>
    <n v="5"/>
    <s v="May"/>
    <x v="7"/>
    <n v="0.13821138211382114"/>
    <s v="Q2"/>
    <s v="Thursday"/>
  </r>
  <r>
    <s v="B-25945"/>
    <n v="63"/>
    <n v="14"/>
    <n v="2"/>
    <x v="2"/>
    <x v="16"/>
    <s v="COD"/>
    <d v="2018-01-11T00:00:00"/>
    <x v="87"/>
    <x v="0"/>
    <s v="Indore"/>
    <x v="0"/>
    <n v="1"/>
    <s v="Jan"/>
    <x v="2"/>
    <n v="0.22222222222222221"/>
    <s v="Q1"/>
    <s v="Thursday"/>
  </r>
  <r>
    <s v="B-25954"/>
    <n v="891"/>
    <n v="0"/>
    <n v="5"/>
    <x v="2"/>
    <x v="6"/>
    <s v="COD"/>
    <d v="2018-01-14T00:00:00"/>
    <x v="225"/>
    <x v="7"/>
    <s v="Ahmedabad"/>
    <x v="0"/>
    <n v="1"/>
    <s v="Jan"/>
    <x v="2"/>
    <n v="0"/>
    <s v="Q1"/>
    <s v="Sunday"/>
  </r>
  <r>
    <s v="B-25818"/>
    <n v="75"/>
    <n v="28"/>
    <n v="9"/>
    <x v="2"/>
    <x v="7"/>
    <s v="UPI"/>
    <d v="2018-10-14T00:00:00"/>
    <x v="146"/>
    <x v="0"/>
    <s v="Indore"/>
    <x v="0"/>
    <n v="10"/>
    <s v="Oct"/>
    <x v="11"/>
    <n v="0.37333333333333335"/>
    <s v="Q4"/>
    <s v="Sunday"/>
  </r>
  <r>
    <s v="B-25861"/>
    <n v="62"/>
    <n v="6"/>
    <n v="5"/>
    <x v="2"/>
    <x v="7"/>
    <s v="COD"/>
    <d v="2018-11-15T00:00:00"/>
    <x v="193"/>
    <x v="1"/>
    <s v="Lucknow"/>
    <x v="0"/>
    <n v="11"/>
    <s v="Nov"/>
    <x v="4"/>
    <n v="9.6774193548387094E-2"/>
    <s v="Q4"/>
    <s v="Thursday"/>
  </r>
  <r>
    <s v="B-25721"/>
    <n v="29"/>
    <n v="-18"/>
    <n v="7"/>
    <x v="2"/>
    <x v="9"/>
    <s v="UPI"/>
    <d v="2018-07-16T00:00:00"/>
    <x v="230"/>
    <x v="15"/>
    <s v="Chandigarh"/>
    <x v="0"/>
    <n v="7"/>
    <s v="Jul"/>
    <x v="9"/>
    <n v="-0.62068965517241381"/>
    <s v="Q3"/>
    <s v="Monday"/>
  </r>
  <r>
    <s v="B-26024"/>
    <n v="168"/>
    <n v="18"/>
    <n v="6"/>
    <x v="2"/>
    <x v="11"/>
    <s v="Debit Card"/>
    <d v="2018-02-19T00:00:00"/>
    <x v="143"/>
    <x v="11"/>
    <s v="Simla"/>
    <x v="0"/>
    <n v="2"/>
    <s v="Feb"/>
    <x v="10"/>
    <n v="0.10714285714285714"/>
    <s v="Q1"/>
    <s v="Monday"/>
  </r>
  <r>
    <s v="B-26056"/>
    <n v="70"/>
    <n v="24"/>
    <n v="3"/>
    <x v="2"/>
    <x v="11"/>
    <s v="UPI"/>
    <d v="2018-03-10T00:00:00"/>
    <x v="156"/>
    <x v="12"/>
    <s v="Patna"/>
    <x v="0"/>
    <n v="3"/>
    <s v="Mar"/>
    <x v="1"/>
    <n v="0.34285714285714286"/>
    <s v="Q1"/>
    <s v="Saturday"/>
  </r>
  <r>
    <s v="B-26050"/>
    <n v="169"/>
    <n v="55"/>
    <n v="4"/>
    <x v="2"/>
    <x v="6"/>
    <s v="Debit Card"/>
    <d v="2018-03-06T00:00:00"/>
    <x v="49"/>
    <x v="6"/>
    <s v="Jaipur"/>
    <x v="0"/>
    <n v="3"/>
    <s v="Mar"/>
    <x v="1"/>
    <n v="0.32544378698224852"/>
    <s v="Q1"/>
    <s v="Tuesday"/>
  </r>
  <r>
    <s v="B-25708"/>
    <n v="32"/>
    <n v="-8"/>
    <n v="2"/>
    <x v="2"/>
    <x v="11"/>
    <s v="COD"/>
    <d v="2018-07-01T00:00:00"/>
    <x v="109"/>
    <x v="0"/>
    <s v="Indore"/>
    <x v="0"/>
    <n v="7"/>
    <s v="Jul"/>
    <x v="9"/>
    <n v="-0.25"/>
    <s v="Q3"/>
    <s v="Sunday"/>
  </r>
  <r>
    <s v="B-25651"/>
    <n v="44"/>
    <n v="-8"/>
    <n v="3"/>
    <x v="2"/>
    <x v="11"/>
    <s v="UPI"/>
    <d v="2018-05-07T00:00:00"/>
    <x v="71"/>
    <x v="0"/>
    <s v="Indore"/>
    <x v="0"/>
    <n v="5"/>
    <s v="May"/>
    <x v="7"/>
    <n v="-0.18181818181818182"/>
    <s v="Q2"/>
    <s v="Monday"/>
  </r>
  <r>
    <s v="B-25616"/>
    <n v="116"/>
    <n v="-56"/>
    <n v="5"/>
    <x v="2"/>
    <x v="11"/>
    <s v="Credit Card"/>
    <d v="2018-04-15T00:00:00"/>
    <x v="72"/>
    <x v="16"/>
    <s v="Goa"/>
    <x v="0"/>
    <n v="4"/>
    <s v="Apr"/>
    <x v="3"/>
    <n v="-0.48275862068965519"/>
    <s v="Q2"/>
    <s v="Sunday"/>
  </r>
  <r>
    <s v="B-25827"/>
    <n v="156"/>
    <n v="21"/>
    <n v="3"/>
    <x v="1"/>
    <x v="1"/>
    <s v="COD"/>
    <d v="2018-10-23T00:00:00"/>
    <x v="26"/>
    <x v="0"/>
    <s v="Indore"/>
    <x v="0"/>
    <n v="10"/>
    <s v="Oct"/>
    <x v="11"/>
    <n v="0.13461538461538461"/>
    <s v="Q4"/>
    <s v="Tuesday"/>
  </r>
  <r>
    <s v="B-25996"/>
    <n v="62"/>
    <n v="6"/>
    <n v="6"/>
    <x v="2"/>
    <x v="9"/>
    <s v="COD"/>
    <d v="2018-02-04T00:00:00"/>
    <x v="126"/>
    <x v="8"/>
    <s v="Delhi"/>
    <x v="0"/>
    <n v="2"/>
    <s v="Feb"/>
    <x v="10"/>
    <n v="9.6774193548387094E-2"/>
    <s v="Q1"/>
    <s v="Sunday"/>
  </r>
  <r>
    <s v="B-25830"/>
    <n v="54"/>
    <n v="1"/>
    <n v="2"/>
    <x v="2"/>
    <x v="6"/>
    <s v="UPI"/>
    <d v="2018-10-26T00:00:00"/>
    <x v="25"/>
    <x v="11"/>
    <s v="Simla"/>
    <x v="0"/>
    <n v="10"/>
    <s v="Oct"/>
    <x v="11"/>
    <n v="1.8518518518518517E-2"/>
    <s v="Q4"/>
    <s v="Friday"/>
  </r>
  <r>
    <s v="B-25951"/>
    <n v="111"/>
    <n v="11"/>
    <n v="9"/>
    <x v="2"/>
    <x v="7"/>
    <s v="Credit Card"/>
    <d v="2018-01-13T00:00:00"/>
    <x v="130"/>
    <x v="17"/>
    <s v="Kolkata"/>
    <x v="0"/>
    <n v="1"/>
    <s v="Jan"/>
    <x v="2"/>
    <n v="9.90990990990991E-2"/>
    <s v="Q1"/>
    <s v="Saturday"/>
  </r>
  <r>
    <s v="B-25713"/>
    <n v="158"/>
    <n v="-63"/>
    <n v="4"/>
    <x v="1"/>
    <x v="1"/>
    <s v="UPI"/>
    <d v="2018-07-08T00:00:00"/>
    <x v="283"/>
    <x v="17"/>
    <s v="Kolkata"/>
    <x v="0"/>
    <n v="7"/>
    <s v="Jul"/>
    <x v="9"/>
    <n v="-0.39873417721518989"/>
    <s v="Q3"/>
    <s v="Sunday"/>
  </r>
  <r>
    <s v="B-25678"/>
    <n v="7"/>
    <n v="-3"/>
    <n v="2"/>
    <x v="2"/>
    <x v="9"/>
    <s v="UPI"/>
    <d v="2018-06-03T00:00:00"/>
    <x v="158"/>
    <x v="3"/>
    <s v="Bangalore"/>
    <x v="0"/>
    <n v="6"/>
    <s v="Jun"/>
    <x v="0"/>
    <n v="-0.42857142857142855"/>
    <s v="Q2"/>
    <s v="Sunday"/>
  </r>
  <r>
    <s v="B-25901"/>
    <n v="61"/>
    <n v="28"/>
    <n v="2"/>
    <x v="2"/>
    <x v="7"/>
    <s v="UPI"/>
    <d v="2018-12-10T00:00:00"/>
    <x v="255"/>
    <x v="7"/>
    <s v="Surat"/>
    <x v="0"/>
    <n v="12"/>
    <s v="Dec"/>
    <x v="5"/>
    <n v="0.45901639344262296"/>
    <s v="Q4"/>
    <s v="Monday"/>
  </r>
  <r>
    <s v="B-25798"/>
    <n v="61"/>
    <n v="-50"/>
    <n v="4"/>
    <x v="2"/>
    <x v="7"/>
    <s v="COD"/>
    <d v="2018-10-01T00:00:00"/>
    <x v="153"/>
    <x v="9"/>
    <s v="Hyderabad"/>
    <x v="0"/>
    <n v="10"/>
    <s v="Oct"/>
    <x v="11"/>
    <n v="-0.81967213114754101"/>
    <s v="Q4"/>
    <s v="Monday"/>
  </r>
  <r>
    <s v="B-25902"/>
    <n v="154"/>
    <n v="26"/>
    <n v="4"/>
    <x v="0"/>
    <x v="13"/>
    <s v="COD"/>
    <d v="2018-12-10T00:00:00"/>
    <x v="215"/>
    <x v="2"/>
    <s v="Mumbai"/>
    <x v="0"/>
    <n v="12"/>
    <s v="Dec"/>
    <x v="5"/>
    <n v="0.16883116883116883"/>
    <s v="Q4"/>
    <s v="Monday"/>
  </r>
  <r>
    <s v="B-25851"/>
    <n v="62"/>
    <n v="1"/>
    <n v="3"/>
    <x v="2"/>
    <x v="6"/>
    <s v="COD"/>
    <d v="2018-11-06T00:00:00"/>
    <x v="9"/>
    <x v="5"/>
    <s v="Kohima"/>
    <x v="0"/>
    <n v="11"/>
    <s v="Nov"/>
    <x v="4"/>
    <n v="1.6129032258064516E-2"/>
    <s v="Q4"/>
    <s v="Tuesday"/>
  </r>
  <r>
    <s v="B-25944"/>
    <n v="169"/>
    <n v="38"/>
    <n v="3"/>
    <x v="2"/>
    <x v="6"/>
    <s v="Debit Card"/>
    <d v="2018-01-10T00:00:00"/>
    <x v="284"/>
    <x v="2"/>
    <s v="Pune"/>
    <x v="0"/>
    <n v="1"/>
    <s v="Jan"/>
    <x v="2"/>
    <n v="0.22485207100591717"/>
    <s v="Q1"/>
    <s v="Wednesday"/>
  </r>
  <r>
    <s v="B-25939"/>
    <n v="61"/>
    <n v="18"/>
    <n v="2"/>
    <x v="0"/>
    <x v="13"/>
    <s v="COD"/>
    <d v="2018-01-05T00:00:00"/>
    <x v="272"/>
    <x v="18"/>
    <s v="Gangtok"/>
    <x v="0"/>
    <n v="1"/>
    <s v="Jan"/>
    <x v="2"/>
    <n v="0.29508196721311475"/>
    <s v="Q1"/>
    <s v="Friday"/>
  </r>
  <r>
    <s v="B-25656"/>
    <n v="61"/>
    <n v="-23"/>
    <n v="2"/>
    <x v="2"/>
    <x v="6"/>
    <s v="COD"/>
    <d v="2018-05-11T00:00:00"/>
    <x v="85"/>
    <x v="2"/>
    <s v="Pune"/>
    <x v="0"/>
    <n v="5"/>
    <s v="May"/>
    <x v="7"/>
    <n v="-0.37704918032786883"/>
    <s v="Q2"/>
    <s v="Friday"/>
  </r>
  <r>
    <s v="B-25695"/>
    <n v="171"/>
    <n v="14"/>
    <n v="9"/>
    <x v="2"/>
    <x v="16"/>
    <s v="Debit Card"/>
    <d v="2018-06-18T00:00:00"/>
    <x v="285"/>
    <x v="17"/>
    <s v="Kolkata"/>
    <x v="0"/>
    <n v="6"/>
    <s v="Jun"/>
    <x v="0"/>
    <n v="8.1871345029239762E-2"/>
    <s v="Q2"/>
    <s v="Monday"/>
  </r>
  <r>
    <s v="B-25781"/>
    <n v="60"/>
    <n v="-49"/>
    <n v="8"/>
    <x v="2"/>
    <x v="7"/>
    <s v="COD"/>
    <d v="2018-09-14T00:00:00"/>
    <x v="196"/>
    <x v="7"/>
    <s v="Ahmedabad"/>
    <x v="0"/>
    <n v="9"/>
    <s v="Sep"/>
    <x v="8"/>
    <n v="-0.81666666666666665"/>
    <s v="Q3"/>
    <s v="Friday"/>
  </r>
  <r>
    <s v="B-25783"/>
    <n v="25"/>
    <n v="-11"/>
    <n v="1"/>
    <x v="2"/>
    <x v="11"/>
    <s v="UPI"/>
    <d v="2018-09-15T00:00:00"/>
    <x v="211"/>
    <x v="0"/>
    <s v="Indore"/>
    <x v="0"/>
    <n v="9"/>
    <s v="Sep"/>
    <x v="8"/>
    <n v="-0.44"/>
    <s v="Q3"/>
    <s v="Saturday"/>
  </r>
  <r>
    <s v="B-25867"/>
    <n v="163"/>
    <n v="26"/>
    <n v="4"/>
    <x v="2"/>
    <x v="16"/>
    <s v="COD"/>
    <d v="2018-11-17T00:00:00"/>
    <x v="138"/>
    <x v="18"/>
    <s v="Gangtok"/>
    <x v="0"/>
    <n v="11"/>
    <s v="Nov"/>
    <x v="4"/>
    <n v="0.15950920245398773"/>
    <s v="Q4"/>
    <s v="Saturday"/>
  </r>
  <r>
    <s v="B-25993"/>
    <n v="173"/>
    <n v="86"/>
    <n v="1"/>
    <x v="0"/>
    <x v="3"/>
    <s v="Debit Card"/>
    <d v="2018-02-03T00:00:00"/>
    <x v="14"/>
    <x v="8"/>
    <s v="Delhi"/>
    <x v="0"/>
    <n v="2"/>
    <s v="Feb"/>
    <x v="10"/>
    <n v="0.49710982658959535"/>
    <s v="Q1"/>
    <s v="Saturday"/>
  </r>
  <r>
    <s v="B-25755"/>
    <n v="257"/>
    <n v="-3"/>
    <n v="2"/>
    <x v="1"/>
    <x v="2"/>
    <s v="UPI"/>
    <d v="2018-08-19T00:00:00"/>
    <x v="40"/>
    <x v="10"/>
    <s v="Thiruvananthapuram"/>
    <x v="0"/>
    <n v="8"/>
    <s v="Aug"/>
    <x v="6"/>
    <n v="-1.1673151750972763E-2"/>
    <s v="Q3"/>
    <s v="Sunday"/>
  </r>
  <r>
    <s v="B-25880"/>
    <n v="108"/>
    <n v="37"/>
    <n v="2"/>
    <x v="2"/>
    <x v="11"/>
    <s v="Credit Card"/>
    <d v="2018-11-24T00:00:00"/>
    <x v="286"/>
    <x v="6"/>
    <s v="Udaipur"/>
    <x v="0"/>
    <n v="11"/>
    <s v="Nov"/>
    <x v="4"/>
    <n v="0.34259259259259262"/>
    <s v="Q4"/>
    <s v="Saturday"/>
  </r>
  <r>
    <s v="B-25941"/>
    <n v="177"/>
    <n v="41"/>
    <n v="4"/>
    <x v="2"/>
    <x v="16"/>
    <s v="Debit Card"/>
    <d v="2018-01-07T00:00:00"/>
    <x v="287"/>
    <x v="5"/>
    <s v="Kohima"/>
    <x v="0"/>
    <n v="1"/>
    <s v="Jan"/>
    <x v="2"/>
    <n v="0.23163841807909605"/>
    <s v="Q1"/>
    <s v="Sunday"/>
  </r>
  <r>
    <s v="B-25757"/>
    <n v="106"/>
    <n v="15"/>
    <n v="7"/>
    <x v="2"/>
    <x v="7"/>
    <s v="Credit Card"/>
    <d v="2018-08-21T00:00:00"/>
    <x v="11"/>
    <x v="0"/>
    <s v="Indore"/>
    <x v="0"/>
    <n v="8"/>
    <s v="Aug"/>
    <x v="6"/>
    <n v="0.14150943396226415"/>
    <s v="Q3"/>
    <s v="Tuesday"/>
  </r>
  <r>
    <s v="B-25754"/>
    <n v="41"/>
    <n v="-14"/>
    <n v="5"/>
    <x v="2"/>
    <x v="12"/>
    <s v="UPI"/>
    <d v="2018-08-18T00:00:00"/>
    <x v="29"/>
    <x v="12"/>
    <s v="Patna"/>
    <x v="0"/>
    <n v="8"/>
    <s v="Aug"/>
    <x v="6"/>
    <n v="-0.34146341463414637"/>
    <s v="Q3"/>
    <s v="Saturday"/>
  </r>
  <r>
    <s v="B-25653"/>
    <n v="168"/>
    <n v="-10"/>
    <n v="3"/>
    <x v="0"/>
    <x v="13"/>
    <s v="UPI"/>
    <d v="2018-05-08T00:00:00"/>
    <x v="80"/>
    <x v="5"/>
    <s v="Kohima"/>
    <x v="0"/>
    <n v="5"/>
    <s v="May"/>
    <x v="7"/>
    <n v="-5.9523809523809521E-2"/>
    <s v="Q2"/>
    <s v="Tuesday"/>
  </r>
  <r>
    <s v="B-25821"/>
    <n v="60"/>
    <n v="21"/>
    <n v="4"/>
    <x v="2"/>
    <x v="11"/>
    <s v="COD"/>
    <d v="2018-10-16T00:00:00"/>
    <x v="84"/>
    <x v="17"/>
    <s v="Kolkata"/>
    <x v="0"/>
    <n v="10"/>
    <s v="Oct"/>
    <x v="11"/>
    <n v="0.35"/>
    <s v="Q4"/>
    <s v="Tuesday"/>
  </r>
  <r>
    <s v="B-25706"/>
    <n v="31"/>
    <n v="-11"/>
    <n v="4"/>
    <x v="2"/>
    <x v="11"/>
    <s v="COD"/>
    <d v="2018-07-01T00:00:00"/>
    <x v="288"/>
    <x v="16"/>
    <s v="Goa"/>
    <x v="0"/>
    <n v="7"/>
    <s v="Jul"/>
    <x v="9"/>
    <n v="-0.35483870967741937"/>
    <s v="Q3"/>
    <s v="Sunday"/>
  </r>
  <r>
    <s v="B-26064"/>
    <n v="179"/>
    <n v="0"/>
    <n v="2"/>
    <x v="2"/>
    <x v="6"/>
    <s v="Debit Card"/>
    <d v="2018-03-16T00:00:00"/>
    <x v="167"/>
    <x v="2"/>
    <s v="Mumbai"/>
    <x v="0"/>
    <n v="3"/>
    <s v="Mar"/>
    <x v="1"/>
    <n v="0"/>
    <s v="Q1"/>
    <s v="Friday"/>
  </r>
  <r>
    <s v="B-25803"/>
    <n v="106"/>
    <n v="12"/>
    <n v="3"/>
    <x v="2"/>
    <x v="5"/>
    <s v="Credit Card"/>
    <d v="2018-10-05T00:00:00"/>
    <x v="125"/>
    <x v="0"/>
    <s v="Indore"/>
    <x v="0"/>
    <n v="10"/>
    <s v="Oct"/>
    <x v="11"/>
    <n v="0.11320754716981132"/>
    <s v="Q4"/>
    <s v="Friday"/>
  </r>
  <r>
    <s v="B-26076"/>
    <n v="60"/>
    <n v="13"/>
    <n v="2"/>
    <x v="2"/>
    <x v="14"/>
    <s v="COD"/>
    <d v="2018-03-21T00:00:00"/>
    <x v="106"/>
    <x v="0"/>
    <s v="Bhopal"/>
    <x v="0"/>
    <n v="3"/>
    <s v="Mar"/>
    <x v="1"/>
    <n v="0.21666666666666667"/>
    <s v="Q1"/>
    <s v="Wednesday"/>
  </r>
  <r>
    <s v="B-25603"/>
    <n v="180"/>
    <n v="5"/>
    <n v="3"/>
    <x v="2"/>
    <x v="5"/>
    <s v="Debit Card"/>
    <d v="2018-04-03T00:00:00"/>
    <x v="106"/>
    <x v="0"/>
    <s v="Bhopal"/>
    <x v="0"/>
    <n v="4"/>
    <s v="Apr"/>
    <x v="3"/>
    <n v="2.7777777777777776E-2"/>
    <s v="Q2"/>
    <s v="Tuesday"/>
  </r>
  <r>
    <s v="B-25903"/>
    <n v="60"/>
    <n v="-10"/>
    <n v="2"/>
    <x v="1"/>
    <x v="15"/>
    <s v="COD"/>
    <d v="2018-12-10T00:00:00"/>
    <x v="94"/>
    <x v="0"/>
    <s v="Indore"/>
    <x v="0"/>
    <n v="12"/>
    <s v="Dec"/>
    <x v="5"/>
    <n v="-0.16666666666666666"/>
    <s v="Q4"/>
    <s v="Monday"/>
  </r>
  <r>
    <s v="B-25938"/>
    <n v="59"/>
    <n v="25"/>
    <n v="3"/>
    <x v="2"/>
    <x v="11"/>
    <s v="COD"/>
    <d v="2018-01-05T00:00:00"/>
    <x v="161"/>
    <x v="11"/>
    <s v="Simla"/>
    <x v="0"/>
    <n v="1"/>
    <s v="Jan"/>
    <x v="2"/>
    <n v="0.42372881355932202"/>
    <s v="Q1"/>
    <s v="Friday"/>
  </r>
  <r>
    <s v="B-25868"/>
    <n v="170"/>
    <n v="73"/>
    <n v="2"/>
    <x v="0"/>
    <x v="13"/>
    <s v="UPI"/>
    <d v="2018-11-18T00:00:00"/>
    <x v="52"/>
    <x v="16"/>
    <s v="Goa"/>
    <x v="0"/>
    <n v="11"/>
    <s v="Nov"/>
    <x v="4"/>
    <n v="0.42941176470588233"/>
    <s v="Q4"/>
    <s v="Sunday"/>
  </r>
  <r>
    <s v="B-25956"/>
    <n v="59"/>
    <n v="10"/>
    <n v="2"/>
    <x v="2"/>
    <x v="7"/>
    <s v="COD"/>
    <d v="2018-01-17T00:00:00"/>
    <x v="74"/>
    <x v="2"/>
    <s v="Mumbai"/>
    <x v="0"/>
    <n v="1"/>
    <s v="Jan"/>
    <x v="2"/>
    <n v="0.16949152542372881"/>
    <s v="Q1"/>
    <s v="Wednesday"/>
  </r>
  <r>
    <s v="B-25652"/>
    <n v="24"/>
    <n v="-21"/>
    <n v="7"/>
    <x v="2"/>
    <x v="9"/>
    <s v="COD"/>
    <d v="2018-05-08T00:00:00"/>
    <x v="97"/>
    <x v="16"/>
    <s v="Goa"/>
    <x v="0"/>
    <n v="5"/>
    <s v="May"/>
    <x v="7"/>
    <n v="-0.875"/>
    <s v="Q2"/>
    <s v="Tuesday"/>
  </r>
  <r>
    <s v="B-25883"/>
    <n v="105"/>
    <n v="-26"/>
    <n v="8"/>
    <x v="2"/>
    <x v="12"/>
    <s v="Credit Card"/>
    <d v="2018-11-27T00:00:00"/>
    <x v="33"/>
    <x v="7"/>
    <s v="Surat"/>
    <x v="0"/>
    <n v="11"/>
    <s v="Nov"/>
    <x v="4"/>
    <n v="-0.24761904761904763"/>
    <s v="Q4"/>
    <s v="Tuesday"/>
  </r>
  <r>
    <s v="B-26096"/>
    <n v="103"/>
    <n v="46"/>
    <n v="2"/>
    <x v="2"/>
    <x v="6"/>
    <s v="Credit Card"/>
    <d v="2018-03-28T00:00:00"/>
    <x v="86"/>
    <x v="17"/>
    <s v="Kolkata"/>
    <x v="0"/>
    <n v="3"/>
    <s v="Mar"/>
    <x v="1"/>
    <n v="0.44660194174757284"/>
    <s v="Q1"/>
    <s v="Wednesday"/>
  </r>
  <r>
    <s v="B-25969"/>
    <n v="171"/>
    <n v="17"/>
    <n v="6"/>
    <x v="2"/>
    <x v="14"/>
    <s v="UPI"/>
    <d v="2018-01-21T00:00:00"/>
    <x v="289"/>
    <x v="7"/>
    <s v="Surat"/>
    <x v="0"/>
    <n v="1"/>
    <s v="Jan"/>
    <x v="2"/>
    <n v="9.9415204678362568E-2"/>
    <s v="Q1"/>
    <s v="Sunday"/>
  </r>
  <r>
    <s v="B-25951"/>
    <n v="102"/>
    <n v="13"/>
    <n v="2"/>
    <x v="2"/>
    <x v="11"/>
    <s v="Credit Card"/>
    <d v="2018-01-13T00:00:00"/>
    <x v="130"/>
    <x v="17"/>
    <s v="Kolkata"/>
    <x v="0"/>
    <n v="1"/>
    <s v="Jan"/>
    <x v="2"/>
    <n v="0.12745098039215685"/>
    <s v="Q1"/>
    <s v="Saturday"/>
  </r>
  <r>
    <s v="B-25855"/>
    <n v="98"/>
    <n v="12"/>
    <n v="2"/>
    <x v="2"/>
    <x v="7"/>
    <s v="Credit Card"/>
    <d v="2018-11-08T00:00:00"/>
    <x v="124"/>
    <x v="0"/>
    <s v="Bhopal"/>
    <x v="0"/>
    <n v="11"/>
    <s v="Nov"/>
    <x v="4"/>
    <n v="0.12244897959183673"/>
    <s v="Q4"/>
    <s v="Thursday"/>
  </r>
  <r>
    <s v="B-26091"/>
    <n v="59"/>
    <n v="10"/>
    <n v="4"/>
    <x v="2"/>
    <x v="12"/>
    <s v="COD"/>
    <d v="2018-03-27T00:00:00"/>
    <x v="38"/>
    <x v="9"/>
    <s v="Hyderabad"/>
    <x v="0"/>
    <n v="3"/>
    <s v="Mar"/>
    <x v="1"/>
    <n v="0.16949152542372881"/>
    <s v="Q1"/>
    <s v="Tuesday"/>
  </r>
  <r>
    <s v="B-25954"/>
    <n v="189"/>
    <n v="60"/>
    <n v="4"/>
    <x v="1"/>
    <x v="15"/>
    <s v="Debit Card"/>
    <d v="2018-01-14T00:00:00"/>
    <x v="225"/>
    <x v="7"/>
    <s v="Ahmedabad"/>
    <x v="0"/>
    <n v="1"/>
    <s v="Jan"/>
    <x v="2"/>
    <n v="0.31746031746031744"/>
    <s v="Q1"/>
    <s v="Sunday"/>
  </r>
  <r>
    <s v="B-25763"/>
    <n v="58"/>
    <n v="-52"/>
    <n v="3"/>
    <x v="1"/>
    <x v="1"/>
    <s v="COD"/>
    <d v="2018-08-27T00:00:00"/>
    <x v="290"/>
    <x v="7"/>
    <s v="Ahmedabad"/>
    <x v="0"/>
    <n v="8"/>
    <s v="Aug"/>
    <x v="6"/>
    <n v="-0.89655172413793105"/>
    <s v="Q3"/>
    <s v="Monday"/>
  </r>
  <r>
    <s v="B-25945"/>
    <n v="60"/>
    <n v="3"/>
    <n v="3"/>
    <x v="2"/>
    <x v="6"/>
    <s v="UPI"/>
    <d v="2018-01-11T00:00:00"/>
    <x v="87"/>
    <x v="0"/>
    <s v="Indore"/>
    <x v="0"/>
    <n v="1"/>
    <s v="Jan"/>
    <x v="2"/>
    <n v="0.05"/>
    <s v="Q1"/>
    <s v="Thursday"/>
  </r>
  <r>
    <s v="B-25740"/>
    <n v="58"/>
    <n v="-8"/>
    <n v="2"/>
    <x v="2"/>
    <x v="6"/>
    <s v="COD"/>
    <d v="2018-08-03T00:00:00"/>
    <x v="291"/>
    <x v="2"/>
    <s v="Mumbai"/>
    <x v="0"/>
    <n v="8"/>
    <s v="Aug"/>
    <x v="6"/>
    <n v="-0.13793103448275862"/>
    <s v="Q3"/>
    <s v="Friday"/>
  </r>
  <r>
    <s v="B-25818"/>
    <n v="94"/>
    <n v="20"/>
    <n v="2"/>
    <x v="1"/>
    <x v="15"/>
    <s v="UPI"/>
    <d v="2018-10-14T00:00:00"/>
    <x v="146"/>
    <x v="0"/>
    <s v="Indore"/>
    <x v="0"/>
    <n v="10"/>
    <s v="Oct"/>
    <x v="11"/>
    <n v="0.21276595744680851"/>
    <s v="Q4"/>
    <s v="Sunday"/>
  </r>
  <r>
    <s v="B-25603"/>
    <n v="193"/>
    <n v="-166"/>
    <n v="3"/>
    <x v="2"/>
    <x v="6"/>
    <s v="EMI"/>
    <d v="2018-04-03T00:00:00"/>
    <x v="106"/>
    <x v="0"/>
    <s v="Bhopal"/>
    <x v="0"/>
    <n v="4"/>
    <s v="Apr"/>
    <x v="3"/>
    <n v="-0.86010362694300513"/>
    <s v="Q2"/>
    <s v="Tuesday"/>
  </r>
  <r>
    <s v="B-25964"/>
    <n v="199"/>
    <n v="0"/>
    <n v="4"/>
    <x v="2"/>
    <x v="11"/>
    <s v="EMI"/>
    <d v="2018-01-20T00:00:00"/>
    <x v="169"/>
    <x v="2"/>
    <s v="Pune"/>
    <x v="0"/>
    <n v="1"/>
    <s v="Jan"/>
    <x v="2"/>
    <n v="0"/>
    <s v="Q1"/>
    <s v="Saturday"/>
  </r>
  <r>
    <s v="B-25930"/>
    <n v="202"/>
    <n v="89"/>
    <n v="9"/>
    <x v="2"/>
    <x v="14"/>
    <s v="EMI"/>
    <d v="2018-01-03T00:00:00"/>
    <x v="120"/>
    <x v="13"/>
    <s v="Chandigarh"/>
    <x v="0"/>
    <n v="1"/>
    <s v="Jan"/>
    <x v="2"/>
    <n v="0.4405940594059406"/>
    <s v="Q1"/>
    <s v="Wednesday"/>
  </r>
  <r>
    <s v="B-25930"/>
    <n v="58"/>
    <n v="17"/>
    <n v="2"/>
    <x v="2"/>
    <x v="7"/>
    <s v="COD"/>
    <d v="2018-01-03T00:00:00"/>
    <x v="120"/>
    <x v="13"/>
    <s v="Chandigarh"/>
    <x v="0"/>
    <n v="1"/>
    <s v="Jan"/>
    <x v="2"/>
    <n v="0.29310344827586204"/>
    <s v="Q1"/>
    <s v="Wednesday"/>
  </r>
  <r>
    <s v="B-25879"/>
    <n v="57"/>
    <n v="-28"/>
    <n v="2"/>
    <x v="2"/>
    <x v="8"/>
    <s v="COD"/>
    <d v="2018-11-24T00:00:00"/>
    <x v="216"/>
    <x v="0"/>
    <s v="Indore"/>
    <x v="0"/>
    <n v="11"/>
    <s v="Nov"/>
    <x v="4"/>
    <n v="-0.49122807017543857"/>
    <s v="Q4"/>
    <s v="Saturday"/>
  </r>
  <r>
    <s v="B-25903"/>
    <n v="204"/>
    <n v="-94"/>
    <n v="4"/>
    <x v="2"/>
    <x v="7"/>
    <s v="EMI"/>
    <d v="2018-12-10T00:00:00"/>
    <x v="94"/>
    <x v="0"/>
    <s v="Indore"/>
    <x v="0"/>
    <n v="12"/>
    <s v="Dec"/>
    <x v="5"/>
    <n v="-0.46078431372549017"/>
    <s v="Q4"/>
    <s v="Monday"/>
  </r>
  <r>
    <s v="B-25614"/>
    <n v="98"/>
    <n v="-12"/>
    <n v="2"/>
    <x v="0"/>
    <x v="0"/>
    <s v="Credit Card"/>
    <d v="2018-04-13T00:00:00"/>
    <x v="143"/>
    <x v="11"/>
    <s v="Simla"/>
    <x v="0"/>
    <n v="4"/>
    <s v="Apr"/>
    <x v="3"/>
    <n v="-0.12244897959183673"/>
    <s v="Q2"/>
    <s v="Friday"/>
  </r>
  <r>
    <s v="B-25750"/>
    <n v="22"/>
    <n v="-12"/>
    <n v="3"/>
    <x v="2"/>
    <x v="11"/>
    <s v="COD"/>
    <d v="2018-08-14T00:00:00"/>
    <x v="100"/>
    <x v="0"/>
    <s v="Indore"/>
    <x v="0"/>
    <n v="8"/>
    <s v="Aug"/>
    <x v="6"/>
    <n v="-0.54545454545454541"/>
    <s v="Q3"/>
    <s v="Tuesday"/>
  </r>
  <r>
    <s v="B-25852"/>
    <n v="97"/>
    <n v="17"/>
    <n v="2"/>
    <x v="2"/>
    <x v="11"/>
    <s v="Credit Card"/>
    <d v="2018-11-07T00:00:00"/>
    <x v="78"/>
    <x v="9"/>
    <s v="Hyderabad"/>
    <x v="0"/>
    <n v="11"/>
    <s v="Nov"/>
    <x v="4"/>
    <n v="0.17525773195876287"/>
    <s v="Q4"/>
    <s v="Wednesday"/>
  </r>
  <r>
    <s v="B-26008"/>
    <n v="57"/>
    <n v="24"/>
    <n v="5"/>
    <x v="2"/>
    <x v="12"/>
    <s v="COD"/>
    <d v="2018-02-09T00:00:00"/>
    <x v="226"/>
    <x v="14"/>
    <s v="Chennai"/>
    <x v="0"/>
    <n v="2"/>
    <s v="Feb"/>
    <x v="10"/>
    <n v="0.42105263157894735"/>
    <s v="Q1"/>
    <s v="Friday"/>
  </r>
  <r>
    <s v="B-26092"/>
    <n v="97"/>
    <n v="14"/>
    <n v="2"/>
    <x v="2"/>
    <x v="14"/>
    <s v="Credit Card"/>
    <d v="2018-03-27T00:00:00"/>
    <x v="112"/>
    <x v="7"/>
    <s v="Ahmedabad"/>
    <x v="0"/>
    <n v="3"/>
    <s v="Mar"/>
    <x v="1"/>
    <n v="0.14432989690721648"/>
    <s v="Q1"/>
    <s v="Tuesday"/>
  </r>
  <r>
    <s v="B-25689"/>
    <n v="97"/>
    <n v="17"/>
    <n v="2"/>
    <x v="2"/>
    <x v="11"/>
    <s v="Credit Card"/>
    <d v="2018-06-14T00:00:00"/>
    <x v="149"/>
    <x v="2"/>
    <s v="Mumbai"/>
    <x v="0"/>
    <n v="6"/>
    <s v="Jun"/>
    <x v="0"/>
    <n v="0.17525773195876287"/>
    <s v="Q2"/>
    <s v="Thursday"/>
  </r>
  <r>
    <s v="B-25730"/>
    <n v="96"/>
    <n v="22"/>
    <n v="5"/>
    <x v="2"/>
    <x v="11"/>
    <s v="Credit Card"/>
    <d v="2018-07-22T00:00:00"/>
    <x v="83"/>
    <x v="6"/>
    <s v="Jaipur"/>
    <x v="0"/>
    <n v="7"/>
    <s v="Jul"/>
    <x v="9"/>
    <n v="0.22916666666666666"/>
    <s v="Q3"/>
    <s v="Sunday"/>
  </r>
  <r>
    <s v="B-25885"/>
    <n v="94"/>
    <n v="27"/>
    <n v="2"/>
    <x v="2"/>
    <x v="16"/>
    <s v="Credit Card"/>
    <d v="2018-11-28T00:00:00"/>
    <x v="103"/>
    <x v="0"/>
    <s v="Indore"/>
    <x v="0"/>
    <n v="11"/>
    <s v="Nov"/>
    <x v="4"/>
    <n v="0.28723404255319152"/>
    <s v="Q4"/>
    <s v="Wednesday"/>
  </r>
  <r>
    <s v="B-25999"/>
    <n v="26"/>
    <n v="-17"/>
    <n v="1"/>
    <x v="2"/>
    <x v="11"/>
    <s v="COD"/>
    <d v="2018-02-05T00:00:00"/>
    <x v="207"/>
    <x v="8"/>
    <s v="Delhi"/>
    <x v="0"/>
    <n v="2"/>
    <s v="Feb"/>
    <x v="10"/>
    <n v="-0.65384615384615385"/>
    <s v="Q1"/>
    <s v="Monday"/>
  </r>
  <r>
    <s v="B-26011"/>
    <n v="93"/>
    <n v="44"/>
    <n v="2"/>
    <x v="2"/>
    <x v="11"/>
    <s v="Credit Card"/>
    <d v="2018-02-12T00:00:00"/>
    <x v="234"/>
    <x v="7"/>
    <s v="Ahmedabad"/>
    <x v="0"/>
    <n v="2"/>
    <s v="Feb"/>
    <x v="10"/>
    <n v="0.4731182795698925"/>
    <s v="Q1"/>
    <s v="Monday"/>
  </r>
  <r>
    <s v="B-25754"/>
    <n v="93"/>
    <n v="-65"/>
    <n v="4"/>
    <x v="2"/>
    <x v="11"/>
    <s v="Credit Card"/>
    <d v="2018-08-18T00:00:00"/>
    <x v="29"/>
    <x v="12"/>
    <s v="Patna"/>
    <x v="0"/>
    <n v="8"/>
    <s v="Aug"/>
    <x v="6"/>
    <n v="-0.69892473118279574"/>
    <s v="Q3"/>
    <s v="Saturday"/>
  </r>
  <r>
    <s v="B-26030"/>
    <n v="92"/>
    <n v="5"/>
    <n v="6"/>
    <x v="2"/>
    <x v="7"/>
    <s v="Credit Card"/>
    <d v="2018-02-21T00:00:00"/>
    <x v="3"/>
    <x v="2"/>
    <s v="Pune"/>
    <x v="0"/>
    <n v="2"/>
    <s v="Feb"/>
    <x v="10"/>
    <n v="5.434782608695652E-2"/>
    <s v="Q1"/>
    <s v="Wednesday"/>
  </r>
  <r>
    <s v="B-25851"/>
    <n v="57"/>
    <n v="27"/>
    <n v="2"/>
    <x v="2"/>
    <x v="14"/>
    <s v="COD"/>
    <d v="2018-11-06T00:00:00"/>
    <x v="9"/>
    <x v="5"/>
    <s v="Kohima"/>
    <x v="0"/>
    <n v="11"/>
    <s v="Nov"/>
    <x v="4"/>
    <n v="0.47368421052631576"/>
    <s v="Q4"/>
    <s v="Tuesday"/>
  </r>
  <r>
    <s v="B-25870"/>
    <n v="57"/>
    <n v="7"/>
    <n v="3"/>
    <x v="1"/>
    <x v="15"/>
    <s v="COD"/>
    <d v="2018-11-20T00:00:00"/>
    <x v="123"/>
    <x v="9"/>
    <s v="Hyderabad"/>
    <x v="0"/>
    <n v="11"/>
    <s v="Nov"/>
    <x v="4"/>
    <n v="0.12280701754385964"/>
    <s v="Q4"/>
    <s v="Tuesday"/>
  </r>
  <r>
    <s v="B-26074"/>
    <n v="57"/>
    <n v="21"/>
    <n v="4"/>
    <x v="2"/>
    <x v="12"/>
    <s v="COD"/>
    <d v="2018-03-21T00:00:00"/>
    <x v="234"/>
    <x v="7"/>
    <s v="Ahmedabad"/>
    <x v="0"/>
    <n v="3"/>
    <s v="Mar"/>
    <x v="1"/>
    <n v="0.36842105263157893"/>
    <s v="Q1"/>
    <s v="Wednesday"/>
  </r>
  <r>
    <s v="B-25861"/>
    <n v="128"/>
    <n v="4"/>
    <n v="3"/>
    <x v="2"/>
    <x v="6"/>
    <s v="COD"/>
    <d v="2018-11-15T00:00:00"/>
    <x v="193"/>
    <x v="1"/>
    <s v="Lucknow"/>
    <x v="0"/>
    <n v="11"/>
    <s v="Nov"/>
    <x v="4"/>
    <n v="3.125E-2"/>
    <s v="Q4"/>
    <s v="Thursday"/>
  </r>
  <r>
    <s v="B-25797"/>
    <n v="89"/>
    <n v="-4"/>
    <n v="5"/>
    <x v="2"/>
    <x v="6"/>
    <s v="Credit Card"/>
    <d v="2018-09-30T00:00:00"/>
    <x v="37"/>
    <x v="0"/>
    <s v="Indore"/>
    <x v="0"/>
    <n v="9"/>
    <s v="Sep"/>
    <x v="8"/>
    <n v="-4.49438202247191E-2"/>
    <s v="Q3"/>
    <s v="Sunday"/>
  </r>
  <r>
    <s v="B-25993"/>
    <n v="221"/>
    <n v="26"/>
    <n v="7"/>
    <x v="1"/>
    <x v="15"/>
    <s v="COD"/>
    <d v="2018-02-03T00:00:00"/>
    <x v="14"/>
    <x v="8"/>
    <s v="Delhi"/>
    <x v="0"/>
    <n v="2"/>
    <s v="Feb"/>
    <x v="10"/>
    <n v="0.11764705882352941"/>
    <s v="Q1"/>
    <s v="Saturday"/>
  </r>
  <r>
    <s v="B-25799"/>
    <n v="205"/>
    <n v="-119"/>
    <n v="3"/>
    <x v="2"/>
    <x v="6"/>
    <s v="Debit Card"/>
    <d v="2018-10-01T00:00:00"/>
    <x v="194"/>
    <x v="7"/>
    <s v="Ahmedabad"/>
    <x v="0"/>
    <n v="10"/>
    <s v="Oct"/>
    <x v="11"/>
    <n v="-0.58048780487804874"/>
    <s v="Q4"/>
    <s v="Monday"/>
  </r>
  <r>
    <s v="B-25721"/>
    <n v="191"/>
    <n v="51"/>
    <n v="5"/>
    <x v="2"/>
    <x v="16"/>
    <s v="UPI"/>
    <d v="2018-07-16T00:00:00"/>
    <x v="230"/>
    <x v="15"/>
    <s v="Chandigarh"/>
    <x v="0"/>
    <n v="7"/>
    <s v="Jul"/>
    <x v="9"/>
    <n v="0.26701570680628273"/>
    <s v="Q3"/>
    <s v="Monday"/>
  </r>
  <r>
    <s v="B-26056"/>
    <n v="206"/>
    <n v="18"/>
    <n v="4"/>
    <x v="2"/>
    <x v="7"/>
    <s v="Debit Card"/>
    <d v="2018-03-10T00:00:00"/>
    <x v="156"/>
    <x v="12"/>
    <s v="Patna"/>
    <x v="0"/>
    <n v="3"/>
    <s v="Mar"/>
    <x v="1"/>
    <n v="8.7378640776699032E-2"/>
    <s v="Q1"/>
    <s v="Saturday"/>
  </r>
  <r>
    <s v="B-25743"/>
    <n v="56"/>
    <n v="0"/>
    <n v="4"/>
    <x v="2"/>
    <x v="7"/>
    <s v="COD"/>
    <d v="2018-08-07T00:00:00"/>
    <x v="140"/>
    <x v="5"/>
    <s v="Kohima"/>
    <x v="0"/>
    <n v="8"/>
    <s v="Aug"/>
    <x v="6"/>
    <n v="0"/>
    <s v="Q3"/>
    <s v="Tuesday"/>
  </r>
  <r>
    <s v="B-25854"/>
    <n v="88"/>
    <n v="16"/>
    <n v="4"/>
    <x v="2"/>
    <x v="11"/>
    <s v="Credit Card"/>
    <d v="2018-11-08T00:00:00"/>
    <x v="141"/>
    <x v="2"/>
    <s v="Pune"/>
    <x v="0"/>
    <n v="11"/>
    <s v="Nov"/>
    <x v="4"/>
    <n v="0.18181818181818182"/>
    <s v="Q4"/>
    <s v="Thursday"/>
  </r>
  <r>
    <s v="B-25748"/>
    <n v="224"/>
    <n v="58"/>
    <n v="3"/>
    <x v="0"/>
    <x v="4"/>
    <s v="UPI"/>
    <d v="2018-08-12T00:00:00"/>
    <x v="223"/>
    <x v="6"/>
    <s v="Jaipur"/>
    <x v="0"/>
    <n v="8"/>
    <s v="Aug"/>
    <x v="6"/>
    <n v="0.25892857142857145"/>
    <s v="Q3"/>
    <s v="Sunday"/>
  </r>
  <r>
    <s v="B-25976"/>
    <n v="193"/>
    <n v="8"/>
    <n v="4"/>
    <x v="2"/>
    <x v="14"/>
    <s v="UPI"/>
    <d v="2018-01-25T00:00:00"/>
    <x v="292"/>
    <x v="13"/>
    <s v="Amritsar"/>
    <x v="0"/>
    <n v="1"/>
    <s v="Jan"/>
    <x v="2"/>
    <n v="4.145077720207254E-2"/>
    <s v="Q1"/>
    <s v="Thursday"/>
  </r>
  <r>
    <s v="B-25953"/>
    <n v="87"/>
    <n v="36"/>
    <n v="5"/>
    <x v="2"/>
    <x v="11"/>
    <s v="Credit Card"/>
    <d v="2018-01-14T00:00:00"/>
    <x v="93"/>
    <x v="9"/>
    <s v="Hyderabad"/>
    <x v="0"/>
    <n v="1"/>
    <s v="Jan"/>
    <x v="2"/>
    <n v="0.41379310344827586"/>
    <s v="Q1"/>
    <s v="Sunday"/>
  </r>
  <r>
    <s v="B-25996"/>
    <n v="189"/>
    <n v="4"/>
    <n v="1"/>
    <x v="2"/>
    <x v="6"/>
    <s v="UPI"/>
    <d v="2018-02-04T00:00:00"/>
    <x v="126"/>
    <x v="8"/>
    <s v="Delhi"/>
    <x v="0"/>
    <n v="2"/>
    <s v="Feb"/>
    <x v="10"/>
    <n v="2.1164021164021163E-2"/>
    <s v="Q1"/>
    <s v="Sunday"/>
  </r>
  <r>
    <s v="B-25717"/>
    <n v="55"/>
    <n v="-33"/>
    <n v="2"/>
    <x v="1"/>
    <x v="1"/>
    <s v="COD"/>
    <d v="2018-07-12T00:00:00"/>
    <x v="166"/>
    <x v="1"/>
    <s v="Lucknow"/>
    <x v="0"/>
    <n v="7"/>
    <s v="Jul"/>
    <x v="9"/>
    <n v="-0.6"/>
    <s v="Q3"/>
    <s v="Thursday"/>
  </r>
  <r>
    <s v="B-25865"/>
    <n v="85"/>
    <n v="-1"/>
    <n v="3"/>
    <x v="2"/>
    <x v="6"/>
    <s v="Credit Card"/>
    <d v="2018-11-15T00:00:00"/>
    <x v="293"/>
    <x v="0"/>
    <s v="Indore"/>
    <x v="0"/>
    <n v="11"/>
    <s v="Nov"/>
    <x v="4"/>
    <n v="-1.1764705882352941E-2"/>
    <s v="Q4"/>
    <s v="Thursday"/>
  </r>
  <r>
    <s v="B-25959"/>
    <n v="252"/>
    <n v="56"/>
    <n v="2"/>
    <x v="0"/>
    <x v="4"/>
    <s v="UPI"/>
    <d v="2018-01-18T00:00:00"/>
    <x v="113"/>
    <x v="0"/>
    <s v="Indore"/>
    <x v="0"/>
    <n v="1"/>
    <s v="Jan"/>
    <x v="2"/>
    <n v="0.22222222222222221"/>
    <s v="Q1"/>
    <s v="Thursday"/>
  </r>
  <r>
    <s v="B-25855"/>
    <n v="197"/>
    <n v="73"/>
    <n v="1"/>
    <x v="1"/>
    <x v="2"/>
    <s v="COD"/>
    <d v="2018-11-08T00:00:00"/>
    <x v="124"/>
    <x v="0"/>
    <s v="Bhopal"/>
    <x v="0"/>
    <n v="11"/>
    <s v="Nov"/>
    <x v="4"/>
    <n v="0.37055837563451777"/>
    <s v="Q4"/>
    <s v="Thursday"/>
  </r>
  <r>
    <s v="B-25703"/>
    <n v="17"/>
    <n v="-3"/>
    <n v="2"/>
    <x v="2"/>
    <x v="11"/>
    <s v="UPI"/>
    <d v="2018-06-28T00:00:00"/>
    <x v="10"/>
    <x v="0"/>
    <s v="Indore"/>
    <x v="0"/>
    <n v="6"/>
    <s v="Jun"/>
    <x v="0"/>
    <n v="-0.17647058823529413"/>
    <s v="Q2"/>
    <s v="Thursday"/>
  </r>
  <r>
    <s v="B-26049"/>
    <n v="100"/>
    <n v="28"/>
    <n v="2"/>
    <x v="2"/>
    <x v="7"/>
    <s v="UPI"/>
    <d v="2018-03-05T00:00:00"/>
    <x v="294"/>
    <x v="0"/>
    <s v="Bhopal"/>
    <x v="0"/>
    <n v="3"/>
    <s v="Mar"/>
    <x v="1"/>
    <n v="0.28000000000000003"/>
    <s v="Q1"/>
    <s v="Monday"/>
  </r>
  <r>
    <s v="B-25755"/>
    <n v="80"/>
    <n v="-19"/>
    <n v="5"/>
    <x v="2"/>
    <x v="11"/>
    <s v="UPI"/>
    <d v="2018-08-19T00:00:00"/>
    <x v="40"/>
    <x v="10"/>
    <s v="Thiruvananthapuram"/>
    <x v="0"/>
    <n v="8"/>
    <s v="Aug"/>
    <x v="6"/>
    <n v="-0.23749999999999999"/>
    <s v="Q3"/>
    <s v="Sunday"/>
  </r>
  <r>
    <s v="B-26070"/>
    <n v="75"/>
    <n v="29"/>
    <n v="1"/>
    <x v="2"/>
    <x v="5"/>
    <s v="UPI"/>
    <d v="2018-03-18T00:00:00"/>
    <x v="21"/>
    <x v="3"/>
    <s v="Bangalore"/>
    <x v="0"/>
    <n v="3"/>
    <s v="Mar"/>
    <x v="1"/>
    <n v="0.38666666666666666"/>
    <s v="Q1"/>
    <s v="Sunday"/>
  </r>
  <r>
    <s v="B-25755"/>
    <n v="26"/>
    <n v="4"/>
    <n v="2"/>
    <x v="2"/>
    <x v="6"/>
    <s v="UPI"/>
    <d v="2018-08-19T00:00:00"/>
    <x v="40"/>
    <x v="10"/>
    <s v="Thiruvananthapuram"/>
    <x v="0"/>
    <n v="8"/>
    <s v="Aug"/>
    <x v="6"/>
    <n v="0.15384615384615385"/>
    <s v="Q3"/>
    <s v="Sunday"/>
  </r>
  <r>
    <s v="B-26047"/>
    <n v="55"/>
    <n v="12"/>
    <n v="5"/>
    <x v="2"/>
    <x v="9"/>
    <s v="COD"/>
    <d v="2018-03-04T00:00:00"/>
    <x v="260"/>
    <x v="0"/>
    <s v="Indore"/>
    <x v="0"/>
    <n v="3"/>
    <s v="Mar"/>
    <x v="1"/>
    <n v="0.21818181818181817"/>
    <s v="Q1"/>
    <s v="Sunday"/>
  </r>
  <r>
    <s v="B-25604"/>
    <n v="157"/>
    <n v="5"/>
    <n v="9"/>
    <x v="2"/>
    <x v="6"/>
    <s v="UPI"/>
    <d v="2018-04-03T00:00:00"/>
    <x v="187"/>
    <x v="6"/>
    <s v="Jaipur"/>
    <x v="0"/>
    <n v="4"/>
    <s v="Apr"/>
    <x v="3"/>
    <n v="3.1847133757961783E-2"/>
    <s v="Q2"/>
    <s v="Tuesday"/>
  </r>
  <r>
    <s v="B-25651"/>
    <n v="200"/>
    <n v="-60"/>
    <n v="4"/>
    <x v="1"/>
    <x v="2"/>
    <s v="UPI"/>
    <d v="2018-05-07T00:00:00"/>
    <x v="71"/>
    <x v="0"/>
    <s v="Indore"/>
    <x v="0"/>
    <n v="5"/>
    <s v="May"/>
    <x v="7"/>
    <n v="-0.3"/>
    <s v="Q2"/>
    <s v="Monday"/>
  </r>
  <r>
    <s v="B-25983"/>
    <n v="230"/>
    <n v="5"/>
    <n v="2"/>
    <x v="2"/>
    <x v="6"/>
    <s v="UPI"/>
    <d v="2018-01-30T00:00:00"/>
    <x v="164"/>
    <x v="8"/>
    <s v="Delhi"/>
    <x v="0"/>
    <n v="1"/>
    <s v="Jan"/>
    <x v="2"/>
    <n v="2.1739130434782608E-2"/>
    <s v="Q1"/>
    <s v="Tuesday"/>
  </r>
  <r>
    <s v="B-26056"/>
    <n v="213"/>
    <n v="-145"/>
    <n v="3"/>
    <x v="1"/>
    <x v="2"/>
    <s v="Debit Card"/>
    <d v="2018-03-10T00:00:00"/>
    <x v="156"/>
    <x v="12"/>
    <s v="Patna"/>
    <x v="0"/>
    <n v="3"/>
    <s v="Mar"/>
    <x v="1"/>
    <n v="-0.68075117370892024"/>
    <s v="Q1"/>
    <s v="Saturday"/>
  </r>
  <r>
    <s v="B-25940"/>
    <n v="55"/>
    <n v="4"/>
    <n v="2"/>
    <x v="2"/>
    <x v="11"/>
    <s v="COD"/>
    <d v="2018-01-06T00:00:00"/>
    <x v="142"/>
    <x v="16"/>
    <s v="Goa"/>
    <x v="0"/>
    <n v="1"/>
    <s v="Jan"/>
    <x v="2"/>
    <n v="7.2727272727272724E-2"/>
    <s v="Q1"/>
    <s v="Saturday"/>
  </r>
  <r>
    <s v="B-25766"/>
    <n v="220"/>
    <n v="-19"/>
    <n v="2"/>
    <x v="2"/>
    <x v="6"/>
    <s v="Debit Card"/>
    <d v="2018-08-30T00:00:00"/>
    <x v="27"/>
    <x v="6"/>
    <s v="Jaipur"/>
    <x v="0"/>
    <n v="8"/>
    <s v="Aug"/>
    <x v="6"/>
    <n v="-8.6363636363636365E-2"/>
    <s v="Q3"/>
    <s v="Thursday"/>
  </r>
  <r>
    <s v="B-25935"/>
    <n v="150"/>
    <n v="32"/>
    <n v="3"/>
    <x v="2"/>
    <x v="7"/>
    <s v="COD"/>
    <d v="2018-01-04T00:00:00"/>
    <x v="46"/>
    <x v="5"/>
    <s v="Kohima"/>
    <x v="0"/>
    <n v="1"/>
    <s v="Jan"/>
    <x v="2"/>
    <n v="0.21333333333333335"/>
    <s v="Q1"/>
    <s v="Thursday"/>
  </r>
  <r>
    <s v="B-25970"/>
    <n v="203"/>
    <n v="84"/>
    <n v="2"/>
    <x v="0"/>
    <x v="3"/>
    <s v="UPI"/>
    <d v="2018-01-22T00:00:00"/>
    <x v="96"/>
    <x v="2"/>
    <s v="Mumbai"/>
    <x v="0"/>
    <n v="1"/>
    <s v="Jan"/>
    <x v="2"/>
    <n v="0.41379310344827586"/>
    <s v="Q1"/>
    <s v="Monday"/>
  </r>
  <r>
    <s v="B-26053"/>
    <n v="93"/>
    <n v="31"/>
    <n v="3"/>
    <x v="0"/>
    <x v="13"/>
    <s v="UPI"/>
    <d v="2018-03-09T00:00:00"/>
    <x v="8"/>
    <x v="4"/>
    <s v="Kashmir"/>
    <x v="0"/>
    <n v="3"/>
    <s v="Mar"/>
    <x v="1"/>
    <n v="0.33333333333333331"/>
    <s v="Q1"/>
    <s v="Friday"/>
  </r>
  <r>
    <s v="B-25947"/>
    <n v="290"/>
    <n v="35"/>
    <n v="6"/>
    <x v="2"/>
    <x v="7"/>
    <s v="COD"/>
    <d v="2018-01-13T00:00:00"/>
    <x v="295"/>
    <x v="7"/>
    <s v="Ahmedabad"/>
    <x v="0"/>
    <n v="1"/>
    <s v="Jan"/>
    <x v="2"/>
    <n v="0.1206896551724138"/>
    <s v="Q1"/>
    <s v="Saturday"/>
  </r>
  <r>
    <s v="B-25856"/>
    <n v="48"/>
    <n v="6"/>
    <n v="1"/>
    <x v="2"/>
    <x v="6"/>
    <s v="COD"/>
    <d v="2018-11-10T00:00:00"/>
    <x v="124"/>
    <x v="2"/>
    <s v="Mumbai"/>
    <x v="0"/>
    <n v="11"/>
    <s v="Nov"/>
    <x v="4"/>
    <n v="0.125"/>
    <s v="Q4"/>
    <s v="Saturday"/>
  </r>
  <r>
    <s v="B-26030"/>
    <n v="221"/>
    <n v="35"/>
    <n v="4"/>
    <x v="0"/>
    <x v="13"/>
    <s v="Debit Card"/>
    <d v="2018-02-21T00:00:00"/>
    <x v="3"/>
    <x v="2"/>
    <s v="Pune"/>
    <x v="0"/>
    <n v="2"/>
    <s v="Feb"/>
    <x v="10"/>
    <n v="0.15837104072398189"/>
    <s v="Q1"/>
    <s v="Wednesday"/>
  </r>
  <r>
    <s v="B-26069"/>
    <n v="55"/>
    <n v="18"/>
    <n v="2"/>
    <x v="2"/>
    <x v="8"/>
    <s v="COD"/>
    <d v="2018-03-17T00:00:00"/>
    <x v="275"/>
    <x v="17"/>
    <s v="Kolkata"/>
    <x v="0"/>
    <n v="3"/>
    <s v="Mar"/>
    <x v="1"/>
    <n v="0.32727272727272727"/>
    <s v="Q1"/>
    <s v="Saturday"/>
  </r>
  <r>
    <s v="B-25653"/>
    <n v="227"/>
    <n v="102"/>
    <n v="8"/>
    <x v="0"/>
    <x v="13"/>
    <s v="Debit Card"/>
    <d v="2018-05-08T00:00:00"/>
    <x v="80"/>
    <x v="5"/>
    <s v="Kohima"/>
    <x v="0"/>
    <n v="5"/>
    <s v="May"/>
    <x v="7"/>
    <n v="0.44933920704845814"/>
    <s v="Q2"/>
    <s v="Tuesday"/>
  </r>
  <r>
    <s v="B-25627"/>
    <n v="55"/>
    <n v="-39"/>
    <n v="4"/>
    <x v="2"/>
    <x v="11"/>
    <s v="COD"/>
    <d v="2018-04-23T00:00:00"/>
    <x v="79"/>
    <x v="0"/>
    <s v="Indore"/>
    <x v="0"/>
    <n v="4"/>
    <s v="Apr"/>
    <x v="3"/>
    <n v="-0.70909090909090911"/>
    <s v="Q2"/>
    <s v="Monday"/>
  </r>
  <r>
    <s v="B-25947"/>
    <n v="207"/>
    <n v="33"/>
    <n v="2"/>
    <x v="0"/>
    <x v="13"/>
    <s v="UPI"/>
    <d v="2018-01-13T00:00:00"/>
    <x v="295"/>
    <x v="7"/>
    <s v="Ahmedabad"/>
    <x v="0"/>
    <n v="1"/>
    <s v="Jan"/>
    <x v="2"/>
    <n v="0.15942028985507245"/>
    <s v="Q1"/>
    <s v="Saturday"/>
  </r>
  <r>
    <s v="B-25801"/>
    <n v="64"/>
    <n v="6"/>
    <n v="4"/>
    <x v="2"/>
    <x v="6"/>
    <s v="COD"/>
    <d v="2018-10-01T00:00:00"/>
    <x v="51"/>
    <x v="0"/>
    <s v="Bhopal"/>
    <x v="0"/>
    <n v="10"/>
    <s v="Oct"/>
    <x v="11"/>
    <n v="9.375E-2"/>
    <s v="Q4"/>
    <s v="Monday"/>
  </r>
  <r>
    <s v="B-25964"/>
    <n v="89"/>
    <n v="6"/>
    <n v="5"/>
    <x v="2"/>
    <x v="6"/>
    <s v="COD"/>
    <d v="2018-01-20T00:00:00"/>
    <x v="169"/>
    <x v="2"/>
    <s v="Pune"/>
    <x v="0"/>
    <n v="1"/>
    <s v="Jan"/>
    <x v="2"/>
    <n v="6.741573033707865E-2"/>
    <s v="Q1"/>
    <s v="Saturday"/>
  </r>
  <r>
    <s v="B-25950"/>
    <n v="54"/>
    <n v="27"/>
    <n v="2"/>
    <x v="2"/>
    <x v="11"/>
    <s v="COD"/>
    <d v="2018-01-13T00:00:00"/>
    <x v="21"/>
    <x v="0"/>
    <s v="Indore"/>
    <x v="0"/>
    <n v="1"/>
    <s v="Jan"/>
    <x v="2"/>
    <n v="0.5"/>
    <s v="Q1"/>
    <s v="Saturday"/>
  </r>
  <r>
    <s v="B-25878"/>
    <n v="84"/>
    <n v="41"/>
    <n v="3"/>
    <x v="2"/>
    <x v="14"/>
    <s v="Credit Card"/>
    <d v="2018-11-24T00:00:00"/>
    <x v="99"/>
    <x v="2"/>
    <s v="Mumbai"/>
    <x v="0"/>
    <n v="11"/>
    <s v="Nov"/>
    <x v="4"/>
    <n v="0.48809523809523808"/>
    <s v="Q4"/>
    <s v="Saturday"/>
  </r>
  <r>
    <s v="B-25773"/>
    <n v="209"/>
    <n v="-21"/>
    <n v="2"/>
    <x v="0"/>
    <x v="0"/>
    <s v="UPI"/>
    <d v="2018-09-06T00:00:00"/>
    <x v="74"/>
    <x v="10"/>
    <s v="Thiruvananthapuram"/>
    <x v="0"/>
    <n v="9"/>
    <s v="Sep"/>
    <x v="8"/>
    <n v="-0.10047846889952153"/>
    <s v="Q3"/>
    <s v="Thursday"/>
  </r>
  <r>
    <s v="B-26081"/>
    <n v="79"/>
    <n v="33"/>
    <n v="4"/>
    <x v="2"/>
    <x v="11"/>
    <s v="UPI"/>
    <d v="2018-03-22T00:00:00"/>
    <x v="55"/>
    <x v="14"/>
    <s v="Chennai"/>
    <x v="0"/>
    <n v="3"/>
    <s v="Mar"/>
    <x v="1"/>
    <n v="0.41772151898734178"/>
    <s v="Q1"/>
    <s v="Thursday"/>
  </r>
  <r>
    <s v="B-26027"/>
    <n v="54"/>
    <n v="8"/>
    <n v="4"/>
    <x v="2"/>
    <x v="14"/>
    <s v="COD"/>
    <d v="2018-02-20T00:00:00"/>
    <x v="296"/>
    <x v="5"/>
    <s v="Kohima"/>
    <x v="0"/>
    <n v="2"/>
    <s v="Feb"/>
    <x v="10"/>
    <n v="0.14814814814814814"/>
    <s v="Q1"/>
    <s v="Tuesday"/>
  </r>
  <r>
    <s v="B-25967"/>
    <n v="229"/>
    <n v="59"/>
    <n v="9"/>
    <x v="2"/>
    <x v="6"/>
    <s v="Debit Card"/>
    <d v="2018-01-21T00:00:00"/>
    <x v="61"/>
    <x v="1"/>
    <s v="Prayagraj"/>
    <x v="0"/>
    <n v="1"/>
    <s v="Jan"/>
    <x v="2"/>
    <n v="0.2576419213973799"/>
    <s v="Q1"/>
    <s v="Sunday"/>
  </r>
  <r>
    <s v="B-25901"/>
    <n v="158"/>
    <n v="38"/>
    <n v="3"/>
    <x v="2"/>
    <x v="7"/>
    <s v="UPI"/>
    <d v="2018-12-10T00:00:00"/>
    <x v="255"/>
    <x v="7"/>
    <s v="Surat"/>
    <x v="0"/>
    <n v="12"/>
    <s v="Dec"/>
    <x v="5"/>
    <n v="0.24050632911392406"/>
    <s v="Q4"/>
    <s v="Monday"/>
  </r>
  <r>
    <s v="B-25951"/>
    <n v="248"/>
    <n v="105"/>
    <n v="2"/>
    <x v="0"/>
    <x v="4"/>
    <s v="Debit Card"/>
    <d v="2018-01-13T00:00:00"/>
    <x v="130"/>
    <x v="17"/>
    <s v="Kolkata"/>
    <x v="0"/>
    <n v="1"/>
    <s v="Jan"/>
    <x v="2"/>
    <n v="0.42338709677419356"/>
    <s v="Q1"/>
    <s v="Saturday"/>
  </r>
  <r>
    <s v="B-25853"/>
    <n v="199"/>
    <n v="6"/>
    <n v="2"/>
    <x v="2"/>
    <x v="6"/>
    <s v="UPI"/>
    <d v="2018-11-08T00:00:00"/>
    <x v="18"/>
    <x v="7"/>
    <s v="Ahmedabad"/>
    <x v="0"/>
    <n v="11"/>
    <s v="Nov"/>
    <x v="4"/>
    <n v="3.015075376884422E-2"/>
    <s v="Q4"/>
    <s v="Thursday"/>
  </r>
  <r>
    <s v="B-25923"/>
    <n v="253"/>
    <n v="-11"/>
    <n v="1"/>
    <x v="2"/>
    <x v="5"/>
    <s v="Debit Card"/>
    <d v="2018-12-27T00:00:00"/>
    <x v="12"/>
    <x v="2"/>
    <s v="Mumbai"/>
    <x v="0"/>
    <n v="12"/>
    <s v="Dec"/>
    <x v="5"/>
    <n v="-4.3478260869565216E-2"/>
    <s v="Q4"/>
    <s v="Thursday"/>
  </r>
  <r>
    <s v="B-25793"/>
    <n v="257"/>
    <n v="-252"/>
    <n v="4"/>
    <x v="2"/>
    <x v="6"/>
    <s v="Debit Card"/>
    <d v="2018-09-24T00:00:00"/>
    <x v="216"/>
    <x v="0"/>
    <s v="Indore"/>
    <x v="0"/>
    <n v="9"/>
    <s v="Sep"/>
    <x v="8"/>
    <n v="-0.98054474708171202"/>
    <s v="Q3"/>
    <s v="Monday"/>
  </r>
  <r>
    <s v="B-26068"/>
    <n v="193"/>
    <n v="33"/>
    <n v="5"/>
    <x v="0"/>
    <x v="13"/>
    <s v="COD"/>
    <d v="2018-03-16T00:00:00"/>
    <x v="132"/>
    <x v="6"/>
    <s v="Jaipur"/>
    <x v="0"/>
    <n v="3"/>
    <s v="Mar"/>
    <x v="1"/>
    <n v="0.17098445595854922"/>
    <s v="Q1"/>
    <s v="Friday"/>
  </r>
  <r>
    <s v="B-26080"/>
    <n v="109"/>
    <n v="35"/>
    <n v="6"/>
    <x v="2"/>
    <x v="14"/>
    <s v="COD"/>
    <d v="2018-03-22T00:00:00"/>
    <x v="108"/>
    <x v="4"/>
    <s v="Kashmir"/>
    <x v="0"/>
    <n v="3"/>
    <s v="Mar"/>
    <x v="1"/>
    <n v="0.32110091743119268"/>
    <s v="Q1"/>
    <s v="Thursday"/>
  </r>
  <r>
    <s v="B-25843"/>
    <n v="214"/>
    <n v="30"/>
    <n v="3"/>
    <x v="0"/>
    <x v="13"/>
    <s v="COD"/>
    <d v="2018-11-03T00:00:00"/>
    <x v="173"/>
    <x v="2"/>
    <s v="Mumbai"/>
    <x v="0"/>
    <n v="11"/>
    <s v="Nov"/>
    <x v="4"/>
    <n v="0.14018691588785046"/>
    <s v="Q4"/>
    <s v="Saturday"/>
  </r>
  <r>
    <s v="B-26002"/>
    <n v="141"/>
    <n v="7"/>
    <n v="7"/>
    <x v="2"/>
    <x v="6"/>
    <s v="COD"/>
    <d v="2018-02-08T00:00:00"/>
    <x v="105"/>
    <x v="8"/>
    <s v="Delhi"/>
    <x v="0"/>
    <n v="2"/>
    <s v="Feb"/>
    <x v="10"/>
    <n v="4.9645390070921988E-2"/>
    <s v="Q1"/>
    <s v="Thursday"/>
  </r>
  <r>
    <s v="B-25993"/>
    <n v="201"/>
    <n v="32"/>
    <n v="4"/>
    <x v="1"/>
    <x v="15"/>
    <s v="UPI"/>
    <d v="2018-02-03T00:00:00"/>
    <x v="14"/>
    <x v="8"/>
    <s v="Delhi"/>
    <x v="0"/>
    <n v="2"/>
    <s v="Feb"/>
    <x v="10"/>
    <n v="0.15920398009950248"/>
    <s v="Q1"/>
    <s v="Saturday"/>
  </r>
  <r>
    <s v="B-26070"/>
    <n v="54"/>
    <n v="12"/>
    <n v="4"/>
    <x v="2"/>
    <x v="16"/>
    <s v="COD"/>
    <d v="2018-03-18T00:00:00"/>
    <x v="21"/>
    <x v="3"/>
    <s v="Bangalore"/>
    <x v="0"/>
    <n v="3"/>
    <s v="Mar"/>
    <x v="1"/>
    <n v="0.22222222222222221"/>
    <s v="Q1"/>
    <s v="Sunday"/>
  </r>
  <r>
    <s v="B-25887"/>
    <n v="83"/>
    <n v="6"/>
    <n v="6"/>
    <x v="2"/>
    <x v="16"/>
    <s v="EMI"/>
    <d v="2018-12-01T00:00:00"/>
    <x v="11"/>
    <x v="1"/>
    <s v="Prayagraj"/>
    <x v="0"/>
    <n v="12"/>
    <s v="Dec"/>
    <x v="5"/>
    <n v="7.2289156626506021E-2"/>
    <s v="Q4"/>
    <s v="Saturday"/>
  </r>
  <r>
    <s v="B-25654"/>
    <n v="54"/>
    <n v="-3"/>
    <n v="3"/>
    <x v="2"/>
    <x v="6"/>
    <s v="COD"/>
    <d v="2018-05-10T00:00:00"/>
    <x v="150"/>
    <x v="2"/>
    <s v="Mumbai"/>
    <x v="0"/>
    <n v="5"/>
    <s v="May"/>
    <x v="7"/>
    <n v="-5.5555555555555552E-2"/>
    <s v="Q2"/>
    <s v="Thursday"/>
  </r>
  <r>
    <s v="B-25898"/>
    <n v="53"/>
    <n v="5"/>
    <n v="3"/>
    <x v="2"/>
    <x v="14"/>
    <s v="COD"/>
    <d v="2018-12-07T00:00:00"/>
    <x v="76"/>
    <x v="6"/>
    <s v="Udaipur"/>
    <x v="0"/>
    <n v="12"/>
    <s v="Dec"/>
    <x v="5"/>
    <n v="9.4339622641509441E-2"/>
    <s v="Q4"/>
    <s v="Friday"/>
  </r>
  <r>
    <s v="B-25664"/>
    <n v="258"/>
    <n v="-27"/>
    <n v="2"/>
    <x v="0"/>
    <x v="4"/>
    <s v="Debit Card"/>
    <d v="2018-05-20T00:00:00"/>
    <x v="176"/>
    <x v="12"/>
    <s v="Patna"/>
    <x v="0"/>
    <n v="5"/>
    <s v="May"/>
    <x v="7"/>
    <n v="-0.10465116279069768"/>
    <s v="Q2"/>
    <s v="Sunday"/>
  </r>
  <r>
    <s v="B-26012"/>
    <n v="199"/>
    <n v="8"/>
    <n v="2"/>
    <x v="2"/>
    <x v="6"/>
    <s v="COD"/>
    <d v="2018-02-13T00:00:00"/>
    <x v="297"/>
    <x v="2"/>
    <s v="Pune"/>
    <x v="0"/>
    <n v="2"/>
    <s v="Feb"/>
    <x v="10"/>
    <n v="4.0201005025125629E-2"/>
    <s v="Q1"/>
    <s v="Tuesday"/>
  </r>
  <r>
    <s v="B-25979"/>
    <n v="82"/>
    <n v="-27"/>
    <n v="3"/>
    <x v="2"/>
    <x v="8"/>
    <s v="EMI"/>
    <d v="2018-01-27T00:00:00"/>
    <x v="211"/>
    <x v="0"/>
    <s v="Indore"/>
    <x v="0"/>
    <n v="1"/>
    <s v="Jan"/>
    <x v="2"/>
    <n v="-0.32926829268292684"/>
    <s v="Q1"/>
    <s v="Saturday"/>
  </r>
  <r>
    <s v="B-26054"/>
    <n v="139"/>
    <n v="36"/>
    <n v="3"/>
    <x v="2"/>
    <x v="11"/>
    <s v="COD"/>
    <d v="2018-03-10T00:00:00"/>
    <x v="195"/>
    <x v="2"/>
    <s v="Mumbai"/>
    <x v="0"/>
    <n v="3"/>
    <s v="Mar"/>
    <x v="1"/>
    <n v="0.25899280575539568"/>
    <s v="Q1"/>
    <s v="Saturday"/>
  </r>
  <r>
    <s v="B-25757"/>
    <n v="53"/>
    <n v="15"/>
    <n v="2"/>
    <x v="2"/>
    <x v="11"/>
    <s v="COD"/>
    <d v="2018-08-21T00:00:00"/>
    <x v="11"/>
    <x v="0"/>
    <s v="Indore"/>
    <x v="0"/>
    <n v="8"/>
    <s v="Aug"/>
    <x v="6"/>
    <n v="0.28301886792452829"/>
    <s v="Q3"/>
    <s v="Tuesday"/>
  </r>
  <r>
    <s v="B-25623"/>
    <n v="53"/>
    <n v="1"/>
    <n v="4"/>
    <x v="2"/>
    <x v="11"/>
    <s v="COD"/>
    <d v="2018-04-22T00:00:00"/>
    <x v="86"/>
    <x v="17"/>
    <s v="Kolkata"/>
    <x v="0"/>
    <n v="4"/>
    <s v="Apr"/>
    <x v="3"/>
    <n v="1.8867924528301886E-2"/>
    <s v="Q2"/>
    <s v="Sunday"/>
  </r>
  <r>
    <s v="B-25824"/>
    <n v="101"/>
    <n v="38"/>
    <n v="2"/>
    <x v="1"/>
    <x v="15"/>
    <s v="COD"/>
    <d v="2018-10-20T00:00:00"/>
    <x v="298"/>
    <x v="0"/>
    <s v="Indore"/>
    <x v="0"/>
    <n v="10"/>
    <s v="Oct"/>
    <x v="11"/>
    <n v="0.37623762376237624"/>
    <s v="Q4"/>
    <s v="Saturday"/>
  </r>
  <r>
    <s v="B-25754"/>
    <n v="262"/>
    <n v="215"/>
    <n v="2"/>
    <x v="0"/>
    <x v="3"/>
    <s v="Debit Card"/>
    <d v="2018-08-18T00:00:00"/>
    <x v="29"/>
    <x v="12"/>
    <s v="Patna"/>
    <x v="0"/>
    <n v="8"/>
    <s v="Aug"/>
    <x v="6"/>
    <n v="0.82061068702290074"/>
    <s v="Q3"/>
    <s v="Saturday"/>
  </r>
  <r>
    <s v="B-25693"/>
    <n v="82"/>
    <n v="-39"/>
    <n v="5"/>
    <x v="2"/>
    <x v="14"/>
    <s v="EMI"/>
    <d v="2018-06-18T00:00:00"/>
    <x v="77"/>
    <x v="0"/>
    <s v="Bhopal"/>
    <x v="0"/>
    <n v="6"/>
    <s v="Jun"/>
    <x v="0"/>
    <n v="-0.47560975609756095"/>
    <s v="Q2"/>
    <s v="Monday"/>
  </r>
  <r>
    <s v="B-25638"/>
    <n v="154"/>
    <n v="39"/>
    <n v="3"/>
    <x v="2"/>
    <x v="7"/>
    <s v="COD"/>
    <d v="2018-04-26T00:00:00"/>
    <x v="30"/>
    <x v="2"/>
    <s v="Pune"/>
    <x v="0"/>
    <n v="4"/>
    <s v="Apr"/>
    <x v="3"/>
    <n v="0.25324675324675322"/>
    <s v="Q2"/>
    <s v="Thursday"/>
  </r>
  <r>
    <s v="B-25922"/>
    <n v="52"/>
    <n v="18"/>
    <n v="2"/>
    <x v="2"/>
    <x v="11"/>
    <s v="COD"/>
    <d v="2018-12-26T00:00:00"/>
    <x v="299"/>
    <x v="7"/>
    <s v="Surat"/>
    <x v="0"/>
    <n v="12"/>
    <s v="Dec"/>
    <x v="5"/>
    <n v="0.34615384615384615"/>
    <s v="Q4"/>
    <s v="Wednesday"/>
  </r>
  <r>
    <s v="B-25919"/>
    <n v="1599"/>
    <n v="37"/>
    <n v="6"/>
    <x v="0"/>
    <x v="0"/>
    <s v="UPI"/>
    <d v="2018-12-23T00:00:00"/>
    <x v="259"/>
    <x v="6"/>
    <s v="Udaipur"/>
    <x v="0"/>
    <n v="12"/>
    <s v="Dec"/>
    <x v="5"/>
    <n v="2.3139462163852407E-2"/>
    <s v="Q4"/>
    <s v="Sunday"/>
  </r>
  <r>
    <s v="B-25989"/>
    <n v="338"/>
    <n v="41"/>
    <n v="7"/>
    <x v="2"/>
    <x v="7"/>
    <s v="UPI"/>
    <d v="2018-02-01T00:00:00"/>
    <x v="67"/>
    <x v="8"/>
    <s v="Delhi"/>
    <x v="0"/>
    <n v="2"/>
    <s v="Feb"/>
    <x v="10"/>
    <n v="0.12130177514792899"/>
    <s v="Q1"/>
    <s v="Thursday"/>
  </r>
  <r>
    <s v="B-25999"/>
    <n v="51"/>
    <n v="-49"/>
    <n v="2"/>
    <x v="0"/>
    <x v="0"/>
    <s v="COD"/>
    <d v="2018-02-05T00:00:00"/>
    <x v="207"/>
    <x v="8"/>
    <s v="Delhi"/>
    <x v="0"/>
    <n v="2"/>
    <s v="Feb"/>
    <x v="10"/>
    <n v="-0.96078431372549022"/>
    <s v="Q1"/>
    <s v="Monday"/>
  </r>
  <r>
    <s v="B-25661"/>
    <n v="224"/>
    <n v="-81"/>
    <n v="3"/>
    <x v="1"/>
    <x v="1"/>
    <s v="COD"/>
    <d v="2018-05-17T00:00:00"/>
    <x v="206"/>
    <x v="4"/>
    <s v="Kashmir"/>
    <x v="0"/>
    <n v="5"/>
    <s v="May"/>
    <x v="7"/>
    <n v="-0.36160714285714285"/>
    <s v="Q2"/>
    <s v="Thursday"/>
  </r>
  <r>
    <s v="B-26099"/>
    <n v="207"/>
    <n v="37"/>
    <n v="4"/>
    <x v="2"/>
    <x v="7"/>
    <s v="COD"/>
    <d v="2018-03-30T00:00:00"/>
    <x v="300"/>
    <x v="2"/>
    <s v="Mumbai"/>
    <x v="0"/>
    <n v="3"/>
    <s v="Mar"/>
    <x v="1"/>
    <n v="0.17874396135265699"/>
    <s v="Q1"/>
    <s v="Friday"/>
  </r>
  <r>
    <s v="B-25866"/>
    <n v="51"/>
    <n v="14"/>
    <n v="2"/>
    <x v="2"/>
    <x v="11"/>
    <s v="COD"/>
    <d v="2018-11-16T00:00:00"/>
    <x v="183"/>
    <x v="11"/>
    <s v="Simla"/>
    <x v="0"/>
    <n v="11"/>
    <s v="Nov"/>
    <x v="4"/>
    <n v="0.27450980392156865"/>
    <s v="Q4"/>
    <s v="Friday"/>
  </r>
  <r>
    <s v="B-26098"/>
    <n v="82"/>
    <n v="8"/>
    <n v="3"/>
    <x v="0"/>
    <x v="13"/>
    <s v="EMI"/>
    <d v="2018-03-29T00:00:00"/>
    <x v="90"/>
    <x v="4"/>
    <s v="Kashmir"/>
    <x v="0"/>
    <n v="3"/>
    <s v="Mar"/>
    <x v="1"/>
    <n v="9.7560975609756101E-2"/>
    <s v="Q1"/>
    <s v="Thursday"/>
  </r>
  <r>
    <s v="B-26062"/>
    <n v="50"/>
    <n v="-17"/>
    <n v="2"/>
    <x v="2"/>
    <x v="11"/>
    <s v="COD"/>
    <d v="2018-03-15T00:00:00"/>
    <x v="97"/>
    <x v="16"/>
    <s v="Goa"/>
    <x v="0"/>
    <n v="3"/>
    <s v="Mar"/>
    <x v="1"/>
    <n v="-0.34"/>
    <s v="Q1"/>
    <s v="Thursday"/>
  </r>
  <r>
    <s v="B-25761"/>
    <n v="263"/>
    <n v="-31"/>
    <n v="9"/>
    <x v="0"/>
    <x v="0"/>
    <s v="Debit Card"/>
    <d v="2018-08-25T00:00:00"/>
    <x v="14"/>
    <x v="1"/>
    <s v="Mathura"/>
    <x v="0"/>
    <n v="8"/>
    <s v="Aug"/>
    <x v="6"/>
    <n v="-0.11787072243346007"/>
    <s v="Q3"/>
    <s v="Saturday"/>
  </r>
  <r>
    <s v="B-25843"/>
    <n v="50"/>
    <n v="7"/>
    <n v="6"/>
    <x v="2"/>
    <x v="9"/>
    <s v="COD"/>
    <d v="2018-11-03T00:00:00"/>
    <x v="173"/>
    <x v="2"/>
    <s v="Mumbai"/>
    <x v="0"/>
    <n v="11"/>
    <s v="Nov"/>
    <x v="4"/>
    <n v="0.14000000000000001"/>
    <s v="Q4"/>
    <s v="Saturday"/>
  </r>
  <r>
    <s v="B-25683"/>
    <n v="245"/>
    <n v="-3"/>
    <n v="4"/>
    <x v="0"/>
    <x v="4"/>
    <s v="UPI"/>
    <d v="2018-06-08T00:00:00"/>
    <x v="74"/>
    <x v="10"/>
    <s v="Thiruvananthapuram"/>
    <x v="0"/>
    <n v="6"/>
    <s v="Jun"/>
    <x v="0"/>
    <n v="-1.2244897959183673E-2"/>
    <s v="Q2"/>
    <s v="Friday"/>
  </r>
  <r>
    <s v="B-25959"/>
    <n v="82"/>
    <n v="24"/>
    <n v="6"/>
    <x v="2"/>
    <x v="7"/>
    <s v="EMI"/>
    <d v="2018-01-18T00:00:00"/>
    <x v="113"/>
    <x v="0"/>
    <s v="Indore"/>
    <x v="0"/>
    <n v="1"/>
    <s v="Jan"/>
    <x v="2"/>
    <n v="0.29268292682926828"/>
    <s v="Q1"/>
    <s v="Thursday"/>
  </r>
  <r>
    <s v="B-25787"/>
    <n v="229"/>
    <n v="-41"/>
    <n v="8"/>
    <x v="0"/>
    <x v="13"/>
    <s v="COD"/>
    <d v="2018-09-20T00:00:00"/>
    <x v="101"/>
    <x v="4"/>
    <s v="Kashmir"/>
    <x v="0"/>
    <n v="9"/>
    <s v="Sep"/>
    <x v="8"/>
    <n v="-0.17903930131004367"/>
    <s v="Q3"/>
    <s v="Thursday"/>
  </r>
  <r>
    <s v="B-25951"/>
    <n v="50"/>
    <n v="14"/>
    <n v="1"/>
    <x v="0"/>
    <x v="0"/>
    <s v="COD"/>
    <d v="2018-01-13T00:00:00"/>
    <x v="130"/>
    <x v="17"/>
    <s v="Kolkata"/>
    <x v="0"/>
    <n v="1"/>
    <s v="Jan"/>
    <x v="2"/>
    <n v="0.28000000000000003"/>
    <s v="Q1"/>
    <s v="Saturday"/>
  </r>
  <r>
    <s v="B-26056"/>
    <n v="220"/>
    <n v="40"/>
    <n v="2"/>
    <x v="0"/>
    <x v="13"/>
    <s v="COD"/>
    <d v="2018-03-10T00:00:00"/>
    <x v="156"/>
    <x v="12"/>
    <s v="Patna"/>
    <x v="0"/>
    <n v="3"/>
    <s v="Mar"/>
    <x v="1"/>
    <n v="0.18181818181818182"/>
    <s v="Q1"/>
    <s v="Saturday"/>
  </r>
  <r>
    <s v="B-25643"/>
    <n v="263"/>
    <n v="-63"/>
    <n v="2"/>
    <x v="0"/>
    <x v="0"/>
    <s v="Debit Card"/>
    <d v="2018-04-29T00:00:00"/>
    <x v="8"/>
    <x v="4"/>
    <s v="Kashmir"/>
    <x v="0"/>
    <n v="4"/>
    <s v="Apr"/>
    <x v="3"/>
    <n v="-0.23954372623574144"/>
    <s v="Q2"/>
    <s v="Sunday"/>
  </r>
  <r>
    <s v="B-26093"/>
    <n v="81"/>
    <n v="-41"/>
    <n v="5"/>
    <x v="2"/>
    <x v="12"/>
    <s v="EMI"/>
    <d v="2018-03-27T00:00:00"/>
    <x v="3"/>
    <x v="2"/>
    <s v="Pune"/>
    <x v="0"/>
    <n v="3"/>
    <s v="Mar"/>
    <x v="1"/>
    <n v="-0.50617283950617287"/>
    <s v="Q1"/>
    <s v="Tuesday"/>
  </r>
  <r>
    <s v="B-25775"/>
    <n v="50"/>
    <n v="-17"/>
    <n v="2"/>
    <x v="2"/>
    <x v="11"/>
    <s v="COD"/>
    <d v="2018-09-08T00:00:00"/>
    <x v="301"/>
    <x v="15"/>
    <s v="Chandigarh"/>
    <x v="0"/>
    <n v="9"/>
    <s v="Sep"/>
    <x v="8"/>
    <n v="-0.34"/>
    <s v="Q3"/>
    <s v="Saturday"/>
  </r>
  <r>
    <s v="B-26093"/>
    <n v="49"/>
    <n v="5"/>
    <n v="4"/>
    <x v="2"/>
    <x v="7"/>
    <s v="COD"/>
    <d v="2018-03-27T00:00:00"/>
    <x v="3"/>
    <x v="2"/>
    <s v="Pune"/>
    <x v="0"/>
    <n v="3"/>
    <s v="Mar"/>
    <x v="1"/>
    <n v="0.10204081632653061"/>
    <s v="Q1"/>
    <s v="Tuesday"/>
  </r>
  <r>
    <s v="B-25851"/>
    <n v="237"/>
    <n v="47"/>
    <n v="9"/>
    <x v="2"/>
    <x v="14"/>
    <s v="UPI"/>
    <d v="2018-11-06T00:00:00"/>
    <x v="9"/>
    <x v="5"/>
    <s v="Kohima"/>
    <x v="0"/>
    <n v="11"/>
    <s v="Nov"/>
    <x v="4"/>
    <n v="0.19831223628691982"/>
    <s v="Q4"/>
    <s v="Tuesday"/>
  </r>
  <r>
    <s v="B-25685"/>
    <n v="264"/>
    <n v="-30"/>
    <n v="3"/>
    <x v="1"/>
    <x v="15"/>
    <s v="Debit Card"/>
    <d v="2018-06-10T00:00:00"/>
    <x v="26"/>
    <x v="0"/>
    <s v="Indore"/>
    <x v="0"/>
    <n v="6"/>
    <s v="Jun"/>
    <x v="0"/>
    <n v="-0.11363636363636363"/>
    <s v="Q2"/>
    <s v="Sunday"/>
  </r>
  <r>
    <s v="B-25651"/>
    <n v="49"/>
    <n v="3"/>
    <n v="1"/>
    <x v="2"/>
    <x v="16"/>
    <s v="COD"/>
    <d v="2018-05-07T00:00:00"/>
    <x v="71"/>
    <x v="0"/>
    <s v="Indore"/>
    <x v="0"/>
    <n v="5"/>
    <s v="May"/>
    <x v="7"/>
    <n v="6.1224489795918366E-2"/>
    <s v="Q2"/>
    <s v="Monday"/>
  </r>
  <r>
    <s v="B-25793"/>
    <n v="63"/>
    <n v="-24"/>
    <n v="6"/>
    <x v="2"/>
    <x v="8"/>
    <s v="COD"/>
    <d v="2018-09-24T00:00:00"/>
    <x v="216"/>
    <x v="0"/>
    <s v="Indore"/>
    <x v="0"/>
    <n v="9"/>
    <s v="Sep"/>
    <x v="8"/>
    <n v="-0.38095238095238093"/>
    <s v="Q3"/>
    <s v="Monday"/>
  </r>
  <r>
    <s v="B-25708"/>
    <n v="81"/>
    <n v="-51"/>
    <n v="7"/>
    <x v="2"/>
    <x v="11"/>
    <s v="EMI"/>
    <d v="2018-07-01T00:00:00"/>
    <x v="109"/>
    <x v="0"/>
    <s v="Indore"/>
    <x v="0"/>
    <n v="7"/>
    <s v="Jul"/>
    <x v="9"/>
    <n v="-0.62962962962962965"/>
    <s v="Q3"/>
    <s v="Sunday"/>
  </r>
  <r>
    <s v="B-25847"/>
    <n v="264"/>
    <n v="71"/>
    <n v="10"/>
    <x v="1"/>
    <x v="15"/>
    <s v="Debit Card"/>
    <d v="2018-11-03T00:00:00"/>
    <x v="118"/>
    <x v="15"/>
    <s v="Chandigarh"/>
    <x v="0"/>
    <n v="11"/>
    <s v="Nov"/>
    <x v="4"/>
    <n v="0.26893939393939392"/>
    <s v="Q4"/>
    <s v="Saturday"/>
  </r>
  <r>
    <s v="B-25954"/>
    <n v="48"/>
    <n v="11"/>
    <n v="2"/>
    <x v="2"/>
    <x v="16"/>
    <s v="COD"/>
    <d v="2018-01-14T00:00:00"/>
    <x v="225"/>
    <x v="7"/>
    <s v="Ahmedabad"/>
    <x v="0"/>
    <n v="1"/>
    <s v="Jan"/>
    <x v="2"/>
    <n v="0.22916666666666666"/>
    <s v="Q1"/>
    <s v="Sunday"/>
  </r>
  <r>
    <s v="B-25997"/>
    <n v="48"/>
    <n v="15"/>
    <n v="1"/>
    <x v="2"/>
    <x v="7"/>
    <s v="COD"/>
    <d v="2018-02-04T00:00:00"/>
    <x v="190"/>
    <x v="2"/>
    <s v="Pune"/>
    <x v="0"/>
    <n v="2"/>
    <s v="Feb"/>
    <x v="10"/>
    <n v="0.3125"/>
    <s v="Q1"/>
    <s v="Sunday"/>
  </r>
  <r>
    <s v="B-25650"/>
    <n v="245"/>
    <n v="-78"/>
    <n v="2"/>
    <x v="0"/>
    <x v="3"/>
    <s v="UPI"/>
    <d v="2018-05-06T00:00:00"/>
    <x v="95"/>
    <x v="2"/>
    <s v="Mumbai"/>
    <x v="0"/>
    <n v="5"/>
    <s v="May"/>
    <x v="7"/>
    <n v="-0.3183673469387755"/>
    <s v="Q2"/>
    <s v="Sunday"/>
  </r>
  <r>
    <s v="B-25883"/>
    <n v="146"/>
    <n v="42"/>
    <n v="5"/>
    <x v="2"/>
    <x v="7"/>
    <s v="UPI"/>
    <d v="2018-11-27T00:00:00"/>
    <x v="33"/>
    <x v="7"/>
    <s v="Surat"/>
    <x v="0"/>
    <n v="11"/>
    <s v="Nov"/>
    <x v="4"/>
    <n v="0.28767123287671231"/>
    <s v="Q4"/>
    <s v="Tuesday"/>
  </r>
  <r>
    <s v="B-25945"/>
    <n v="245"/>
    <n v="10"/>
    <n v="2"/>
    <x v="1"/>
    <x v="2"/>
    <s v="COD"/>
    <d v="2018-01-11T00:00:00"/>
    <x v="87"/>
    <x v="0"/>
    <s v="Indore"/>
    <x v="0"/>
    <n v="1"/>
    <s v="Jan"/>
    <x v="2"/>
    <n v="4.0816326530612242E-2"/>
    <s v="Q1"/>
    <s v="Thursday"/>
  </r>
  <r>
    <s v="B-25981"/>
    <n v="245"/>
    <n v="91"/>
    <n v="2"/>
    <x v="1"/>
    <x v="2"/>
    <s v="UPI"/>
    <d v="2018-01-28T00:00:00"/>
    <x v="189"/>
    <x v="8"/>
    <s v="Delhi"/>
    <x v="0"/>
    <n v="1"/>
    <s v="Jan"/>
    <x v="2"/>
    <n v="0.37142857142857144"/>
    <s v="Q1"/>
    <s v="Sunday"/>
  </r>
  <r>
    <s v="B-25862"/>
    <n v="80"/>
    <n v="3"/>
    <n v="3"/>
    <x v="2"/>
    <x v="11"/>
    <s v="EMI"/>
    <d v="2018-11-15T00:00:00"/>
    <x v="263"/>
    <x v="12"/>
    <s v="Patna"/>
    <x v="0"/>
    <n v="11"/>
    <s v="Nov"/>
    <x v="4"/>
    <n v="3.7499999999999999E-2"/>
    <s v="Q4"/>
    <s v="Thursday"/>
  </r>
  <r>
    <s v="B-25877"/>
    <n v="269"/>
    <n v="33"/>
    <n v="5"/>
    <x v="1"/>
    <x v="1"/>
    <s v="Debit Card"/>
    <d v="2018-11-24T00:00:00"/>
    <x v="144"/>
    <x v="7"/>
    <s v="Surat"/>
    <x v="0"/>
    <n v="11"/>
    <s v="Nov"/>
    <x v="4"/>
    <n v="0.12267657992565056"/>
    <s v="Q4"/>
    <s v="Saturday"/>
  </r>
  <r>
    <s v="B-26090"/>
    <n v="80"/>
    <n v="22"/>
    <n v="3"/>
    <x v="2"/>
    <x v="11"/>
    <s v="EMI"/>
    <d v="2018-03-27T00:00:00"/>
    <x v="296"/>
    <x v="5"/>
    <s v="Kohima"/>
    <x v="0"/>
    <n v="3"/>
    <s v="Mar"/>
    <x v="1"/>
    <n v="0.27500000000000002"/>
    <s v="Q1"/>
    <s v="Tuesday"/>
  </r>
  <r>
    <s v="B-26050"/>
    <n v="284"/>
    <n v="44"/>
    <n v="6"/>
    <x v="2"/>
    <x v="7"/>
    <s v="COD"/>
    <d v="2018-03-06T00:00:00"/>
    <x v="49"/>
    <x v="6"/>
    <s v="Jaipur"/>
    <x v="0"/>
    <n v="3"/>
    <s v="Mar"/>
    <x v="1"/>
    <n v="0.15492957746478872"/>
    <s v="Q1"/>
    <s v="Tuesday"/>
  </r>
  <r>
    <s v="B-26072"/>
    <n v="313"/>
    <n v="44"/>
    <n v="3"/>
    <x v="0"/>
    <x v="0"/>
    <s v="COD"/>
    <d v="2018-03-20T00:00:00"/>
    <x v="117"/>
    <x v="2"/>
    <s v="Mumbai"/>
    <x v="0"/>
    <n v="3"/>
    <s v="Mar"/>
    <x v="1"/>
    <n v="0.14057507987220447"/>
    <s v="Q1"/>
    <s v="Tuesday"/>
  </r>
  <r>
    <s v="B-25916"/>
    <n v="80"/>
    <n v="-26"/>
    <n v="9"/>
    <x v="2"/>
    <x v="9"/>
    <s v="EMI"/>
    <d v="2018-12-20T00:00:00"/>
    <x v="302"/>
    <x v="7"/>
    <s v="Surat"/>
    <x v="0"/>
    <n v="12"/>
    <s v="Dec"/>
    <x v="5"/>
    <n v="-0.32500000000000001"/>
    <s v="Q4"/>
    <s v="Thursday"/>
  </r>
  <r>
    <s v="B-25722"/>
    <n v="48"/>
    <n v="-8"/>
    <n v="8"/>
    <x v="2"/>
    <x v="11"/>
    <s v="COD"/>
    <d v="2018-07-17T00:00:00"/>
    <x v="303"/>
    <x v="11"/>
    <s v="Simla"/>
    <x v="0"/>
    <n v="7"/>
    <s v="Jul"/>
    <x v="9"/>
    <n v="-0.16666666666666666"/>
    <s v="Q3"/>
    <s v="Tuesday"/>
  </r>
  <r>
    <s v="B-25746"/>
    <n v="87"/>
    <n v="16"/>
    <n v="2"/>
    <x v="2"/>
    <x v="6"/>
    <s v="UPI"/>
    <d v="2018-08-10T00:00:00"/>
    <x v="205"/>
    <x v="2"/>
    <s v="Pune"/>
    <x v="0"/>
    <n v="8"/>
    <s v="Aug"/>
    <x v="6"/>
    <n v="0.18390804597701149"/>
    <s v="Q3"/>
    <s v="Friday"/>
  </r>
  <r>
    <s v="B-25753"/>
    <n v="47"/>
    <n v="-114"/>
    <n v="5"/>
    <x v="1"/>
    <x v="15"/>
    <s v="COD"/>
    <d v="2018-08-17T00:00:00"/>
    <x v="205"/>
    <x v="1"/>
    <s v="Lucknow"/>
    <x v="0"/>
    <n v="8"/>
    <s v="Aug"/>
    <x v="6"/>
    <n v="-2.4255319148936172"/>
    <s v="Q3"/>
    <s v="Friday"/>
  </r>
  <r>
    <s v="B-25956"/>
    <n v="140"/>
    <n v="28"/>
    <n v="2"/>
    <x v="0"/>
    <x v="4"/>
    <s v="COD"/>
    <d v="2018-01-17T00:00:00"/>
    <x v="74"/>
    <x v="2"/>
    <s v="Mumbai"/>
    <x v="0"/>
    <n v="1"/>
    <s v="Jan"/>
    <x v="2"/>
    <n v="0.2"/>
    <s v="Q1"/>
    <s v="Wednesday"/>
  </r>
  <r>
    <s v="B-25996"/>
    <n v="47"/>
    <n v="1"/>
    <n v="2"/>
    <x v="2"/>
    <x v="11"/>
    <s v="COD"/>
    <d v="2018-02-04T00:00:00"/>
    <x v="126"/>
    <x v="8"/>
    <s v="Delhi"/>
    <x v="0"/>
    <n v="2"/>
    <s v="Feb"/>
    <x v="10"/>
    <n v="2.1276595744680851E-2"/>
    <s v="Q1"/>
    <s v="Sunday"/>
  </r>
  <r>
    <s v="B-25896"/>
    <n v="79"/>
    <n v="-2"/>
    <n v="2"/>
    <x v="1"/>
    <x v="15"/>
    <s v="EMI"/>
    <d v="2018-12-05T00:00:00"/>
    <x v="140"/>
    <x v="2"/>
    <s v="Mumbai"/>
    <x v="0"/>
    <n v="12"/>
    <s v="Dec"/>
    <x v="5"/>
    <n v="-2.5316455696202531E-2"/>
    <s v="Q4"/>
    <s v="Wednesday"/>
  </r>
  <r>
    <s v="B-25796"/>
    <n v="78"/>
    <n v="-64"/>
    <n v="7"/>
    <x v="2"/>
    <x v="11"/>
    <s v="EMI"/>
    <d v="2018-09-24T00:00:00"/>
    <x v="119"/>
    <x v="2"/>
    <s v="Mumbai"/>
    <x v="0"/>
    <n v="9"/>
    <s v="Sep"/>
    <x v="8"/>
    <n v="-0.82051282051282048"/>
    <s v="Q3"/>
    <s v="Monday"/>
  </r>
  <r>
    <s v="B-25798"/>
    <n v="47"/>
    <n v="-3"/>
    <n v="2"/>
    <x v="2"/>
    <x v="11"/>
    <s v="COD"/>
    <d v="2018-10-01T00:00:00"/>
    <x v="153"/>
    <x v="9"/>
    <s v="Hyderabad"/>
    <x v="0"/>
    <n v="10"/>
    <s v="Oct"/>
    <x v="11"/>
    <n v="-6.3829787234042548E-2"/>
    <s v="Q4"/>
    <s v="Monday"/>
  </r>
  <r>
    <s v="B-26043"/>
    <n v="185"/>
    <n v="48"/>
    <n v="4"/>
    <x v="2"/>
    <x v="11"/>
    <s v="UPI"/>
    <d v="2018-03-01T00:00:00"/>
    <x v="139"/>
    <x v="18"/>
    <s v="Gangtok"/>
    <x v="0"/>
    <n v="3"/>
    <s v="Mar"/>
    <x v="1"/>
    <n v="0.25945945945945947"/>
    <s v="Q1"/>
    <s v="Thursday"/>
  </r>
  <r>
    <s v="B-26028"/>
    <n v="77"/>
    <n v="36"/>
    <n v="2"/>
    <x v="2"/>
    <x v="16"/>
    <s v="EMI"/>
    <d v="2018-02-20T00:00:00"/>
    <x v="38"/>
    <x v="9"/>
    <s v="Hyderabad"/>
    <x v="0"/>
    <n v="2"/>
    <s v="Feb"/>
    <x v="10"/>
    <n v="0.46753246753246752"/>
    <s v="Q1"/>
    <s v="Tuesday"/>
  </r>
  <r>
    <s v="B-25812"/>
    <n v="259"/>
    <n v="47"/>
    <n v="5"/>
    <x v="2"/>
    <x v="7"/>
    <s v="UPI"/>
    <d v="2018-10-10T00:00:00"/>
    <x v="304"/>
    <x v="0"/>
    <s v="Indore"/>
    <x v="0"/>
    <n v="10"/>
    <s v="Oct"/>
    <x v="11"/>
    <n v="0.18146718146718147"/>
    <s v="Q4"/>
    <s v="Wednesday"/>
  </r>
  <r>
    <s v="B-25605"/>
    <n v="75"/>
    <n v="0"/>
    <n v="7"/>
    <x v="2"/>
    <x v="6"/>
    <s v="EMI"/>
    <d v="2018-04-05T00:00:00"/>
    <x v="127"/>
    <x v="17"/>
    <s v="Kolkata"/>
    <x v="0"/>
    <n v="4"/>
    <s v="Apr"/>
    <x v="3"/>
    <n v="0"/>
    <s v="Q2"/>
    <s v="Thursday"/>
  </r>
  <r>
    <s v="B-25702"/>
    <n v="75"/>
    <n v="0"/>
    <n v="3"/>
    <x v="2"/>
    <x v="16"/>
    <s v="EMI"/>
    <d v="2018-06-27T00:00:00"/>
    <x v="305"/>
    <x v="2"/>
    <s v="Mumbai"/>
    <x v="0"/>
    <n v="6"/>
    <s v="Jun"/>
    <x v="0"/>
    <n v="0"/>
    <s v="Q2"/>
    <s v="Wednesday"/>
  </r>
  <r>
    <s v="B-25940"/>
    <n v="46"/>
    <n v="0"/>
    <n v="4"/>
    <x v="2"/>
    <x v="12"/>
    <s v="COD"/>
    <d v="2018-01-06T00:00:00"/>
    <x v="142"/>
    <x v="16"/>
    <s v="Goa"/>
    <x v="0"/>
    <n v="1"/>
    <s v="Jan"/>
    <x v="2"/>
    <n v="0"/>
    <s v="Q1"/>
    <s v="Saturday"/>
  </r>
  <r>
    <s v="B-26087"/>
    <n v="46"/>
    <n v="13"/>
    <n v="3"/>
    <x v="2"/>
    <x v="7"/>
    <s v="COD"/>
    <d v="2018-03-26T00:00:00"/>
    <x v="143"/>
    <x v="11"/>
    <s v="Simla"/>
    <x v="0"/>
    <n v="3"/>
    <s v="Mar"/>
    <x v="1"/>
    <n v="0.28260869565217389"/>
    <s v="Q1"/>
    <s v="Monday"/>
  </r>
  <r>
    <s v="B-25955"/>
    <n v="200"/>
    <n v="13"/>
    <n v="5"/>
    <x v="0"/>
    <x v="4"/>
    <s v="COD"/>
    <d v="2018-01-16T00:00:00"/>
    <x v="2"/>
    <x v="2"/>
    <s v="Pune"/>
    <x v="0"/>
    <n v="1"/>
    <s v="Jan"/>
    <x v="2"/>
    <n v="6.5000000000000002E-2"/>
    <s v="Q1"/>
    <s v="Tuesday"/>
  </r>
  <r>
    <s v="B-25626"/>
    <n v="46"/>
    <n v="-14"/>
    <n v="1"/>
    <x v="0"/>
    <x v="4"/>
    <s v="COD"/>
    <d v="2018-04-23T00:00:00"/>
    <x v="300"/>
    <x v="2"/>
    <s v="Mumbai"/>
    <x v="0"/>
    <n v="4"/>
    <s v="Apr"/>
    <x v="3"/>
    <n v="-0.30434782608695654"/>
    <s v="Q2"/>
    <s v="Monday"/>
  </r>
  <r>
    <s v="B-25811"/>
    <n v="126"/>
    <n v="52"/>
    <n v="4"/>
    <x v="2"/>
    <x v="7"/>
    <s v="UPI"/>
    <d v="2018-10-10T00:00:00"/>
    <x v="306"/>
    <x v="2"/>
    <s v="Mumbai"/>
    <x v="0"/>
    <n v="10"/>
    <s v="Oct"/>
    <x v="11"/>
    <n v="0.41269841269841268"/>
    <s v="Q4"/>
    <s v="Wednesday"/>
  </r>
  <r>
    <s v="B-25856"/>
    <n v="74"/>
    <n v="29"/>
    <n v="3"/>
    <x v="2"/>
    <x v="11"/>
    <s v="EMI"/>
    <d v="2018-11-10T00:00:00"/>
    <x v="124"/>
    <x v="2"/>
    <s v="Mumbai"/>
    <x v="0"/>
    <n v="11"/>
    <s v="Nov"/>
    <x v="4"/>
    <n v="0.39189189189189189"/>
    <s v="Q4"/>
    <s v="Saturday"/>
  </r>
  <r>
    <s v="B-25628"/>
    <n v="45"/>
    <n v="13"/>
    <n v="4"/>
    <x v="2"/>
    <x v="9"/>
    <s v="COD"/>
    <d v="2018-04-24T00:00:00"/>
    <x v="28"/>
    <x v="12"/>
    <s v="Patna"/>
    <x v="0"/>
    <n v="4"/>
    <s v="Apr"/>
    <x v="3"/>
    <n v="0.28888888888888886"/>
    <s v="Q2"/>
    <s v="Tuesday"/>
  </r>
  <r>
    <s v="B-26016"/>
    <n v="74"/>
    <n v="9"/>
    <n v="3"/>
    <x v="2"/>
    <x v="16"/>
    <s v="UPI"/>
    <d v="2018-02-14T00:00:00"/>
    <x v="75"/>
    <x v="3"/>
    <s v="Bangalore"/>
    <x v="0"/>
    <n v="2"/>
    <s v="Feb"/>
    <x v="10"/>
    <n v="0.12162162162162163"/>
    <s v="Q1"/>
    <s v="Wednesday"/>
  </r>
  <r>
    <s v="B-25999"/>
    <n v="129"/>
    <n v="11"/>
    <n v="2"/>
    <x v="0"/>
    <x v="4"/>
    <s v="UPI"/>
    <d v="2018-02-05T00:00:00"/>
    <x v="207"/>
    <x v="8"/>
    <s v="Delhi"/>
    <x v="0"/>
    <n v="2"/>
    <s v="Feb"/>
    <x v="10"/>
    <n v="8.5271317829457363E-2"/>
    <s v="Q1"/>
    <s v="Monday"/>
  </r>
  <r>
    <s v="B-26043"/>
    <n v="122"/>
    <n v="50"/>
    <n v="7"/>
    <x v="2"/>
    <x v="11"/>
    <s v="UPI"/>
    <d v="2018-03-01T00:00:00"/>
    <x v="139"/>
    <x v="18"/>
    <s v="Gangtok"/>
    <x v="0"/>
    <n v="3"/>
    <s v="Mar"/>
    <x v="1"/>
    <n v="0.4098360655737705"/>
    <s v="Q1"/>
    <s v="Thursday"/>
  </r>
  <r>
    <s v="B-25743"/>
    <n v="74"/>
    <n v="-51"/>
    <n v="3"/>
    <x v="2"/>
    <x v="11"/>
    <s v="UPI"/>
    <d v="2018-08-07T00:00:00"/>
    <x v="140"/>
    <x v="5"/>
    <s v="Kohima"/>
    <x v="0"/>
    <n v="8"/>
    <s v="Aug"/>
    <x v="6"/>
    <n v="-0.68918918918918914"/>
    <s v="Q3"/>
    <s v="Tuesday"/>
  </r>
  <r>
    <s v="B-26014"/>
    <n v="278"/>
    <n v="39"/>
    <n v="5"/>
    <x v="1"/>
    <x v="1"/>
    <s v="Debit Card"/>
    <d v="2018-02-13T00:00:00"/>
    <x v="187"/>
    <x v="6"/>
    <s v="Jaipur"/>
    <x v="0"/>
    <n v="2"/>
    <s v="Feb"/>
    <x v="10"/>
    <n v="0.14028776978417265"/>
    <s v="Q1"/>
    <s v="Tuesday"/>
  </r>
  <r>
    <s v="B-25876"/>
    <n v="282"/>
    <n v="14"/>
    <n v="4"/>
    <x v="2"/>
    <x v="5"/>
    <s v="Debit Card"/>
    <d v="2018-11-24T00:00:00"/>
    <x v="307"/>
    <x v="13"/>
    <s v="Amritsar"/>
    <x v="0"/>
    <n v="11"/>
    <s v="Nov"/>
    <x v="4"/>
    <n v="4.9645390070921988E-2"/>
    <s v="Q4"/>
    <s v="Saturday"/>
  </r>
  <r>
    <s v="B-25785"/>
    <n v="45"/>
    <n v="0"/>
    <n v="2"/>
    <x v="2"/>
    <x v="14"/>
    <s v="COD"/>
    <d v="2018-09-15T00:00:00"/>
    <x v="121"/>
    <x v="17"/>
    <s v="Kolkata"/>
    <x v="0"/>
    <n v="9"/>
    <s v="Sep"/>
    <x v="8"/>
    <n v="0"/>
    <s v="Q3"/>
    <s v="Saturday"/>
  </r>
  <r>
    <s v="B-25810"/>
    <n v="45"/>
    <n v="6"/>
    <n v="3"/>
    <x v="2"/>
    <x v="16"/>
    <s v="COD"/>
    <d v="2018-10-10T00:00:00"/>
    <x v="50"/>
    <x v="13"/>
    <s v="Chandigarh"/>
    <x v="0"/>
    <n v="10"/>
    <s v="Oct"/>
    <x v="11"/>
    <n v="0.13333333333333333"/>
    <s v="Q4"/>
    <s v="Wednesday"/>
  </r>
  <r>
    <s v="B-25833"/>
    <n v="45"/>
    <n v="16"/>
    <n v="3"/>
    <x v="2"/>
    <x v="11"/>
    <s v="COD"/>
    <d v="2018-10-29T00:00:00"/>
    <x v="280"/>
    <x v="0"/>
    <s v="Indore"/>
    <x v="0"/>
    <n v="10"/>
    <s v="Oct"/>
    <x v="11"/>
    <n v="0.35555555555555557"/>
    <s v="Q4"/>
    <s v="Monday"/>
  </r>
  <r>
    <s v="B-25931"/>
    <n v="73"/>
    <n v="-36"/>
    <n v="3"/>
    <x v="1"/>
    <x v="1"/>
    <s v="UPI"/>
    <d v="2018-01-04T00:00:00"/>
    <x v="308"/>
    <x v="2"/>
    <s v="Mumbai"/>
    <x v="0"/>
    <n v="1"/>
    <s v="Jan"/>
    <x v="2"/>
    <n v="-0.49315068493150682"/>
    <s v="Q1"/>
    <s v="Thursday"/>
  </r>
  <r>
    <s v="B-25852"/>
    <n v="45"/>
    <n v="12"/>
    <n v="4"/>
    <x v="2"/>
    <x v="7"/>
    <s v="COD"/>
    <d v="2018-11-07T00:00:00"/>
    <x v="78"/>
    <x v="9"/>
    <s v="Hyderabad"/>
    <x v="0"/>
    <n v="11"/>
    <s v="Nov"/>
    <x v="4"/>
    <n v="0.26666666666666666"/>
    <s v="Q4"/>
    <s v="Wednesday"/>
  </r>
  <r>
    <s v="B-25738"/>
    <n v="72"/>
    <n v="-6"/>
    <n v="3"/>
    <x v="2"/>
    <x v="6"/>
    <s v="UPI"/>
    <d v="2018-08-02T00:00:00"/>
    <x v="121"/>
    <x v="13"/>
    <s v="Chandigarh"/>
    <x v="0"/>
    <n v="8"/>
    <s v="Aug"/>
    <x v="6"/>
    <n v="-8.3333333333333329E-2"/>
    <s v="Q3"/>
    <s v="Thursday"/>
  </r>
  <r>
    <s v="B-25921"/>
    <n v="71"/>
    <n v="-44"/>
    <n v="5"/>
    <x v="0"/>
    <x v="13"/>
    <s v="UPI"/>
    <d v="2018-12-25T00:00:00"/>
    <x v="268"/>
    <x v="13"/>
    <s v="Amritsar"/>
    <x v="0"/>
    <n v="12"/>
    <s v="Dec"/>
    <x v="5"/>
    <n v="-0.61971830985915488"/>
    <s v="Q4"/>
    <s v="Tuesday"/>
  </r>
  <r>
    <s v="B-25685"/>
    <n v="45"/>
    <n v="-2"/>
    <n v="4"/>
    <x v="2"/>
    <x v="16"/>
    <s v="COD"/>
    <d v="2018-06-10T00:00:00"/>
    <x v="26"/>
    <x v="0"/>
    <s v="Indore"/>
    <x v="0"/>
    <n v="6"/>
    <s v="Jun"/>
    <x v="0"/>
    <n v="-4.4444444444444446E-2"/>
    <s v="Q2"/>
    <s v="Sunday"/>
  </r>
  <r>
    <s v="B-25996"/>
    <n v="286"/>
    <n v="140"/>
    <n v="6"/>
    <x v="2"/>
    <x v="16"/>
    <s v="Debit Card"/>
    <d v="2018-02-04T00:00:00"/>
    <x v="126"/>
    <x v="8"/>
    <s v="Delhi"/>
    <x v="0"/>
    <n v="2"/>
    <s v="Feb"/>
    <x v="10"/>
    <n v="0.48951048951048953"/>
    <s v="Q1"/>
    <s v="Sunday"/>
  </r>
  <r>
    <s v="B-25663"/>
    <n v="294"/>
    <n v="138"/>
    <n v="2"/>
    <x v="0"/>
    <x v="3"/>
    <s v="Debit Card"/>
    <d v="2018-05-19T00:00:00"/>
    <x v="182"/>
    <x v="0"/>
    <s v="Indore"/>
    <x v="0"/>
    <n v="5"/>
    <s v="May"/>
    <x v="7"/>
    <n v="0.46938775510204084"/>
    <s v="Q2"/>
    <s v="Saturday"/>
  </r>
  <r>
    <s v="B-25888"/>
    <n v="223"/>
    <n v="4"/>
    <n v="3"/>
    <x v="0"/>
    <x v="4"/>
    <s v="COD"/>
    <d v="2018-12-02T00:00:00"/>
    <x v="115"/>
    <x v="13"/>
    <s v="Amritsar"/>
    <x v="0"/>
    <n v="12"/>
    <s v="Dec"/>
    <x v="5"/>
    <n v="1.7937219730941704E-2"/>
    <s v="Q4"/>
    <s v="Sunday"/>
  </r>
  <r>
    <s v="B-25677"/>
    <n v="20"/>
    <n v="-2"/>
    <n v="1"/>
    <x v="0"/>
    <x v="13"/>
    <s v="UPI"/>
    <d v="2018-06-02T00:00:00"/>
    <x v="10"/>
    <x v="17"/>
    <s v="Kolkata"/>
    <x v="0"/>
    <n v="6"/>
    <s v="Jun"/>
    <x v="0"/>
    <n v="-0.1"/>
    <s v="Q2"/>
    <s v="Saturday"/>
  </r>
  <r>
    <s v="B-26045"/>
    <n v="302"/>
    <n v="75"/>
    <n v="6"/>
    <x v="1"/>
    <x v="15"/>
    <s v="Debit Card"/>
    <d v="2018-03-03T00:00:00"/>
    <x v="186"/>
    <x v="5"/>
    <s v="Kohima"/>
    <x v="0"/>
    <n v="3"/>
    <s v="Mar"/>
    <x v="1"/>
    <n v="0.24834437086092714"/>
    <s v="Q1"/>
    <s v="Saturday"/>
  </r>
  <r>
    <s v="B-26002"/>
    <n v="113"/>
    <n v="28"/>
    <n v="2"/>
    <x v="2"/>
    <x v="6"/>
    <s v="UPI"/>
    <d v="2018-02-08T00:00:00"/>
    <x v="105"/>
    <x v="8"/>
    <s v="Delhi"/>
    <x v="0"/>
    <n v="2"/>
    <s v="Feb"/>
    <x v="10"/>
    <n v="0.24778761061946902"/>
    <s v="Q1"/>
    <s v="Thursday"/>
  </r>
  <r>
    <s v="B-25953"/>
    <n v="44"/>
    <n v="2"/>
    <n v="3"/>
    <x v="2"/>
    <x v="7"/>
    <s v="COD"/>
    <d v="2018-01-14T00:00:00"/>
    <x v="93"/>
    <x v="9"/>
    <s v="Hyderabad"/>
    <x v="0"/>
    <n v="1"/>
    <s v="Jan"/>
    <x v="2"/>
    <n v="4.5454545454545456E-2"/>
    <s v="Q1"/>
    <s v="Sunday"/>
  </r>
  <r>
    <s v="B-25617"/>
    <n v="305"/>
    <n v="-270"/>
    <n v="5"/>
    <x v="0"/>
    <x v="0"/>
    <s v="Debit Card"/>
    <d v="2018-04-17T00:00:00"/>
    <x v="296"/>
    <x v="5"/>
    <s v="Kohima"/>
    <x v="0"/>
    <n v="4"/>
    <s v="Apr"/>
    <x v="3"/>
    <n v="-0.88524590163934425"/>
    <s v="Q2"/>
    <s v="Tuesday"/>
  </r>
  <r>
    <s v="B-25702"/>
    <n v="306"/>
    <n v="-147"/>
    <n v="3"/>
    <x v="2"/>
    <x v="6"/>
    <s v="Debit Card"/>
    <d v="2018-06-27T00:00:00"/>
    <x v="305"/>
    <x v="2"/>
    <s v="Mumbai"/>
    <x v="0"/>
    <n v="6"/>
    <s v="Jun"/>
    <x v="0"/>
    <n v="-0.48039215686274511"/>
    <s v="Q2"/>
    <s v="Wednesday"/>
  </r>
  <r>
    <s v="B-25799"/>
    <n v="70"/>
    <n v="-64"/>
    <n v="5"/>
    <x v="2"/>
    <x v="11"/>
    <s v="UPI"/>
    <d v="2018-10-01T00:00:00"/>
    <x v="194"/>
    <x v="7"/>
    <s v="Ahmedabad"/>
    <x v="0"/>
    <n v="10"/>
    <s v="Oct"/>
    <x v="11"/>
    <n v="-0.91428571428571426"/>
    <s v="Q4"/>
    <s v="Monday"/>
  </r>
  <r>
    <s v="B-25985"/>
    <n v="44"/>
    <n v="11"/>
    <n v="4"/>
    <x v="2"/>
    <x v="11"/>
    <s v="COD"/>
    <d v="2018-01-31T00:00:00"/>
    <x v="201"/>
    <x v="0"/>
    <s v="Indore"/>
    <x v="0"/>
    <n v="1"/>
    <s v="Jan"/>
    <x v="2"/>
    <n v="0.25"/>
    <s v="Q1"/>
    <s v="Wednesday"/>
  </r>
  <r>
    <s v="B-25952"/>
    <n v="44"/>
    <n v="14"/>
    <n v="3"/>
    <x v="2"/>
    <x v="7"/>
    <s v="COD"/>
    <d v="2018-01-13T00:00:00"/>
    <x v="85"/>
    <x v="0"/>
    <s v="Indore"/>
    <x v="0"/>
    <n v="1"/>
    <s v="Jan"/>
    <x v="2"/>
    <n v="0.31818181818181818"/>
    <s v="Q1"/>
    <s v="Saturday"/>
  </r>
  <r>
    <s v="B-25754"/>
    <n v="319"/>
    <n v="312"/>
    <n v="5"/>
    <x v="2"/>
    <x v="6"/>
    <s v="Debit Card"/>
    <d v="2018-08-18T00:00:00"/>
    <x v="29"/>
    <x v="12"/>
    <s v="Patna"/>
    <x v="0"/>
    <n v="8"/>
    <s v="Aug"/>
    <x v="6"/>
    <n v="0.9780564263322884"/>
    <s v="Q3"/>
    <s v="Saturday"/>
  </r>
  <r>
    <s v="B-25770"/>
    <n v="287"/>
    <n v="-280"/>
    <n v="12"/>
    <x v="1"/>
    <x v="1"/>
    <s v="UPI"/>
    <d v="2018-09-02T00:00:00"/>
    <x v="178"/>
    <x v="0"/>
    <s v="Indore"/>
    <x v="0"/>
    <n v="9"/>
    <s v="Sep"/>
    <x v="8"/>
    <n v="-0.97560975609756095"/>
    <s v="Q3"/>
    <s v="Sunday"/>
  </r>
  <r>
    <s v="B-25954"/>
    <n v="44"/>
    <n v="10"/>
    <n v="3"/>
    <x v="2"/>
    <x v="11"/>
    <s v="COD"/>
    <d v="2018-01-14T00:00:00"/>
    <x v="225"/>
    <x v="7"/>
    <s v="Ahmedabad"/>
    <x v="0"/>
    <n v="1"/>
    <s v="Jan"/>
    <x v="2"/>
    <n v="0.22727272727272727"/>
    <s v="Q1"/>
    <s v="Sunday"/>
  </r>
  <r>
    <s v="B-25657"/>
    <n v="288"/>
    <n v="-180"/>
    <n v="4"/>
    <x v="1"/>
    <x v="1"/>
    <s v="COD"/>
    <d v="2018-05-13T00:00:00"/>
    <x v="91"/>
    <x v="0"/>
    <s v="Bhopal"/>
    <x v="0"/>
    <n v="5"/>
    <s v="May"/>
    <x v="7"/>
    <n v="-0.625"/>
    <s v="Q2"/>
    <s v="Sunday"/>
  </r>
  <r>
    <s v="B-25801"/>
    <n v="49"/>
    <n v="-31"/>
    <n v="2"/>
    <x v="2"/>
    <x v="11"/>
    <s v="COD"/>
    <d v="2018-10-01T00:00:00"/>
    <x v="51"/>
    <x v="0"/>
    <s v="Bhopal"/>
    <x v="0"/>
    <n v="10"/>
    <s v="Oct"/>
    <x v="11"/>
    <n v="-0.63265306122448983"/>
    <s v="Q4"/>
    <s v="Monday"/>
  </r>
  <r>
    <s v="B-26000"/>
    <n v="43"/>
    <n v="-10"/>
    <n v="4"/>
    <x v="2"/>
    <x v="9"/>
    <s v="COD"/>
    <d v="2018-02-06T00:00:00"/>
    <x v="141"/>
    <x v="8"/>
    <s v="Delhi"/>
    <x v="0"/>
    <n v="2"/>
    <s v="Feb"/>
    <x v="10"/>
    <n v="-0.23255813953488372"/>
    <s v="Q1"/>
    <s v="Tuesday"/>
  </r>
  <r>
    <s v="B-25897"/>
    <n v="43"/>
    <n v="5"/>
    <n v="3"/>
    <x v="2"/>
    <x v="11"/>
    <s v="COD"/>
    <d v="2018-12-06T00:00:00"/>
    <x v="115"/>
    <x v="0"/>
    <s v="Indore"/>
    <x v="0"/>
    <n v="12"/>
    <s v="Dec"/>
    <x v="5"/>
    <n v="0.11627906976744186"/>
    <s v="Q4"/>
    <s v="Thursday"/>
  </r>
  <r>
    <s v="B-25681"/>
    <n v="68"/>
    <n v="-27"/>
    <n v="3"/>
    <x v="0"/>
    <x v="13"/>
    <s v="UPI"/>
    <d v="2018-06-04T00:00:00"/>
    <x v="0"/>
    <x v="0"/>
    <s v="Indore"/>
    <x v="0"/>
    <n v="6"/>
    <s v="Jun"/>
    <x v="0"/>
    <n v="-0.39705882352941174"/>
    <s v="Q2"/>
    <s v="Monday"/>
  </r>
  <r>
    <s v="B-25852"/>
    <n v="320"/>
    <n v="144"/>
    <n v="1"/>
    <x v="0"/>
    <x v="3"/>
    <s v="Debit Card"/>
    <d v="2018-11-07T00:00:00"/>
    <x v="78"/>
    <x v="9"/>
    <s v="Hyderabad"/>
    <x v="0"/>
    <n v="11"/>
    <s v="Nov"/>
    <x v="4"/>
    <n v="0.45"/>
    <s v="Q4"/>
    <s v="Wednesday"/>
  </r>
  <r>
    <s v="B-26067"/>
    <n v="67"/>
    <n v="2"/>
    <n v="4"/>
    <x v="2"/>
    <x v="14"/>
    <s v="UPI"/>
    <d v="2018-03-16T00:00:00"/>
    <x v="91"/>
    <x v="0"/>
    <s v="Bhopal"/>
    <x v="0"/>
    <n v="3"/>
    <s v="Mar"/>
    <x v="1"/>
    <n v="2.9850746268656716E-2"/>
    <s v="Q1"/>
    <s v="Friday"/>
  </r>
  <r>
    <s v="B-25601"/>
    <n v="66"/>
    <n v="-12"/>
    <n v="5"/>
    <x v="2"/>
    <x v="11"/>
    <s v="UPI"/>
    <d v="2018-04-01T00:00:00"/>
    <x v="234"/>
    <x v="7"/>
    <s v="Ahmedabad"/>
    <x v="0"/>
    <n v="4"/>
    <s v="Apr"/>
    <x v="3"/>
    <n v="-0.18181818181818182"/>
    <s v="Q2"/>
    <s v="Sunday"/>
  </r>
  <r>
    <s v="B-25804"/>
    <n v="321"/>
    <n v="26"/>
    <n v="3"/>
    <x v="0"/>
    <x v="3"/>
    <s v="Debit Card"/>
    <d v="2018-10-05T00:00:00"/>
    <x v="256"/>
    <x v="3"/>
    <s v="Bangalore"/>
    <x v="0"/>
    <n v="10"/>
    <s v="Oct"/>
    <x v="11"/>
    <n v="8.0996884735202487E-2"/>
    <s v="Q4"/>
    <s v="Friday"/>
  </r>
  <r>
    <s v="B-25751"/>
    <n v="43"/>
    <n v="-5"/>
    <n v="2"/>
    <x v="2"/>
    <x v="6"/>
    <s v="COD"/>
    <d v="2018-08-14T00:00:00"/>
    <x v="188"/>
    <x v="2"/>
    <s v="Mumbai"/>
    <x v="0"/>
    <n v="8"/>
    <s v="Aug"/>
    <x v="6"/>
    <n v="-0.11627906976744186"/>
    <s v="Q3"/>
    <s v="Tuesday"/>
  </r>
  <r>
    <s v="B-25630"/>
    <n v="114"/>
    <n v="-39"/>
    <n v="5"/>
    <x v="2"/>
    <x v="8"/>
    <s v="COD"/>
    <d v="2018-04-24T00:00:00"/>
    <x v="168"/>
    <x v="13"/>
    <s v="Chandigarh"/>
    <x v="0"/>
    <n v="4"/>
    <s v="Apr"/>
    <x v="3"/>
    <n v="-0.34210526315789475"/>
    <s v="Q2"/>
    <s v="Tuesday"/>
  </r>
  <r>
    <s v="B-25899"/>
    <n v="43"/>
    <n v="17"/>
    <n v="1"/>
    <x v="2"/>
    <x v="6"/>
    <s v="COD"/>
    <d v="2018-12-08T00:00:00"/>
    <x v="129"/>
    <x v="1"/>
    <s v="Prayagraj"/>
    <x v="0"/>
    <n v="12"/>
    <s v="Dec"/>
    <x v="5"/>
    <n v="0.39534883720930231"/>
    <s v="Q4"/>
    <s v="Saturday"/>
  </r>
  <r>
    <s v="B-25751"/>
    <n v="43"/>
    <n v="21"/>
    <n v="3"/>
    <x v="2"/>
    <x v="16"/>
    <s v="COD"/>
    <d v="2018-08-14T00:00:00"/>
    <x v="188"/>
    <x v="2"/>
    <s v="Mumbai"/>
    <x v="0"/>
    <n v="8"/>
    <s v="Aug"/>
    <x v="6"/>
    <n v="0.48837209302325579"/>
    <s v="Q3"/>
    <s v="Tuesday"/>
  </r>
  <r>
    <s v="B-26081"/>
    <n v="637"/>
    <n v="50"/>
    <n v="5"/>
    <x v="2"/>
    <x v="6"/>
    <s v="COD"/>
    <d v="2018-03-22T00:00:00"/>
    <x v="55"/>
    <x v="14"/>
    <s v="Chennai"/>
    <x v="0"/>
    <n v="3"/>
    <s v="Mar"/>
    <x v="1"/>
    <n v="7.8492935635792779E-2"/>
    <s v="Q1"/>
    <s v="Thursday"/>
  </r>
  <r>
    <s v="B-25851"/>
    <n v="300"/>
    <n v="42"/>
    <n v="2"/>
    <x v="0"/>
    <x v="3"/>
    <s v="COD"/>
    <d v="2018-11-06T00:00:00"/>
    <x v="9"/>
    <x v="5"/>
    <s v="Kohima"/>
    <x v="0"/>
    <n v="11"/>
    <s v="Nov"/>
    <x v="4"/>
    <n v="0.14000000000000001"/>
    <s v="Q4"/>
    <s v="Tuesday"/>
  </r>
  <r>
    <s v="B-26036"/>
    <n v="341"/>
    <n v="44"/>
    <n v="7"/>
    <x v="1"/>
    <x v="15"/>
    <s v="UPI"/>
    <d v="2018-02-23T00:00:00"/>
    <x v="300"/>
    <x v="2"/>
    <s v="Mumbai"/>
    <x v="0"/>
    <n v="2"/>
    <s v="Feb"/>
    <x v="10"/>
    <n v="0.12903225806451613"/>
    <s v="Q1"/>
    <s v="Friday"/>
  </r>
  <r>
    <s v="B-25704"/>
    <n v="102"/>
    <n v="0"/>
    <n v="3"/>
    <x v="0"/>
    <x v="4"/>
    <s v="COD"/>
    <d v="2018-06-29T00:00:00"/>
    <x v="82"/>
    <x v="2"/>
    <s v="Mumbai"/>
    <x v="0"/>
    <n v="6"/>
    <s v="Jun"/>
    <x v="0"/>
    <n v="0"/>
    <s v="Q2"/>
    <s v="Friday"/>
  </r>
  <r>
    <s v="B-25761"/>
    <n v="328"/>
    <n v="-15"/>
    <n v="3"/>
    <x v="0"/>
    <x v="0"/>
    <s v="Debit Card"/>
    <d v="2018-08-25T00:00:00"/>
    <x v="14"/>
    <x v="1"/>
    <s v="Mathura"/>
    <x v="0"/>
    <n v="8"/>
    <s v="Aug"/>
    <x v="6"/>
    <n v="-4.573170731707317E-2"/>
    <s v="Q3"/>
    <s v="Saturday"/>
  </r>
  <r>
    <s v="B-25978"/>
    <n v="341"/>
    <n v="160"/>
    <n v="7"/>
    <x v="2"/>
    <x v="11"/>
    <s v="Debit Card"/>
    <d v="2018-01-27T00:00:00"/>
    <x v="309"/>
    <x v="2"/>
    <s v="Mumbai"/>
    <x v="0"/>
    <n v="1"/>
    <s v="Jan"/>
    <x v="2"/>
    <n v="0.46920821114369504"/>
    <s v="Q1"/>
    <s v="Saturday"/>
  </r>
  <r>
    <s v="B-26077"/>
    <n v="62"/>
    <n v="11"/>
    <n v="7"/>
    <x v="2"/>
    <x v="7"/>
    <s v="UPI"/>
    <d v="2018-03-22T00:00:00"/>
    <x v="187"/>
    <x v="6"/>
    <s v="Jaipur"/>
    <x v="0"/>
    <n v="3"/>
    <s v="Mar"/>
    <x v="1"/>
    <n v="0.17741935483870969"/>
    <s v="Q1"/>
    <s v="Thursday"/>
  </r>
  <r>
    <s v="B-25981"/>
    <n v="42"/>
    <n v="13"/>
    <n v="3"/>
    <x v="2"/>
    <x v="12"/>
    <s v="COD"/>
    <d v="2018-01-28T00:00:00"/>
    <x v="189"/>
    <x v="8"/>
    <s v="Delhi"/>
    <x v="0"/>
    <n v="1"/>
    <s v="Jan"/>
    <x v="2"/>
    <n v="0.30952380952380953"/>
    <s v="Q1"/>
    <s v="Sunday"/>
  </r>
  <r>
    <s v="B-26043"/>
    <n v="62"/>
    <n v="28"/>
    <n v="5"/>
    <x v="2"/>
    <x v="7"/>
    <s v="UPI"/>
    <d v="2018-03-01T00:00:00"/>
    <x v="139"/>
    <x v="18"/>
    <s v="Gangtok"/>
    <x v="0"/>
    <n v="3"/>
    <s v="Mar"/>
    <x v="1"/>
    <n v="0.45161290322580644"/>
    <s v="Q1"/>
    <s v="Thursday"/>
  </r>
  <r>
    <s v="B-25896"/>
    <n v="42"/>
    <n v="7"/>
    <n v="2"/>
    <x v="2"/>
    <x v="8"/>
    <s v="COD"/>
    <d v="2018-12-05T00:00:00"/>
    <x v="140"/>
    <x v="2"/>
    <s v="Mumbai"/>
    <x v="0"/>
    <n v="12"/>
    <s v="Dec"/>
    <x v="5"/>
    <n v="0.16666666666666666"/>
    <s v="Q4"/>
    <s v="Wednesday"/>
  </r>
  <r>
    <s v="B-25790"/>
    <n v="42"/>
    <n v="-3"/>
    <n v="1"/>
    <x v="0"/>
    <x v="0"/>
    <s v="COD"/>
    <d v="2018-09-23T00:00:00"/>
    <x v="310"/>
    <x v="12"/>
    <s v="Patna"/>
    <x v="0"/>
    <n v="9"/>
    <s v="Sep"/>
    <x v="8"/>
    <n v="-7.1428571428571425E-2"/>
    <s v="Q3"/>
    <s v="Sunday"/>
  </r>
  <r>
    <s v="B-25789"/>
    <n v="313"/>
    <n v="-13"/>
    <n v="5"/>
    <x v="1"/>
    <x v="2"/>
    <s v="UPI"/>
    <d v="2018-09-22T00:00:00"/>
    <x v="29"/>
    <x v="1"/>
    <s v="Lucknow"/>
    <x v="0"/>
    <n v="9"/>
    <s v="Sep"/>
    <x v="8"/>
    <n v="-4.1533546325878593E-2"/>
    <s v="Q3"/>
    <s v="Saturday"/>
  </r>
  <r>
    <s v="B-26061"/>
    <n v="109"/>
    <n v="52"/>
    <n v="2"/>
    <x v="2"/>
    <x v="11"/>
    <s v="UPI"/>
    <d v="2018-03-14T00:00:00"/>
    <x v="71"/>
    <x v="0"/>
    <s v="Indore"/>
    <x v="0"/>
    <n v="3"/>
    <s v="Mar"/>
    <x v="1"/>
    <n v="0.47706422018348627"/>
    <s v="Q1"/>
    <s v="Wednesday"/>
  </r>
  <r>
    <s v="B-25923"/>
    <n v="226"/>
    <n v="58"/>
    <n v="3"/>
    <x v="0"/>
    <x v="13"/>
    <s v="COD"/>
    <d v="2018-12-27T00:00:00"/>
    <x v="12"/>
    <x v="2"/>
    <s v="Mumbai"/>
    <x v="0"/>
    <n v="12"/>
    <s v="Dec"/>
    <x v="5"/>
    <n v="0.25663716814159293"/>
    <s v="Q4"/>
    <s v="Thursday"/>
  </r>
  <r>
    <s v="B-25868"/>
    <n v="62"/>
    <n v="-1"/>
    <n v="1"/>
    <x v="0"/>
    <x v="4"/>
    <s v="UPI"/>
    <d v="2018-11-18T00:00:00"/>
    <x v="52"/>
    <x v="16"/>
    <s v="Goa"/>
    <x v="0"/>
    <n v="11"/>
    <s v="Nov"/>
    <x v="4"/>
    <n v="-1.6129032258064516E-2"/>
    <s v="Q4"/>
    <s v="Sunday"/>
  </r>
  <r>
    <s v="B-25777"/>
    <n v="61"/>
    <n v="-25"/>
    <n v="4"/>
    <x v="0"/>
    <x v="13"/>
    <s v="UPI"/>
    <d v="2018-09-10T00:00:00"/>
    <x v="64"/>
    <x v="0"/>
    <s v="Indore"/>
    <x v="0"/>
    <n v="9"/>
    <s v="Sep"/>
    <x v="8"/>
    <n v="-0.4098360655737705"/>
    <s v="Q3"/>
    <s v="Monday"/>
  </r>
  <r>
    <s v="B-25999"/>
    <n v="222"/>
    <n v="74"/>
    <n v="5"/>
    <x v="2"/>
    <x v="7"/>
    <s v="COD"/>
    <d v="2018-02-05T00:00:00"/>
    <x v="207"/>
    <x v="8"/>
    <s v="Delhi"/>
    <x v="0"/>
    <n v="2"/>
    <s v="Feb"/>
    <x v="10"/>
    <n v="0.33333333333333331"/>
    <s v="Q1"/>
    <s v="Monday"/>
  </r>
  <r>
    <s v="B-25854"/>
    <n v="342"/>
    <n v="-154"/>
    <n v="7"/>
    <x v="1"/>
    <x v="15"/>
    <s v="Debit Card"/>
    <d v="2018-11-08T00:00:00"/>
    <x v="141"/>
    <x v="2"/>
    <s v="Pune"/>
    <x v="0"/>
    <n v="11"/>
    <s v="Nov"/>
    <x v="4"/>
    <n v="-0.45029239766081869"/>
    <s v="Q4"/>
    <s v="Thursday"/>
  </r>
  <r>
    <s v="B-25667"/>
    <n v="344"/>
    <n v="-34"/>
    <n v="3"/>
    <x v="2"/>
    <x v="6"/>
    <s v="Debit Card"/>
    <d v="2018-05-23T00:00:00"/>
    <x v="67"/>
    <x v="15"/>
    <s v="Chandigarh"/>
    <x v="0"/>
    <n v="5"/>
    <s v="May"/>
    <x v="7"/>
    <n v="-9.8837209302325577E-2"/>
    <s v="Q2"/>
    <s v="Wednesday"/>
  </r>
  <r>
    <s v="B-25829"/>
    <n v="345"/>
    <n v="38"/>
    <n v="7"/>
    <x v="2"/>
    <x v="7"/>
    <s v="Debit Card"/>
    <d v="2018-10-25T00:00:00"/>
    <x v="311"/>
    <x v="15"/>
    <s v="Chandigarh"/>
    <x v="0"/>
    <n v="10"/>
    <s v="Oct"/>
    <x v="11"/>
    <n v="0.11014492753623188"/>
    <s v="Q4"/>
    <s v="Thursday"/>
  </r>
  <r>
    <s v="B-25705"/>
    <n v="46"/>
    <n v="0"/>
    <n v="2"/>
    <x v="0"/>
    <x v="0"/>
    <s v="COD"/>
    <d v="2018-06-30T00:00:00"/>
    <x v="92"/>
    <x v="0"/>
    <s v="Indore"/>
    <x v="0"/>
    <n v="6"/>
    <s v="Jun"/>
    <x v="0"/>
    <n v="0"/>
    <s v="Q2"/>
    <s v="Saturday"/>
  </r>
  <r>
    <s v="B-25843"/>
    <n v="255"/>
    <n v="74"/>
    <n v="5"/>
    <x v="2"/>
    <x v="7"/>
    <s v="COD"/>
    <d v="2018-11-03T00:00:00"/>
    <x v="173"/>
    <x v="2"/>
    <s v="Mumbai"/>
    <x v="0"/>
    <n v="11"/>
    <s v="Nov"/>
    <x v="4"/>
    <n v="0.29019607843137257"/>
    <s v="Q4"/>
    <s v="Saturday"/>
  </r>
  <r>
    <s v="B-25958"/>
    <n v="360"/>
    <n v="32"/>
    <n v="3"/>
    <x v="2"/>
    <x v="6"/>
    <s v="UPI"/>
    <d v="2018-01-18T00:00:00"/>
    <x v="248"/>
    <x v="17"/>
    <s v="Kolkata"/>
    <x v="0"/>
    <n v="1"/>
    <s v="Jan"/>
    <x v="2"/>
    <n v="8.8888888888888892E-2"/>
    <s v="Q1"/>
    <s v="Thursday"/>
  </r>
  <r>
    <s v="B-25893"/>
    <n v="372"/>
    <n v="59"/>
    <n v="3"/>
    <x v="0"/>
    <x v="3"/>
    <s v="UPI"/>
    <d v="2018-12-04T00:00:00"/>
    <x v="4"/>
    <x v="1"/>
    <s v="Mathura"/>
    <x v="0"/>
    <n v="12"/>
    <s v="Dec"/>
    <x v="5"/>
    <n v="0.15860215053763441"/>
    <s v="Q4"/>
    <s v="Tuesday"/>
  </r>
  <r>
    <s v="B-25855"/>
    <n v="61"/>
    <n v="30"/>
    <n v="2"/>
    <x v="2"/>
    <x v="7"/>
    <s v="UPI"/>
    <d v="2018-11-08T00:00:00"/>
    <x v="124"/>
    <x v="0"/>
    <s v="Bhopal"/>
    <x v="0"/>
    <n v="11"/>
    <s v="Nov"/>
    <x v="4"/>
    <n v="0.49180327868852458"/>
    <s v="Q4"/>
    <s v="Thursday"/>
  </r>
  <r>
    <s v="B-25616"/>
    <n v="42"/>
    <n v="12"/>
    <n v="5"/>
    <x v="2"/>
    <x v="7"/>
    <s v="COD"/>
    <d v="2018-04-15T00:00:00"/>
    <x v="72"/>
    <x v="16"/>
    <s v="Goa"/>
    <x v="0"/>
    <n v="4"/>
    <s v="Apr"/>
    <x v="3"/>
    <n v="0.2857142857142857"/>
    <s v="Q2"/>
    <s v="Sunday"/>
  </r>
  <r>
    <s v="B-25630"/>
    <n v="42"/>
    <n v="-26"/>
    <n v="2"/>
    <x v="2"/>
    <x v="8"/>
    <s v="COD"/>
    <d v="2018-04-24T00:00:00"/>
    <x v="168"/>
    <x v="13"/>
    <s v="Chandigarh"/>
    <x v="0"/>
    <n v="4"/>
    <s v="Apr"/>
    <x v="3"/>
    <n v="-0.61904761904761907"/>
    <s v="Q2"/>
    <s v="Tuesday"/>
  </r>
  <r>
    <s v="B-25936"/>
    <n v="61"/>
    <n v="25"/>
    <n v="4"/>
    <x v="2"/>
    <x v="6"/>
    <s v="UPI"/>
    <d v="2018-01-05T00:00:00"/>
    <x v="312"/>
    <x v="13"/>
    <s v="Chandigarh"/>
    <x v="0"/>
    <n v="1"/>
    <s v="Jan"/>
    <x v="2"/>
    <n v="0.4098360655737705"/>
    <s v="Q1"/>
    <s v="Friday"/>
  </r>
  <r>
    <s v="B-25830"/>
    <n v="41"/>
    <n v="11"/>
    <n v="6"/>
    <x v="2"/>
    <x v="7"/>
    <s v="COD"/>
    <d v="2018-10-26T00:00:00"/>
    <x v="25"/>
    <x v="11"/>
    <s v="Simla"/>
    <x v="0"/>
    <n v="10"/>
    <s v="Oct"/>
    <x v="11"/>
    <n v="0.26829268292682928"/>
    <s v="Q4"/>
    <s v="Friday"/>
  </r>
  <r>
    <s v="B-25930"/>
    <n v="40"/>
    <n v="13"/>
    <n v="3"/>
    <x v="2"/>
    <x v="14"/>
    <s v="COD"/>
    <d v="2018-01-03T00:00:00"/>
    <x v="120"/>
    <x v="13"/>
    <s v="Chandigarh"/>
    <x v="0"/>
    <n v="1"/>
    <s v="Jan"/>
    <x v="2"/>
    <n v="0.32500000000000001"/>
    <s v="Q1"/>
    <s v="Wednesday"/>
  </r>
  <r>
    <s v="B-25808"/>
    <n v="59"/>
    <n v="21"/>
    <n v="2"/>
    <x v="2"/>
    <x v="11"/>
    <s v="UPI"/>
    <d v="2018-10-08T00:00:00"/>
    <x v="102"/>
    <x v="12"/>
    <s v="Patna"/>
    <x v="0"/>
    <n v="10"/>
    <s v="Oct"/>
    <x v="11"/>
    <n v="0.3559322033898305"/>
    <s v="Q4"/>
    <s v="Monday"/>
  </r>
  <r>
    <s v="B-25979"/>
    <n v="57"/>
    <n v="27"/>
    <n v="2"/>
    <x v="2"/>
    <x v="16"/>
    <s v="UPI"/>
    <d v="2018-01-27T00:00:00"/>
    <x v="211"/>
    <x v="0"/>
    <s v="Indore"/>
    <x v="0"/>
    <n v="1"/>
    <s v="Jan"/>
    <x v="2"/>
    <n v="0.47368421052631576"/>
    <s v="Q1"/>
    <s v="Saturday"/>
  </r>
  <r>
    <s v="B-25687"/>
    <n v="17"/>
    <n v="6"/>
    <n v="1"/>
    <x v="2"/>
    <x v="11"/>
    <s v="UPI"/>
    <d v="2018-06-11T00:00:00"/>
    <x v="7"/>
    <x v="2"/>
    <s v="Mumbai"/>
    <x v="0"/>
    <n v="6"/>
    <s v="Jun"/>
    <x v="0"/>
    <n v="0.35294117647058826"/>
    <s v="Q2"/>
    <s v="Monday"/>
  </r>
  <r>
    <s v="B-26087"/>
    <n v="40"/>
    <n v="10"/>
    <n v="2"/>
    <x v="2"/>
    <x v="11"/>
    <s v="COD"/>
    <d v="2018-03-26T00:00:00"/>
    <x v="143"/>
    <x v="11"/>
    <s v="Simla"/>
    <x v="0"/>
    <n v="3"/>
    <s v="Mar"/>
    <x v="1"/>
    <n v="0.25"/>
    <s v="Q1"/>
    <s v="Monday"/>
  </r>
  <r>
    <s v="B-25764"/>
    <n v="349"/>
    <n v="-24"/>
    <n v="2"/>
    <x v="2"/>
    <x v="6"/>
    <s v="Debit Card"/>
    <d v="2018-08-28T00:00:00"/>
    <x v="231"/>
    <x v="2"/>
    <s v="Pune"/>
    <x v="0"/>
    <n v="8"/>
    <s v="Aug"/>
    <x v="6"/>
    <n v="-6.8767908309455589E-2"/>
    <s v="Q3"/>
    <s v="Tuesday"/>
  </r>
  <r>
    <s v="B-25782"/>
    <n v="335"/>
    <n v="-22"/>
    <n v="7"/>
    <x v="1"/>
    <x v="1"/>
    <s v="UPI"/>
    <d v="2018-09-15T00:00:00"/>
    <x v="159"/>
    <x v="2"/>
    <s v="Mumbai"/>
    <x v="0"/>
    <n v="9"/>
    <s v="Sep"/>
    <x v="8"/>
    <n v="-6.5671641791044774E-2"/>
    <s v="Q3"/>
    <s v="Saturday"/>
  </r>
  <r>
    <s v="B-25854"/>
    <n v="40"/>
    <n v="16"/>
    <n v="3"/>
    <x v="2"/>
    <x v="7"/>
    <s v="COD"/>
    <d v="2018-11-08T00:00:00"/>
    <x v="141"/>
    <x v="2"/>
    <s v="Pune"/>
    <x v="0"/>
    <n v="11"/>
    <s v="Nov"/>
    <x v="4"/>
    <n v="0.4"/>
    <s v="Q4"/>
    <s v="Thursday"/>
  </r>
  <r>
    <s v="B-26085"/>
    <n v="40"/>
    <n v="17"/>
    <n v="2"/>
    <x v="2"/>
    <x v="11"/>
    <s v="COD"/>
    <d v="2018-03-26T00:00:00"/>
    <x v="32"/>
    <x v="13"/>
    <s v="Chandigarh"/>
    <x v="0"/>
    <n v="3"/>
    <s v="Mar"/>
    <x v="1"/>
    <n v="0.42499999999999999"/>
    <s v="Q1"/>
    <s v="Monday"/>
  </r>
  <r>
    <s v="B-25630"/>
    <n v="40"/>
    <n v="-7"/>
    <n v="3"/>
    <x v="2"/>
    <x v="11"/>
    <s v="COD"/>
    <d v="2018-04-24T00:00:00"/>
    <x v="168"/>
    <x v="13"/>
    <s v="Chandigarh"/>
    <x v="0"/>
    <n v="4"/>
    <s v="Apr"/>
    <x v="3"/>
    <n v="-0.17499999999999999"/>
    <s v="Q2"/>
    <s v="Tuesday"/>
  </r>
  <r>
    <s v="B-25999"/>
    <n v="352"/>
    <n v="74"/>
    <n v="8"/>
    <x v="2"/>
    <x v="11"/>
    <s v="Debit Card"/>
    <d v="2018-02-05T00:00:00"/>
    <x v="207"/>
    <x v="8"/>
    <s v="Delhi"/>
    <x v="0"/>
    <n v="2"/>
    <s v="Feb"/>
    <x v="10"/>
    <n v="0.21022727272727273"/>
    <s v="Q1"/>
    <s v="Monday"/>
  </r>
  <r>
    <s v="B-25648"/>
    <n v="55"/>
    <n v="-26"/>
    <n v="4"/>
    <x v="2"/>
    <x v="6"/>
    <s v="UPI"/>
    <d v="2018-05-04T00:00:00"/>
    <x v="160"/>
    <x v="13"/>
    <s v="Chandigarh"/>
    <x v="0"/>
    <n v="5"/>
    <s v="May"/>
    <x v="7"/>
    <n v="-0.47272727272727272"/>
    <s v="Q2"/>
    <s v="Friday"/>
  </r>
  <r>
    <s v="B-25952"/>
    <n v="352"/>
    <n v="18"/>
    <n v="5"/>
    <x v="2"/>
    <x v="5"/>
    <s v="Debit Card"/>
    <d v="2018-01-13T00:00:00"/>
    <x v="85"/>
    <x v="0"/>
    <s v="Indore"/>
    <x v="0"/>
    <n v="1"/>
    <s v="Jan"/>
    <x v="2"/>
    <n v="5.113636363636364E-2"/>
    <s v="Q1"/>
    <s v="Saturday"/>
  </r>
  <r>
    <s v="B-25710"/>
    <n v="53"/>
    <n v="-18"/>
    <n v="4"/>
    <x v="2"/>
    <x v="14"/>
    <s v="UPI"/>
    <d v="2018-07-05T00:00:00"/>
    <x v="36"/>
    <x v="2"/>
    <s v="Pune"/>
    <x v="0"/>
    <n v="7"/>
    <s v="Jul"/>
    <x v="9"/>
    <n v="-0.33962264150943394"/>
    <s v="Q3"/>
    <s v="Thursday"/>
  </r>
  <r>
    <s v="B-25685"/>
    <n v="51"/>
    <n v="7"/>
    <n v="2"/>
    <x v="1"/>
    <x v="15"/>
    <s v="UPI"/>
    <d v="2018-06-10T00:00:00"/>
    <x v="26"/>
    <x v="0"/>
    <s v="Indore"/>
    <x v="0"/>
    <n v="6"/>
    <s v="Jun"/>
    <x v="0"/>
    <n v="0.13725490196078433"/>
    <s v="Q2"/>
    <s v="Sunday"/>
  </r>
  <r>
    <s v="B-25740"/>
    <n v="40"/>
    <n v="-37"/>
    <n v="3"/>
    <x v="2"/>
    <x v="11"/>
    <s v="COD"/>
    <d v="2018-08-03T00:00:00"/>
    <x v="291"/>
    <x v="2"/>
    <s v="Mumbai"/>
    <x v="0"/>
    <n v="8"/>
    <s v="Aug"/>
    <x v="6"/>
    <n v="-0.92500000000000004"/>
    <s v="Q3"/>
    <s v="Friday"/>
  </r>
  <r>
    <s v="B-25973"/>
    <n v="39"/>
    <n v="14"/>
    <n v="5"/>
    <x v="2"/>
    <x v="12"/>
    <s v="COD"/>
    <d v="2018-01-24T00:00:00"/>
    <x v="16"/>
    <x v="1"/>
    <s v="Mathura"/>
    <x v="0"/>
    <n v="1"/>
    <s v="Jan"/>
    <x v="2"/>
    <n v="0.35897435897435898"/>
    <s v="Q1"/>
    <s v="Wednesday"/>
  </r>
  <r>
    <s v="B-25769"/>
    <n v="355"/>
    <n v="-4"/>
    <n v="2"/>
    <x v="2"/>
    <x v="6"/>
    <s v="Debit Card"/>
    <d v="2018-09-02T00:00:00"/>
    <x v="154"/>
    <x v="2"/>
    <s v="Mumbai"/>
    <x v="0"/>
    <n v="9"/>
    <s v="Sep"/>
    <x v="8"/>
    <n v="-1.1267605633802818E-2"/>
    <s v="Q3"/>
    <s v="Sunday"/>
  </r>
  <r>
    <s v="B-25687"/>
    <n v="357"/>
    <n v="139"/>
    <n v="2"/>
    <x v="2"/>
    <x v="6"/>
    <s v="Debit Card"/>
    <d v="2018-06-11T00:00:00"/>
    <x v="7"/>
    <x v="2"/>
    <s v="Mumbai"/>
    <x v="0"/>
    <n v="6"/>
    <s v="Jun"/>
    <x v="0"/>
    <n v="0.38935574229691877"/>
    <s v="Q2"/>
    <s v="Monday"/>
  </r>
  <r>
    <s v="B-25603"/>
    <n v="38"/>
    <n v="18"/>
    <n v="1"/>
    <x v="2"/>
    <x v="8"/>
    <s v="COD"/>
    <d v="2018-04-03T00:00:00"/>
    <x v="106"/>
    <x v="0"/>
    <s v="Bhopal"/>
    <x v="0"/>
    <n v="4"/>
    <s v="Apr"/>
    <x v="3"/>
    <n v="0.47368421052631576"/>
    <s v="Q2"/>
    <s v="Tuesday"/>
  </r>
  <r>
    <s v="B-26050"/>
    <n v="38"/>
    <n v="9"/>
    <n v="2"/>
    <x v="2"/>
    <x v="11"/>
    <s v="COD"/>
    <d v="2018-03-06T00:00:00"/>
    <x v="49"/>
    <x v="6"/>
    <s v="Jaipur"/>
    <x v="0"/>
    <n v="3"/>
    <s v="Mar"/>
    <x v="1"/>
    <n v="0.23684210526315788"/>
    <s v="Q1"/>
    <s v="Tuesday"/>
  </r>
  <r>
    <s v="B-25748"/>
    <n v="141"/>
    <n v="10"/>
    <n v="4"/>
    <x v="2"/>
    <x v="16"/>
    <s v="UPI"/>
    <d v="2018-08-12T00:00:00"/>
    <x v="223"/>
    <x v="6"/>
    <s v="Jaipur"/>
    <x v="0"/>
    <n v="8"/>
    <s v="Aug"/>
    <x v="6"/>
    <n v="7.0921985815602842E-2"/>
    <s v="Q3"/>
    <s v="Sunday"/>
  </r>
  <r>
    <s v="B-25833"/>
    <n v="36"/>
    <n v="4"/>
    <n v="9"/>
    <x v="2"/>
    <x v="7"/>
    <s v="COD"/>
    <d v="2018-10-29T00:00:00"/>
    <x v="280"/>
    <x v="0"/>
    <s v="Indore"/>
    <x v="0"/>
    <n v="10"/>
    <s v="Oct"/>
    <x v="11"/>
    <n v="0.1111111111111111"/>
    <s v="Q4"/>
    <s v="Monday"/>
  </r>
  <r>
    <s v="B-25930"/>
    <n v="351"/>
    <n v="-94"/>
    <n v="5"/>
    <x v="0"/>
    <x v="0"/>
    <s v="COD"/>
    <d v="2018-01-03T00:00:00"/>
    <x v="120"/>
    <x v="13"/>
    <s v="Chandigarh"/>
    <x v="0"/>
    <n v="1"/>
    <s v="Jan"/>
    <x v="2"/>
    <n v="-0.26780626780626782"/>
    <s v="Q1"/>
    <s v="Wednesday"/>
  </r>
  <r>
    <s v="B-26035"/>
    <n v="369"/>
    <n v="15"/>
    <n v="3"/>
    <x v="0"/>
    <x v="0"/>
    <s v="Debit Card"/>
    <d v="2018-02-23T00:00:00"/>
    <x v="90"/>
    <x v="4"/>
    <s v="Kashmir"/>
    <x v="0"/>
    <n v="2"/>
    <s v="Feb"/>
    <x v="10"/>
    <n v="4.065040650406504E-2"/>
    <s v="Q1"/>
    <s v="Friday"/>
  </r>
  <r>
    <s v="B-25851"/>
    <n v="53"/>
    <n v="24"/>
    <n v="6"/>
    <x v="2"/>
    <x v="7"/>
    <s v="EMI"/>
    <d v="2018-11-06T00:00:00"/>
    <x v="9"/>
    <x v="5"/>
    <s v="Kohima"/>
    <x v="0"/>
    <n v="11"/>
    <s v="Nov"/>
    <x v="4"/>
    <n v="0.45283018867924529"/>
    <s v="Q4"/>
    <s v="Tuesday"/>
  </r>
  <r>
    <s v="B-25718"/>
    <n v="371"/>
    <n v="115"/>
    <n v="1"/>
    <x v="1"/>
    <x v="2"/>
    <s v="Debit Card"/>
    <d v="2018-07-12T00:00:00"/>
    <x v="67"/>
    <x v="2"/>
    <s v="Mumbai"/>
    <x v="0"/>
    <n v="7"/>
    <s v="Jul"/>
    <x v="9"/>
    <n v="0.30997304582210244"/>
    <s v="Q3"/>
    <s v="Thursday"/>
  </r>
  <r>
    <s v="B-25898"/>
    <n v="499"/>
    <n v="33"/>
    <n v="4"/>
    <x v="2"/>
    <x v="6"/>
    <s v="COD"/>
    <d v="2018-12-07T00:00:00"/>
    <x v="76"/>
    <x v="6"/>
    <s v="Udaipur"/>
    <x v="0"/>
    <n v="12"/>
    <s v="Dec"/>
    <x v="5"/>
    <n v="6.6132264529058113E-2"/>
    <s v="Q4"/>
    <s v="Friday"/>
  </r>
  <r>
    <s v="B-25893"/>
    <n v="223"/>
    <n v="62"/>
    <n v="7"/>
    <x v="2"/>
    <x v="16"/>
    <s v="COD"/>
    <d v="2018-12-04T00:00:00"/>
    <x v="4"/>
    <x v="1"/>
    <s v="Mathura"/>
    <x v="0"/>
    <n v="12"/>
    <s v="Dec"/>
    <x v="5"/>
    <n v="0.27802690582959644"/>
    <s v="Q4"/>
    <s v="Tuesday"/>
  </r>
  <r>
    <s v="B-25983"/>
    <n v="50"/>
    <n v="-4"/>
    <n v="6"/>
    <x v="2"/>
    <x v="14"/>
    <s v="EMI"/>
    <d v="2018-01-30T00:00:00"/>
    <x v="164"/>
    <x v="8"/>
    <s v="Delhi"/>
    <x v="0"/>
    <n v="1"/>
    <s v="Jan"/>
    <x v="2"/>
    <n v="-0.08"/>
    <s v="Q1"/>
    <s v="Tuesday"/>
  </r>
  <r>
    <s v="B-26056"/>
    <n v="391"/>
    <n v="90"/>
    <n v="6"/>
    <x v="0"/>
    <x v="4"/>
    <s v="Debit Card"/>
    <d v="2018-03-10T00:00:00"/>
    <x v="156"/>
    <x v="12"/>
    <s v="Patna"/>
    <x v="0"/>
    <n v="3"/>
    <s v="Mar"/>
    <x v="1"/>
    <n v="0.23017902813299232"/>
    <s v="Q1"/>
    <s v="Saturday"/>
  </r>
  <r>
    <s v="B-25715"/>
    <n v="416"/>
    <n v="137"/>
    <n v="3"/>
    <x v="0"/>
    <x v="4"/>
    <s v="Debit Card"/>
    <d v="2018-07-10T00:00:00"/>
    <x v="313"/>
    <x v="4"/>
    <s v="Kashmir"/>
    <x v="0"/>
    <n v="7"/>
    <s v="Jul"/>
    <x v="9"/>
    <n v="0.32932692307692307"/>
    <s v="Q3"/>
    <s v="Tuesday"/>
  </r>
  <r>
    <s v="B-25702"/>
    <n v="424"/>
    <n v="-17"/>
    <n v="9"/>
    <x v="1"/>
    <x v="1"/>
    <s v="Debit Card"/>
    <d v="2018-06-27T00:00:00"/>
    <x v="305"/>
    <x v="2"/>
    <s v="Mumbai"/>
    <x v="0"/>
    <n v="6"/>
    <s v="Jun"/>
    <x v="0"/>
    <n v="-4.0094339622641507E-2"/>
    <s v="Q2"/>
    <s v="Wednesday"/>
  </r>
  <r>
    <s v="B-25618"/>
    <n v="362"/>
    <n v="127"/>
    <n v="1"/>
    <x v="1"/>
    <x v="2"/>
    <s v="COD"/>
    <d v="2018-04-18T00:00:00"/>
    <x v="38"/>
    <x v="9"/>
    <s v="Hyderabad"/>
    <x v="0"/>
    <n v="4"/>
    <s v="Apr"/>
    <x v="3"/>
    <n v="0.35082872928176795"/>
    <s v="Q2"/>
    <s v="Wednesday"/>
  </r>
  <r>
    <s v="B-25643"/>
    <n v="36"/>
    <n v="-7"/>
    <n v="1"/>
    <x v="0"/>
    <x v="0"/>
    <s v="COD"/>
    <d v="2018-04-29T00:00:00"/>
    <x v="8"/>
    <x v="4"/>
    <s v="Kashmir"/>
    <x v="0"/>
    <n v="4"/>
    <s v="Apr"/>
    <x v="3"/>
    <n v="-0.19444444444444445"/>
    <s v="Q2"/>
    <s v="Sunday"/>
  </r>
  <r>
    <s v="B-25961"/>
    <n v="34"/>
    <n v="-10"/>
    <n v="3"/>
    <x v="2"/>
    <x v="9"/>
    <s v="COD"/>
    <d v="2018-01-18T00:00:00"/>
    <x v="154"/>
    <x v="7"/>
    <s v="Ahmedabad"/>
    <x v="0"/>
    <n v="1"/>
    <s v="Jan"/>
    <x v="2"/>
    <n v="-0.29411764705882354"/>
    <s v="Q1"/>
    <s v="Thursday"/>
  </r>
  <r>
    <s v="B-25873"/>
    <n v="367"/>
    <n v="73"/>
    <n v="3"/>
    <x v="0"/>
    <x v="0"/>
    <s v="UPI"/>
    <d v="2018-11-23T00:00:00"/>
    <x v="136"/>
    <x v="0"/>
    <s v="Indore"/>
    <x v="0"/>
    <n v="11"/>
    <s v="Nov"/>
    <x v="4"/>
    <n v="0.1989100817438692"/>
    <s v="Q4"/>
    <s v="Friday"/>
  </r>
  <r>
    <s v="B-26053"/>
    <n v="425"/>
    <n v="208"/>
    <n v="7"/>
    <x v="2"/>
    <x v="6"/>
    <s v="Debit Card"/>
    <d v="2018-03-09T00:00:00"/>
    <x v="8"/>
    <x v="4"/>
    <s v="Kashmir"/>
    <x v="0"/>
    <n v="3"/>
    <s v="Mar"/>
    <x v="1"/>
    <n v="0.48941176470588238"/>
    <s v="Q1"/>
    <s v="Friday"/>
  </r>
  <r>
    <s v="B-25683"/>
    <n v="433"/>
    <n v="26"/>
    <n v="3"/>
    <x v="0"/>
    <x v="3"/>
    <s v="Debit Card"/>
    <d v="2018-06-08T00:00:00"/>
    <x v="74"/>
    <x v="10"/>
    <s v="Thiruvananthapuram"/>
    <x v="0"/>
    <n v="6"/>
    <s v="Jun"/>
    <x v="0"/>
    <n v="6.0046189376443418E-2"/>
    <s v="Q2"/>
    <s v="Friday"/>
  </r>
  <r>
    <s v="B-25718"/>
    <n v="460"/>
    <n v="31"/>
    <n v="3"/>
    <x v="1"/>
    <x v="2"/>
    <s v="Debit Card"/>
    <d v="2018-07-12T00:00:00"/>
    <x v="67"/>
    <x v="2"/>
    <s v="Mumbai"/>
    <x v="0"/>
    <n v="7"/>
    <s v="Jul"/>
    <x v="9"/>
    <n v="6.7391304347826086E-2"/>
    <s v="Q3"/>
    <s v="Thursday"/>
  </r>
  <r>
    <s v="B-25753"/>
    <n v="62"/>
    <n v="-56"/>
    <n v="5"/>
    <x v="2"/>
    <x v="8"/>
    <s v="COD"/>
    <d v="2018-08-17T00:00:00"/>
    <x v="205"/>
    <x v="1"/>
    <s v="Lucknow"/>
    <x v="0"/>
    <n v="8"/>
    <s v="Aug"/>
    <x v="6"/>
    <n v="-0.90322580645161288"/>
    <s v="Q3"/>
    <s v="Friday"/>
  </r>
  <r>
    <s v="B-25852"/>
    <n v="50"/>
    <n v="16"/>
    <n v="1"/>
    <x v="2"/>
    <x v="11"/>
    <s v="EMI"/>
    <d v="2018-11-07T00:00:00"/>
    <x v="78"/>
    <x v="9"/>
    <s v="Hyderabad"/>
    <x v="0"/>
    <n v="11"/>
    <s v="Nov"/>
    <x v="4"/>
    <n v="0.32"/>
    <s v="Q4"/>
    <s v="Wednesday"/>
  </r>
  <r>
    <s v="B-25914"/>
    <n v="460"/>
    <n v="-143"/>
    <n v="3"/>
    <x v="1"/>
    <x v="1"/>
    <s v="Debit Card"/>
    <d v="2018-12-18T00:00:00"/>
    <x v="69"/>
    <x v="8"/>
    <s v="Delhi"/>
    <x v="0"/>
    <n v="12"/>
    <s v="Dec"/>
    <x v="5"/>
    <n v="-0.31086956521739129"/>
    <s v="Q4"/>
    <s v="Tuesday"/>
  </r>
  <r>
    <s v="B-26083"/>
    <n v="34"/>
    <n v="3"/>
    <n v="3"/>
    <x v="2"/>
    <x v="6"/>
    <s v="COD"/>
    <d v="2018-03-24T00:00:00"/>
    <x v="190"/>
    <x v="12"/>
    <s v="Patna"/>
    <x v="0"/>
    <n v="3"/>
    <s v="Mar"/>
    <x v="1"/>
    <n v="8.8235294117647065E-2"/>
    <s v="Q1"/>
    <s v="Saturday"/>
  </r>
  <r>
    <s v="B-25857"/>
    <n v="227"/>
    <n v="59"/>
    <n v="2"/>
    <x v="1"/>
    <x v="15"/>
    <s v="UPI"/>
    <d v="2018-11-10T00:00:00"/>
    <x v="57"/>
    <x v="0"/>
    <s v="Indore"/>
    <x v="0"/>
    <n v="11"/>
    <s v="Nov"/>
    <x v="4"/>
    <n v="0.25991189427312777"/>
    <s v="Q4"/>
    <s v="Saturday"/>
  </r>
  <r>
    <s v="B-25939"/>
    <n v="469"/>
    <n v="33"/>
    <n v="4"/>
    <x v="0"/>
    <x v="0"/>
    <s v="Debit Card"/>
    <d v="2018-01-05T00:00:00"/>
    <x v="272"/>
    <x v="18"/>
    <s v="Gangtok"/>
    <x v="0"/>
    <n v="1"/>
    <s v="Jan"/>
    <x v="2"/>
    <n v="7.0362473347547971E-2"/>
    <s v="Q1"/>
    <s v="Friday"/>
  </r>
  <r>
    <s v="B-25851"/>
    <n v="103"/>
    <n v="46"/>
    <n v="2"/>
    <x v="2"/>
    <x v="6"/>
    <s v="UPI"/>
    <d v="2018-11-06T00:00:00"/>
    <x v="9"/>
    <x v="5"/>
    <s v="Kohima"/>
    <x v="0"/>
    <n v="11"/>
    <s v="Nov"/>
    <x v="4"/>
    <n v="0.44660194174757284"/>
    <s v="Q4"/>
    <s v="Tuesday"/>
  </r>
  <r>
    <s v="B-25699"/>
    <n v="34"/>
    <n v="-13"/>
    <n v="5"/>
    <x v="2"/>
    <x v="12"/>
    <s v="COD"/>
    <d v="2018-06-24T00:00:00"/>
    <x v="199"/>
    <x v="1"/>
    <s v="Lucknow"/>
    <x v="0"/>
    <n v="6"/>
    <s v="Jun"/>
    <x v="0"/>
    <n v="-0.38235294117647056"/>
    <s v="Q2"/>
    <s v="Sunday"/>
  </r>
  <r>
    <s v="B-26078"/>
    <n v="137"/>
    <n v="63"/>
    <n v="3"/>
    <x v="2"/>
    <x v="11"/>
    <s v="COD"/>
    <d v="2018-03-22T00:00:00"/>
    <x v="127"/>
    <x v="17"/>
    <s v="Kolkata"/>
    <x v="0"/>
    <n v="3"/>
    <s v="Mar"/>
    <x v="1"/>
    <n v="0.45985401459854014"/>
    <s v="Q1"/>
    <s v="Thursday"/>
  </r>
  <r>
    <s v="B-26075"/>
    <n v="34"/>
    <n v="12"/>
    <n v="2"/>
    <x v="2"/>
    <x v="11"/>
    <s v="COD"/>
    <d v="2018-03-21T00:00:00"/>
    <x v="297"/>
    <x v="2"/>
    <s v="Pune"/>
    <x v="0"/>
    <n v="3"/>
    <s v="Mar"/>
    <x v="1"/>
    <n v="0.35294117647058826"/>
    <s v="Q1"/>
    <s v="Wednesday"/>
  </r>
  <r>
    <s v="B-25956"/>
    <n v="474"/>
    <n v="56"/>
    <n v="4"/>
    <x v="0"/>
    <x v="4"/>
    <s v="Debit Card"/>
    <d v="2018-01-17T00:00:00"/>
    <x v="74"/>
    <x v="2"/>
    <s v="Mumbai"/>
    <x v="0"/>
    <n v="1"/>
    <s v="Jan"/>
    <x v="2"/>
    <n v="0.11814345991561181"/>
    <s v="Q1"/>
    <s v="Wednesday"/>
  </r>
  <r>
    <s v="B-25861"/>
    <n v="50"/>
    <n v="3"/>
    <n v="2"/>
    <x v="2"/>
    <x v="11"/>
    <s v="EMI"/>
    <d v="2018-11-15T00:00:00"/>
    <x v="193"/>
    <x v="1"/>
    <s v="Lucknow"/>
    <x v="0"/>
    <n v="11"/>
    <s v="Nov"/>
    <x v="4"/>
    <n v="0.06"/>
    <s v="Q4"/>
    <s v="Thursday"/>
  </r>
  <r>
    <s v="B-25777"/>
    <n v="69"/>
    <n v="-67"/>
    <n v="4"/>
    <x v="2"/>
    <x v="8"/>
    <s v="UPI"/>
    <d v="2018-09-10T00:00:00"/>
    <x v="64"/>
    <x v="0"/>
    <s v="Indore"/>
    <x v="0"/>
    <n v="9"/>
    <s v="Sep"/>
    <x v="8"/>
    <n v="-0.97101449275362317"/>
    <s v="Q3"/>
    <s v="Monday"/>
  </r>
  <r>
    <s v="B-25634"/>
    <n v="389"/>
    <n v="-83"/>
    <n v="3"/>
    <x v="1"/>
    <x v="1"/>
    <s v="UPI"/>
    <d v="2018-04-26T00:00:00"/>
    <x v="244"/>
    <x v="16"/>
    <s v="Goa"/>
    <x v="0"/>
    <n v="4"/>
    <s v="Apr"/>
    <x v="3"/>
    <n v="-0.21336760925449871"/>
    <s v="Q2"/>
    <s v="Thursday"/>
  </r>
  <r>
    <s v="B-25753"/>
    <n v="77"/>
    <n v="-43"/>
    <n v="8"/>
    <x v="2"/>
    <x v="11"/>
    <s v="COD"/>
    <d v="2018-08-17T00:00:00"/>
    <x v="205"/>
    <x v="1"/>
    <s v="Lucknow"/>
    <x v="0"/>
    <n v="8"/>
    <s v="Aug"/>
    <x v="6"/>
    <n v="-0.55844155844155841"/>
    <s v="Q3"/>
    <s v="Friday"/>
  </r>
  <r>
    <s v="B-25687"/>
    <n v="51"/>
    <n v="21"/>
    <n v="3"/>
    <x v="2"/>
    <x v="14"/>
    <s v="COD"/>
    <d v="2018-06-11T00:00:00"/>
    <x v="7"/>
    <x v="2"/>
    <s v="Mumbai"/>
    <x v="0"/>
    <n v="6"/>
    <s v="Jun"/>
    <x v="0"/>
    <n v="0.41176470588235292"/>
    <s v="Q2"/>
    <s v="Monday"/>
  </r>
  <r>
    <s v="B-25885"/>
    <n v="394"/>
    <n v="146"/>
    <n v="2"/>
    <x v="1"/>
    <x v="2"/>
    <s v="UPI"/>
    <d v="2018-11-28T00:00:00"/>
    <x v="103"/>
    <x v="0"/>
    <s v="Indore"/>
    <x v="0"/>
    <n v="11"/>
    <s v="Nov"/>
    <x v="4"/>
    <n v="0.37055837563451777"/>
    <s v="Q4"/>
    <s v="Wednesday"/>
  </r>
  <r>
    <s v="B-25767"/>
    <n v="48"/>
    <n v="-22"/>
    <n v="2"/>
    <x v="2"/>
    <x v="6"/>
    <s v="EMI"/>
    <d v="2018-08-31T00:00:00"/>
    <x v="202"/>
    <x v="17"/>
    <s v="Kolkata"/>
    <x v="0"/>
    <n v="8"/>
    <s v="Aug"/>
    <x v="6"/>
    <n v="-0.45833333333333331"/>
    <s v="Q3"/>
    <s v="Friday"/>
  </r>
  <r>
    <s v="B-25961"/>
    <n v="34"/>
    <n v="-12"/>
    <n v="5"/>
    <x v="2"/>
    <x v="12"/>
    <s v="COD"/>
    <d v="2018-01-18T00:00:00"/>
    <x v="154"/>
    <x v="7"/>
    <s v="Ahmedabad"/>
    <x v="0"/>
    <n v="1"/>
    <s v="Jan"/>
    <x v="2"/>
    <n v="-0.35294117647058826"/>
    <s v="Q1"/>
    <s v="Thursday"/>
  </r>
  <r>
    <s v="B-25923"/>
    <n v="484"/>
    <n v="28"/>
    <n v="3"/>
    <x v="0"/>
    <x v="3"/>
    <s v="Debit Card"/>
    <d v="2018-12-27T00:00:00"/>
    <x v="12"/>
    <x v="2"/>
    <s v="Mumbai"/>
    <x v="0"/>
    <n v="12"/>
    <s v="Dec"/>
    <x v="5"/>
    <n v="5.7851239669421489E-2"/>
    <s v="Q4"/>
    <s v="Thursday"/>
  </r>
  <r>
    <s v="B-25799"/>
    <n v="47"/>
    <n v="-27"/>
    <n v="4"/>
    <x v="2"/>
    <x v="6"/>
    <s v="EMI"/>
    <d v="2018-10-01T00:00:00"/>
    <x v="194"/>
    <x v="7"/>
    <s v="Ahmedabad"/>
    <x v="0"/>
    <n v="10"/>
    <s v="Oct"/>
    <x v="11"/>
    <n v="-0.57446808510638303"/>
    <s v="Q4"/>
    <s v="Monday"/>
  </r>
  <r>
    <s v="B-25955"/>
    <n v="45"/>
    <n v="8"/>
    <n v="4"/>
    <x v="2"/>
    <x v="9"/>
    <s v="EMI"/>
    <d v="2018-01-16T00:00:00"/>
    <x v="2"/>
    <x v="2"/>
    <s v="Pune"/>
    <x v="0"/>
    <n v="1"/>
    <s v="Jan"/>
    <x v="2"/>
    <n v="0.17777777777777778"/>
    <s v="Q1"/>
    <s v="Tuesday"/>
  </r>
  <r>
    <s v="B-26015"/>
    <n v="128"/>
    <n v="55"/>
    <n v="1"/>
    <x v="2"/>
    <x v="6"/>
    <s v="COD"/>
    <d v="2018-02-14T00:00:00"/>
    <x v="127"/>
    <x v="17"/>
    <s v="Kolkata"/>
    <x v="0"/>
    <n v="2"/>
    <s v="Feb"/>
    <x v="10"/>
    <n v="0.4296875"/>
    <s v="Q1"/>
    <s v="Wednesday"/>
  </r>
  <r>
    <s v="B-26051"/>
    <n v="669"/>
    <n v="74"/>
    <n v="5"/>
    <x v="1"/>
    <x v="2"/>
    <s v="COD"/>
    <d v="2018-03-07T00:00:00"/>
    <x v="56"/>
    <x v="17"/>
    <s v="Kolkata"/>
    <x v="0"/>
    <n v="3"/>
    <s v="Mar"/>
    <x v="1"/>
    <n v="0.11061285500747384"/>
    <s v="Q1"/>
    <s v="Wednesday"/>
  </r>
  <r>
    <s v="B-25822"/>
    <n v="34"/>
    <n v="13"/>
    <n v="2"/>
    <x v="2"/>
    <x v="6"/>
    <s v="COD"/>
    <d v="2018-10-18T00:00:00"/>
    <x v="314"/>
    <x v="3"/>
    <s v="Bangalore"/>
    <x v="0"/>
    <n v="10"/>
    <s v="Oct"/>
    <x v="11"/>
    <n v="0.38235294117647056"/>
    <s v="Q4"/>
    <s v="Thursday"/>
  </r>
  <r>
    <s v="B-25989"/>
    <n v="44"/>
    <n v="14"/>
    <n v="3"/>
    <x v="2"/>
    <x v="7"/>
    <s v="Credit Card"/>
    <d v="2018-02-01T00:00:00"/>
    <x v="67"/>
    <x v="8"/>
    <s v="Delhi"/>
    <x v="0"/>
    <n v="2"/>
    <s v="Feb"/>
    <x v="10"/>
    <n v="0.31818181818181818"/>
    <s v="Q1"/>
    <s v="Thursday"/>
  </r>
  <r>
    <s v="B-25910"/>
    <n v="33"/>
    <n v="1"/>
    <n v="2"/>
    <x v="2"/>
    <x v="16"/>
    <s v="COD"/>
    <d v="2018-12-14T00:00:00"/>
    <x v="20"/>
    <x v="8"/>
    <s v="Delhi"/>
    <x v="0"/>
    <n v="12"/>
    <s v="Dec"/>
    <x v="5"/>
    <n v="3.0303030303030304E-2"/>
    <s v="Q4"/>
    <s v="Friday"/>
  </r>
  <r>
    <s v="B-25956"/>
    <n v="33"/>
    <n v="10"/>
    <n v="3"/>
    <x v="2"/>
    <x v="7"/>
    <s v="COD"/>
    <d v="2018-01-17T00:00:00"/>
    <x v="74"/>
    <x v="2"/>
    <s v="Mumbai"/>
    <x v="0"/>
    <n v="1"/>
    <s v="Jan"/>
    <x v="2"/>
    <n v="0.30303030303030304"/>
    <s v="Q1"/>
    <s v="Wednesday"/>
  </r>
  <r>
    <s v="B-25986"/>
    <n v="487"/>
    <n v="-23"/>
    <n v="3"/>
    <x v="0"/>
    <x v="3"/>
    <s v="Debit Card"/>
    <d v="2018-01-31T00:00:00"/>
    <x v="92"/>
    <x v="6"/>
    <s v="Udaipur"/>
    <x v="0"/>
    <n v="1"/>
    <s v="Jan"/>
    <x v="2"/>
    <n v="-4.7227926078028747E-2"/>
    <s v="Q1"/>
    <s v="Wednesday"/>
  </r>
  <r>
    <s v="B-26098"/>
    <n v="497"/>
    <n v="179"/>
    <n v="3"/>
    <x v="1"/>
    <x v="1"/>
    <s v="Debit Card"/>
    <d v="2018-03-29T00:00:00"/>
    <x v="90"/>
    <x v="4"/>
    <s v="Kashmir"/>
    <x v="0"/>
    <n v="3"/>
    <s v="Mar"/>
    <x v="1"/>
    <n v="0.36016096579476864"/>
    <s v="Q1"/>
    <s v="Thursday"/>
  </r>
  <r>
    <s v="B-26061"/>
    <n v="508"/>
    <n v="203"/>
    <n v="2"/>
    <x v="0"/>
    <x v="13"/>
    <s v="Debit Card"/>
    <d v="2018-03-14T00:00:00"/>
    <x v="71"/>
    <x v="0"/>
    <s v="Indore"/>
    <x v="0"/>
    <n v="3"/>
    <s v="Mar"/>
    <x v="1"/>
    <n v="0.39960629921259844"/>
    <s v="Q1"/>
    <s v="Wednesday"/>
  </r>
  <r>
    <s v="B-25954"/>
    <n v="524"/>
    <n v="-25"/>
    <n v="2"/>
    <x v="0"/>
    <x v="0"/>
    <s v="Debit Card"/>
    <d v="2018-01-14T00:00:00"/>
    <x v="225"/>
    <x v="7"/>
    <s v="Ahmedabad"/>
    <x v="0"/>
    <n v="1"/>
    <s v="Jan"/>
    <x v="2"/>
    <n v="-4.7709923664122141E-2"/>
    <s v="Q1"/>
    <s v="Sunday"/>
  </r>
  <r>
    <s v="B-26034"/>
    <n v="425"/>
    <n v="183"/>
    <n v="5"/>
    <x v="0"/>
    <x v="13"/>
    <s v="UPI"/>
    <d v="2018-02-23T00:00:00"/>
    <x v="35"/>
    <x v="3"/>
    <s v="Bangalore"/>
    <x v="0"/>
    <n v="2"/>
    <s v="Feb"/>
    <x v="10"/>
    <n v="0.43058823529411766"/>
    <s v="Q1"/>
    <s v="Friday"/>
  </r>
  <r>
    <s v="B-25909"/>
    <n v="168"/>
    <n v="56"/>
    <n v="3"/>
    <x v="2"/>
    <x v="6"/>
    <s v="COD"/>
    <d v="2018-12-13T00:00:00"/>
    <x v="44"/>
    <x v="2"/>
    <s v="Pune"/>
    <x v="0"/>
    <n v="12"/>
    <s v="Dec"/>
    <x v="5"/>
    <n v="0.33333333333333331"/>
    <s v="Q4"/>
    <s v="Thursday"/>
  </r>
  <r>
    <s v="B-25692"/>
    <n v="141"/>
    <n v="28"/>
    <n v="7"/>
    <x v="1"/>
    <x v="15"/>
    <s v="UPI"/>
    <d v="2018-06-17T00:00:00"/>
    <x v="241"/>
    <x v="0"/>
    <s v="Indore"/>
    <x v="0"/>
    <n v="6"/>
    <s v="Jun"/>
    <x v="0"/>
    <n v="0.19858156028368795"/>
    <s v="Q2"/>
    <s v="Sunday"/>
  </r>
  <r>
    <s v="B-25959"/>
    <n v="429"/>
    <n v="17"/>
    <n v="3"/>
    <x v="1"/>
    <x v="1"/>
    <s v="UPI"/>
    <d v="2018-01-18T00:00:00"/>
    <x v="113"/>
    <x v="0"/>
    <s v="Indore"/>
    <x v="0"/>
    <n v="1"/>
    <s v="Jan"/>
    <x v="2"/>
    <n v="3.9627039627039624E-2"/>
    <s v="Q1"/>
    <s v="Thursday"/>
  </r>
  <r>
    <s v="B-25745"/>
    <n v="44"/>
    <n v="-8"/>
    <n v="3"/>
    <x v="2"/>
    <x v="11"/>
    <s v="Credit Card"/>
    <d v="2018-08-09T00:00:00"/>
    <x v="181"/>
    <x v="7"/>
    <s v="Ahmedabad"/>
    <x v="0"/>
    <n v="8"/>
    <s v="Aug"/>
    <x v="6"/>
    <n v="-0.18181818181818182"/>
    <s v="Q3"/>
    <s v="Thursday"/>
  </r>
  <r>
    <s v="B-25689"/>
    <n v="149"/>
    <n v="136"/>
    <n v="3"/>
    <x v="2"/>
    <x v="11"/>
    <s v="UPI"/>
    <d v="2018-06-14T00:00:00"/>
    <x v="149"/>
    <x v="2"/>
    <s v="Mumbai"/>
    <x v="0"/>
    <n v="6"/>
    <s v="Jun"/>
    <x v="0"/>
    <n v="0.91275167785234901"/>
    <s v="Q2"/>
    <s v="Thursday"/>
  </r>
  <r>
    <s v="B-25786"/>
    <n v="44"/>
    <n v="-34"/>
    <n v="3"/>
    <x v="2"/>
    <x v="11"/>
    <s v="Credit Card"/>
    <d v="2018-09-19T00:00:00"/>
    <x v="16"/>
    <x v="1"/>
    <s v="Mathura"/>
    <x v="0"/>
    <n v="9"/>
    <s v="Sep"/>
    <x v="8"/>
    <n v="-0.77272727272727271"/>
    <s v="Q3"/>
    <s v="Wednesday"/>
  </r>
  <r>
    <s v="B-25897"/>
    <n v="33"/>
    <n v="10"/>
    <n v="3"/>
    <x v="2"/>
    <x v="7"/>
    <s v="COD"/>
    <d v="2018-12-06T00:00:00"/>
    <x v="115"/>
    <x v="0"/>
    <s v="Indore"/>
    <x v="0"/>
    <n v="12"/>
    <s v="Dec"/>
    <x v="5"/>
    <n v="0.30303030303030304"/>
    <s v="Q4"/>
    <s v="Thursday"/>
  </r>
  <r>
    <s v="B-26056"/>
    <n v="33"/>
    <n v="9"/>
    <n v="2"/>
    <x v="2"/>
    <x v="7"/>
    <s v="COD"/>
    <d v="2018-03-10T00:00:00"/>
    <x v="156"/>
    <x v="12"/>
    <s v="Patna"/>
    <x v="0"/>
    <n v="3"/>
    <s v="Mar"/>
    <x v="1"/>
    <n v="0.27272727272727271"/>
    <s v="Q1"/>
    <s v="Saturday"/>
  </r>
  <r>
    <s v="B-25855"/>
    <n v="442"/>
    <n v="31"/>
    <n v="2"/>
    <x v="0"/>
    <x v="0"/>
    <s v="UPI"/>
    <d v="2018-11-08T00:00:00"/>
    <x v="124"/>
    <x v="0"/>
    <s v="Bhopal"/>
    <x v="0"/>
    <n v="11"/>
    <s v="Nov"/>
    <x v="4"/>
    <n v="7.0135746606334842E-2"/>
    <s v="Q4"/>
    <s v="Thursday"/>
  </r>
  <r>
    <s v="B-25667"/>
    <n v="41"/>
    <n v="6"/>
    <n v="5"/>
    <x v="2"/>
    <x v="9"/>
    <s v="Credit Card"/>
    <d v="2018-05-23T00:00:00"/>
    <x v="67"/>
    <x v="15"/>
    <s v="Chandigarh"/>
    <x v="0"/>
    <n v="5"/>
    <s v="May"/>
    <x v="7"/>
    <n v="0.14634146341463414"/>
    <s v="Q2"/>
    <s v="Wednesday"/>
  </r>
  <r>
    <s v="B-25701"/>
    <n v="33"/>
    <n v="-12"/>
    <n v="5"/>
    <x v="2"/>
    <x v="7"/>
    <s v="COD"/>
    <d v="2018-06-26T00:00:00"/>
    <x v="155"/>
    <x v="0"/>
    <s v="Indore"/>
    <x v="0"/>
    <n v="6"/>
    <s v="Jun"/>
    <x v="0"/>
    <n v="-0.36363636363636365"/>
    <s v="Q2"/>
    <s v="Tuesday"/>
  </r>
  <r>
    <s v="B-26046"/>
    <n v="32"/>
    <n v="3"/>
    <n v="8"/>
    <x v="2"/>
    <x v="7"/>
    <s v="COD"/>
    <d v="2018-03-04T00:00:00"/>
    <x v="315"/>
    <x v="2"/>
    <s v="Mumbai"/>
    <x v="0"/>
    <n v="3"/>
    <s v="Mar"/>
    <x v="1"/>
    <n v="9.375E-2"/>
    <s v="Q1"/>
    <s v="Sunday"/>
  </r>
  <r>
    <s v="B-25676"/>
    <n v="32"/>
    <n v="6"/>
    <n v="3"/>
    <x v="2"/>
    <x v="16"/>
    <s v="COD"/>
    <d v="2018-06-01T00:00:00"/>
    <x v="114"/>
    <x v="6"/>
    <s v="Jaipur"/>
    <x v="0"/>
    <n v="6"/>
    <s v="Jun"/>
    <x v="0"/>
    <n v="0.1875"/>
    <s v="Q2"/>
    <s v="Friday"/>
  </r>
  <r>
    <s v="B-26045"/>
    <n v="179"/>
    <n v="77"/>
    <n v="1"/>
    <x v="2"/>
    <x v="6"/>
    <s v="UPI"/>
    <d v="2018-03-03T00:00:00"/>
    <x v="186"/>
    <x v="5"/>
    <s v="Kohima"/>
    <x v="0"/>
    <n v="3"/>
    <s v="Mar"/>
    <x v="1"/>
    <n v="0.43016759776536312"/>
    <s v="Q1"/>
    <s v="Saturday"/>
  </r>
  <r>
    <s v="B-25889"/>
    <n v="31"/>
    <n v="10"/>
    <n v="1"/>
    <x v="2"/>
    <x v="8"/>
    <s v="COD"/>
    <d v="2018-12-03T00:00:00"/>
    <x v="76"/>
    <x v="7"/>
    <s v="Surat"/>
    <x v="0"/>
    <n v="12"/>
    <s v="Dec"/>
    <x v="5"/>
    <n v="0.32258064516129031"/>
    <s v="Q4"/>
    <s v="Monday"/>
  </r>
  <r>
    <s v="B-25900"/>
    <n v="140"/>
    <n v="68"/>
    <n v="5"/>
    <x v="2"/>
    <x v="14"/>
    <s v="COD"/>
    <d v="2018-12-09T00:00:00"/>
    <x v="57"/>
    <x v="13"/>
    <s v="Amritsar"/>
    <x v="0"/>
    <n v="12"/>
    <s v="Dec"/>
    <x v="5"/>
    <n v="0.48571428571428571"/>
    <s v="Q4"/>
    <s v="Sunday"/>
  </r>
  <r>
    <s v="B-25685"/>
    <n v="529"/>
    <n v="137"/>
    <n v="3"/>
    <x v="0"/>
    <x v="4"/>
    <s v="Debit Card"/>
    <d v="2018-06-10T00:00:00"/>
    <x v="26"/>
    <x v="0"/>
    <s v="Indore"/>
    <x v="0"/>
    <n v="6"/>
    <s v="Jun"/>
    <x v="0"/>
    <n v="0.25897920604914931"/>
    <s v="Q2"/>
    <s v="Sunday"/>
  </r>
  <r>
    <s v="B-25622"/>
    <n v="534"/>
    <n v="0"/>
    <n v="3"/>
    <x v="2"/>
    <x v="6"/>
    <s v="Debit Card"/>
    <d v="2018-04-22T00:00:00"/>
    <x v="17"/>
    <x v="6"/>
    <s v="Jaipur"/>
    <x v="0"/>
    <n v="4"/>
    <s v="Apr"/>
    <x v="3"/>
    <n v="0"/>
    <s v="Q2"/>
    <s v="Sunday"/>
  </r>
  <r>
    <s v="B-25709"/>
    <n v="41"/>
    <n v="-6"/>
    <n v="1"/>
    <x v="1"/>
    <x v="1"/>
    <s v="Credit Card"/>
    <d v="2018-07-01T00:00:00"/>
    <x v="237"/>
    <x v="0"/>
    <s v="Indore"/>
    <x v="0"/>
    <n v="7"/>
    <s v="Jul"/>
    <x v="9"/>
    <n v="-0.14634146341463414"/>
    <s v="Q3"/>
    <s v="Sunday"/>
  </r>
  <r>
    <s v="B-25798"/>
    <n v="379"/>
    <n v="63"/>
    <n v="2"/>
    <x v="2"/>
    <x v="6"/>
    <s v="COD"/>
    <d v="2018-10-01T00:00:00"/>
    <x v="153"/>
    <x v="9"/>
    <s v="Hyderabad"/>
    <x v="0"/>
    <n v="10"/>
    <s v="Oct"/>
    <x v="11"/>
    <n v="0.16622691292875991"/>
    <s v="Q4"/>
    <s v="Monday"/>
  </r>
  <r>
    <s v="B-25933"/>
    <n v="81"/>
    <n v="-44"/>
    <n v="3"/>
    <x v="2"/>
    <x v="11"/>
    <s v="COD"/>
    <d v="2018-01-04T00:00:00"/>
    <x v="161"/>
    <x v="2"/>
    <s v="Mumbai"/>
    <x v="0"/>
    <n v="1"/>
    <s v="Jan"/>
    <x v="2"/>
    <n v="-0.54320987654320985"/>
    <s v="Q1"/>
    <s v="Thursday"/>
  </r>
  <r>
    <s v="B-25793"/>
    <n v="40"/>
    <n v="-33"/>
    <n v="5"/>
    <x v="2"/>
    <x v="7"/>
    <s v="Credit Card"/>
    <d v="2018-09-24T00:00:00"/>
    <x v="216"/>
    <x v="0"/>
    <s v="Indore"/>
    <x v="0"/>
    <n v="9"/>
    <s v="Sep"/>
    <x v="8"/>
    <n v="-0.82499999999999996"/>
    <s v="Q3"/>
    <s v="Monday"/>
  </r>
  <r>
    <s v="B-25951"/>
    <n v="40"/>
    <n v="18"/>
    <n v="1"/>
    <x v="0"/>
    <x v="13"/>
    <s v="Credit Card"/>
    <d v="2018-01-13T00:00:00"/>
    <x v="130"/>
    <x v="17"/>
    <s v="Kolkata"/>
    <x v="0"/>
    <n v="1"/>
    <s v="Jan"/>
    <x v="2"/>
    <n v="0.45"/>
    <s v="Q1"/>
    <s v="Saturday"/>
  </r>
  <r>
    <s v="B-25656"/>
    <n v="534"/>
    <n v="0"/>
    <n v="3"/>
    <x v="2"/>
    <x v="6"/>
    <s v="Debit Card"/>
    <d v="2018-05-11T00:00:00"/>
    <x v="85"/>
    <x v="2"/>
    <s v="Pune"/>
    <x v="0"/>
    <n v="5"/>
    <s v="May"/>
    <x v="7"/>
    <n v="0"/>
    <s v="Q2"/>
    <s v="Friday"/>
  </r>
  <r>
    <s v="B-26056"/>
    <n v="31"/>
    <n v="9"/>
    <n v="2"/>
    <x v="2"/>
    <x v="7"/>
    <s v="COD"/>
    <d v="2018-03-10T00:00:00"/>
    <x v="156"/>
    <x v="12"/>
    <s v="Patna"/>
    <x v="0"/>
    <n v="3"/>
    <s v="Mar"/>
    <x v="1"/>
    <n v="0.29032258064516131"/>
    <s v="Q1"/>
    <s v="Saturday"/>
  </r>
  <r>
    <s v="B-25870"/>
    <n v="473"/>
    <n v="-113"/>
    <n v="9"/>
    <x v="2"/>
    <x v="7"/>
    <s v="UPI"/>
    <d v="2018-11-20T00:00:00"/>
    <x v="123"/>
    <x v="9"/>
    <s v="Hyderabad"/>
    <x v="0"/>
    <n v="11"/>
    <s v="Nov"/>
    <x v="4"/>
    <n v="-0.23890063424947147"/>
    <s v="Q4"/>
    <s v="Tuesday"/>
  </r>
  <r>
    <s v="B-25690"/>
    <n v="31"/>
    <n v="-10"/>
    <n v="3"/>
    <x v="2"/>
    <x v="9"/>
    <s v="COD"/>
    <d v="2018-06-15T00:00:00"/>
    <x v="316"/>
    <x v="0"/>
    <s v="Indore"/>
    <x v="0"/>
    <n v="6"/>
    <s v="Jun"/>
    <x v="0"/>
    <n v="-0.32258064516129031"/>
    <s v="Q2"/>
    <s v="Friday"/>
  </r>
  <r>
    <s v="B-25702"/>
    <n v="31"/>
    <n v="-3"/>
    <n v="4"/>
    <x v="2"/>
    <x v="6"/>
    <s v="COD"/>
    <d v="2018-06-27T00:00:00"/>
    <x v="305"/>
    <x v="2"/>
    <s v="Mumbai"/>
    <x v="0"/>
    <n v="6"/>
    <s v="Jun"/>
    <x v="0"/>
    <n v="-9.6774193548387094E-2"/>
    <s v="Q2"/>
    <s v="Wednesday"/>
  </r>
  <r>
    <s v="B-25752"/>
    <n v="91"/>
    <n v="15"/>
    <n v="6"/>
    <x v="2"/>
    <x v="14"/>
    <s v="UPI"/>
    <d v="2018-08-14T00:00:00"/>
    <x v="89"/>
    <x v="0"/>
    <s v="Indore"/>
    <x v="0"/>
    <n v="8"/>
    <s v="Aug"/>
    <x v="6"/>
    <n v="0.16483516483516483"/>
    <s v="Q3"/>
    <s v="Tuesday"/>
  </r>
  <r>
    <s v="B-25781"/>
    <n v="30"/>
    <n v="-25"/>
    <n v="2"/>
    <x v="2"/>
    <x v="14"/>
    <s v="COD"/>
    <d v="2018-09-14T00:00:00"/>
    <x v="196"/>
    <x v="7"/>
    <s v="Ahmedabad"/>
    <x v="0"/>
    <n v="9"/>
    <s v="Sep"/>
    <x v="8"/>
    <n v="-0.83333333333333337"/>
    <s v="Q3"/>
    <s v="Friday"/>
  </r>
  <r>
    <s v="B-26038"/>
    <n v="30"/>
    <n v="6"/>
    <n v="1"/>
    <x v="2"/>
    <x v="14"/>
    <s v="COD"/>
    <d v="2018-02-24T00:00:00"/>
    <x v="28"/>
    <x v="12"/>
    <s v="Patna"/>
    <x v="0"/>
    <n v="2"/>
    <s v="Feb"/>
    <x v="10"/>
    <n v="0.2"/>
    <s v="Q1"/>
    <s v="Saturday"/>
  </r>
  <r>
    <s v="B-25761"/>
    <n v="40"/>
    <n v="0"/>
    <n v="3"/>
    <x v="2"/>
    <x v="6"/>
    <s v="Credit Card"/>
    <d v="2018-08-25T00:00:00"/>
    <x v="14"/>
    <x v="1"/>
    <s v="Mathura"/>
    <x v="0"/>
    <n v="8"/>
    <s v="Aug"/>
    <x v="6"/>
    <n v="0"/>
    <s v="Q3"/>
    <s v="Saturday"/>
  </r>
  <r>
    <s v="B-25751"/>
    <n v="534"/>
    <n v="5"/>
    <n v="2"/>
    <x v="0"/>
    <x v="0"/>
    <s v="Debit Card"/>
    <d v="2018-08-14T00:00:00"/>
    <x v="188"/>
    <x v="2"/>
    <s v="Mumbai"/>
    <x v="0"/>
    <n v="8"/>
    <s v="Aug"/>
    <x v="6"/>
    <n v="9.3632958801498131E-3"/>
    <s v="Q3"/>
    <s v="Tuesday"/>
  </r>
  <r>
    <s v="B-25750"/>
    <n v="539"/>
    <n v="-146"/>
    <n v="7"/>
    <x v="1"/>
    <x v="15"/>
    <s v="Debit Card"/>
    <d v="2018-08-14T00:00:00"/>
    <x v="100"/>
    <x v="0"/>
    <s v="Indore"/>
    <x v="0"/>
    <n v="8"/>
    <s v="Aug"/>
    <x v="6"/>
    <n v="-0.27087198515769945"/>
    <s v="Q3"/>
    <s v="Tuesday"/>
  </r>
  <r>
    <s v="B-25726"/>
    <n v="490"/>
    <n v="-128"/>
    <n v="8"/>
    <x v="1"/>
    <x v="2"/>
    <s v="UPI"/>
    <d v="2018-07-21T00:00:00"/>
    <x v="317"/>
    <x v="2"/>
    <s v="Mumbai"/>
    <x v="0"/>
    <n v="7"/>
    <s v="Jul"/>
    <x v="9"/>
    <n v="-0.26122448979591839"/>
    <s v="Q3"/>
    <s v="Saturday"/>
  </r>
  <r>
    <s v="B-26048"/>
    <n v="163"/>
    <n v="81"/>
    <n v="2"/>
    <x v="0"/>
    <x v="13"/>
    <s v="COD"/>
    <d v="2018-03-04T00:00:00"/>
    <x v="30"/>
    <x v="2"/>
    <s v="Pune"/>
    <x v="0"/>
    <n v="3"/>
    <s v="Mar"/>
    <x v="1"/>
    <n v="0.49693251533742333"/>
    <s v="Q1"/>
    <s v="Sunday"/>
  </r>
  <r>
    <s v="B-26051"/>
    <n v="184"/>
    <n v="85"/>
    <n v="6"/>
    <x v="2"/>
    <x v="14"/>
    <s v="UPI"/>
    <d v="2018-03-07T00:00:00"/>
    <x v="56"/>
    <x v="17"/>
    <s v="Kolkata"/>
    <x v="0"/>
    <n v="3"/>
    <s v="Mar"/>
    <x v="1"/>
    <n v="0.46195652173913043"/>
    <s v="Q1"/>
    <s v="Wednesday"/>
  </r>
  <r>
    <s v="B-25614"/>
    <n v="494"/>
    <n v="54"/>
    <n v="4"/>
    <x v="1"/>
    <x v="2"/>
    <s v="COD"/>
    <d v="2018-04-13T00:00:00"/>
    <x v="143"/>
    <x v="11"/>
    <s v="Simla"/>
    <x v="0"/>
    <n v="4"/>
    <s v="Apr"/>
    <x v="3"/>
    <n v="0.10931174089068826"/>
    <s v="Q2"/>
    <s v="Friday"/>
  </r>
  <r>
    <s v="B-25907"/>
    <n v="30"/>
    <n v="11"/>
    <n v="5"/>
    <x v="2"/>
    <x v="7"/>
    <s v="COD"/>
    <d v="2018-12-11T00:00:00"/>
    <x v="318"/>
    <x v="0"/>
    <s v="Bhopal"/>
    <x v="0"/>
    <n v="12"/>
    <s v="Dec"/>
    <x v="5"/>
    <n v="0.36666666666666664"/>
    <s v="Q4"/>
    <s v="Tuesday"/>
  </r>
  <r>
    <s v="B-25789"/>
    <n v="30"/>
    <n v="0"/>
    <n v="1"/>
    <x v="2"/>
    <x v="8"/>
    <s v="COD"/>
    <d v="2018-09-22T00:00:00"/>
    <x v="29"/>
    <x v="1"/>
    <s v="Lucknow"/>
    <x v="0"/>
    <n v="9"/>
    <s v="Sep"/>
    <x v="8"/>
    <n v="0"/>
    <s v="Q3"/>
    <s v="Saturday"/>
  </r>
  <r>
    <s v="B-26097"/>
    <n v="39"/>
    <n v="-18"/>
    <n v="2"/>
    <x v="2"/>
    <x v="12"/>
    <s v="Credit Card"/>
    <d v="2018-03-28T00:00:00"/>
    <x v="35"/>
    <x v="3"/>
    <s v="Bangalore"/>
    <x v="0"/>
    <n v="3"/>
    <s v="Mar"/>
    <x v="1"/>
    <n v="-0.46153846153846156"/>
    <s v="Q1"/>
    <s v="Wednesday"/>
  </r>
  <r>
    <s v="B-25902"/>
    <n v="1700"/>
    <n v="85"/>
    <n v="3"/>
    <x v="2"/>
    <x v="5"/>
    <s v="COD"/>
    <d v="2018-12-10T00:00:00"/>
    <x v="215"/>
    <x v="2"/>
    <s v="Mumbai"/>
    <x v="0"/>
    <n v="12"/>
    <s v="Dec"/>
    <x v="5"/>
    <n v="0.05"/>
    <s v="Q4"/>
    <s v="Monday"/>
  </r>
  <r>
    <s v="B-25657"/>
    <n v="332"/>
    <n v="-43"/>
    <n v="6"/>
    <x v="0"/>
    <x v="4"/>
    <s v="UPI"/>
    <d v="2018-05-13T00:00:00"/>
    <x v="91"/>
    <x v="0"/>
    <s v="Bhopal"/>
    <x v="0"/>
    <n v="5"/>
    <s v="May"/>
    <x v="7"/>
    <n v="-0.12951807228915663"/>
    <s v="Q2"/>
    <s v="Sunday"/>
  </r>
  <r>
    <s v="B-25854"/>
    <n v="436"/>
    <n v="131"/>
    <n v="9"/>
    <x v="2"/>
    <x v="7"/>
    <s v="UPI"/>
    <d v="2018-11-08T00:00:00"/>
    <x v="141"/>
    <x v="2"/>
    <s v="Pune"/>
    <x v="0"/>
    <n v="11"/>
    <s v="Nov"/>
    <x v="4"/>
    <n v="0.30045871559633025"/>
    <s v="Q4"/>
    <s v="Thursday"/>
  </r>
  <r>
    <s v="B-25610"/>
    <n v="30"/>
    <n v="-5"/>
    <n v="2"/>
    <x v="1"/>
    <x v="15"/>
    <s v="COD"/>
    <d v="2018-04-09T00:00:00"/>
    <x v="190"/>
    <x v="12"/>
    <s v="Patna"/>
    <x v="0"/>
    <n v="4"/>
    <s v="Apr"/>
    <x v="3"/>
    <n v="-0.16666666666666666"/>
    <s v="Q2"/>
    <s v="Monday"/>
  </r>
  <r>
    <s v="B-25733"/>
    <n v="30"/>
    <n v="-10"/>
    <n v="2"/>
    <x v="2"/>
    <x v="11"/>
    <s v="COD"/>
    <d v="2018-07-28T00:00:00"/>
    <x v="191"/>
    <x v="2"/>
    <s v="Mumbai"/>
    <x v="0"/>
    <n v="7"/>
    <s v="Jul"/>
    <x v="9"/>
    <n v="-0.33333333333333331"/>
    <s v="Q3"/>
    <s v="Saturday"/>
  </r>
  <r>
    <s v="B-25798"/>
    <n v="38"/>
    <n v="-13"/>
    <n v="3"/>
    <x v="2"/>
    <x v="11"/>
    <s v="Credit Card"/>
    <d v="2018-10-01T00:00:00"/>
    <x v="153"/>
    <x v="9"/>
    <s v="Hyderabad"/>
    <x v="0"/>
    <n v="10"/>
    <s v="Oct"/>
    <x v="11"/>
    <n v="-0.34210526315789475"/>
    <s v="Q4"/>
    <s v="Monday"/>
  </r>
  <r>
    <s v="B-25803"/>
    <n v="511"/>
    <n v="194"/>
    <n v="3"/>
    <x v="1"/>
    <x v="1"/>
    <s v="UPI"/>
    <d v="2018-10-05T00:00:00"/>
    <x v="125"/>
    <x v="0"/>
    <s v="Indore"/>
    <x v="0"/>
    <n v="10"/>
    <s v="Oct"/>
    <x v="11"/>
    <n v="0.37964774951076319"/>
    <s v="Q4"/>
    <s v="Friday"/>
  </r>
  <r>
    <s v="B-25755"/>
    <n v="37"/>
    <n v="-53"/>
    <n v="3"/>
    <x v="2"/>
    <x v="6"/>
    <s v="Credit Card"/>
    <d v="2018-08-19T00:00:00"/>
    <x v="40"/>
    <x v="10"/>
    <s v="Thiruvananthapuram"/>
    <x v="0"/>
    <n v="8"/>
    <s v="Aug"/>
    <x v="6"/>
    <n v="-1.4324324324324325"/>
    <s v="Q3"/>
    <s v="Sunday"/>
  </r>
  <r>
    <s v="B-25850"/>
    <n v="513"/>
    <n v="215"/>
    <n v="2"/>
    <x v="0"/>
    <x v="13"/>
    <s v="COD"/>
    <d v="2018-11-05T00:00:00"/>
    <x v="76"/>
    <x v="16"/>
    <s v="Goa"/>
    <x v="0"/>
    <n v="11"/>
    <s v="Nov"/>
    <x v="4"/>
    <n v="0.41910331384015592"/>
    <s v="Q4"/>
    <s v="Monday"/>
  </r>
  <r>
    <s v="B-25667"/>
    <n v="516"/>
    <n v="69"/>
    <n v="4"/>
    <x v="1"/>
    <x v="2"/>
    <s v="UPI"/>
    <d v="2018-05-23T00:00:00"/>
    <x v="67"/>
    <x v="15"/>
    <s v="Chandigarh"/>
    <x v="0"/>
    <n v="5"/>
    <s v="May"/>
    <x v="7"/>
    <n v="0.13372093023255813"/>
    <s v="Q2"/>
    <s v="Wednesday"/>
  </r>
  <r>
    <s v="B-25796"/>
    <n v="559"/>
    <n v="-19"/>
    <n v="2"/>
    <x v="2"/>
    <x v="5"/>
    <s v="Debit Card"/>
    <d v="2018-09-24T00:00:00"/>
    <x v="119"/>
    <x v="2"/>
    <s v="Mumbai"/>
    <x v="0"/>
    <n v="9"/>
    <s v="Sep"/>
    <x v="8"/>
    <n v="-3.3989266547406083E-2"/>
    <s v="Q3"/>
    <s v="Monday"/>
  </r>
  <r>
    <s v="B-26013"/>
    <n v="29"/>
    <n v="-10"/>
    <n v="3"/>
    <x v="2"/>
    <x v="9"/>
    <s v="COD"/>
    <d v="2018-02-13T00:00:00"/>
    <x v="106"/>
    <x v="0"/>
    <s v="Bhopal"/>
    <x v="0"/>
    <n v="2"/>
    <s v="Feb"/>
    <x v="10"/>
    <n v="-0.34482758620689657"/>
    <s v="Q1"/>
    <s v="Tuesday"/>
  </r>
  <r>
    <s v="B-25683"/>
    <n v="148"/>
    <n v="52"/>
    <n v="5"/>
    <x v="2"/>
    <x v="11"/>
    <s v="UPI"/>
    <d v="2018-06-08T00:00:00"/>
    <x v="74"/>
    <x v="10"/>
    <s v="Thiruvananthapuram"/>
    <x v="0"/>
    <n v="6"/>
    <s v="Jun"/>
    <x v="0"/>
    <n v="0.35135135135135137"/>
    <s v="Q2"/>
    <s v="Friday"/>
  </r>
  <r>
    <s v="B-26054"/>
    <n v="559"/>
    <n v="-174"/>
    <n v="2"/>
    <x v="0"/>
    <x v="0"/>
    <s v="Debit Card"/>
    <d v="2018-03-10T00:00:00"/>
    <x v="195"/>
    <x v="2"/>
    <s v="Mumbai"/>
    <x v="0"/>
    <n v="3"/>
    <s v="Mar"/>
    <x v="1"/>
    <n v="-0.31127012522361358"/>
    <s v="Q1"/>
    <s v="Saturday"/>
  </r>
  <r>
    <s v="B-26010"/>
    <n v="527"/>
    <n v="26"/>
    <n v="3"/>
    <x v="0"/>
    <x v="0"/>
    <s v="COD"/>
    <d v="2018-02-11T00:00:00"/>
    <x v="210"/>
    <x v="12"/>
    <s v="Patna"/>
    <x v="0"/>
    <n v="2"/>
    <s v="Feb"/>
    <x v="10"/>
    <n v="4.9335863377609111E-2"/>
    <s v="Q1"/>
    <s v="Sunday"/>
  </r>
  <r>
    <s v="B-25979"/>
    <n v="560"/>
    <n v="44"/>
    <n v="3"/>
    <x v="2"/>
    <x v="6"/>
    <s v="Debit Card"/>
    <d v="2018-01-27T00:00:00"/>
    <x v="211"/>
    <x v="0"/>
    <s v="Indore"/>
    <x v="0"/>
    <n v="1"/>
    <s v="Jan"/>
    <x v="2"/>
    <n v="7.857142857142857E-2"/>
    <s v="Q1"/>
    <s v="Saturday"/>
  </r>
  <r>
    <s v="B-25973"/>
    <n v="571"/>
    <n v="108"/>
    <n v="12"/>
    <x v="2"/>
    <x v="11"/>
    <s v="Debit Card"/>
    <d v="2018-01-24T00:00:00"/>
    <x v="16"/>
    <x v="1"/>
    <s v="Mathura"/>
    <x v="0"/>
    <n v="1"/>
    <s v="Jan"/>
    <x v="2"/>
    <n v="0.18914185639229422"/>
    <s v="Q1"/>
    <s v="Wednesday"/>
  </r>
  <r>
    <s v="B-25975"/>
    <n v="29"/>
    <n v="2"/>
    <n v="3"/>
    <x v="2"/>
    <x v="9"/>
    <s v="COD"/>
    <d v="2018-01-25T00:00:00"/>
    <x v="85"/>
    <x v="1"/>
    <s v="Prayagraj"/>
    <x v="0"/>
    <n v="1"/>
    <s v="Jan"/>
    <x v="2"/>
    <n v="6.8965517241379309E-2"/>
    <s v="Q1"/>
    <s v="Thursday"/>
  </r>
  <r>
    <s v="B-26010"/>
    <n v="29"/>
    <n v="3"/>
    <n v="2"/>
    <x v="2"/>
    <x v="11"/>
    <s v="COD"/>
    <d v="2018-02-11T00:00:00"/>
    <x v="210"/>
    <x v="12"/>
    <s v="Patna"/>
    <x v="0"/>
    <n v="2"/>
    <s v="Feb"/>
    <x v="10"/>
    <n v="0.10344827586206896"/>
    <s v="Q1"/>
    <s v="Sunday"/>
  </r>
  <r>
    <s v="B-25767"/>
    <n v="29"/>
    <n v="-3"/>
    <n v="3"/>
    <x v="2"/>
    <x v="6"/>
    <s v="COD"/>
    <d v="2018-08-31T00:00:00"/>
    <x v="202"/>
    <x v="17"/>
    <s v="Kolkata"/>
    <x v="0"/>
    <n v="8"/>
    <s v="Aug"/>
    <x v="6"/>
    <n v="-0.10344827586206896"/>
    <s v="Q3"/>
    <s v="Friday"/>
  </r>
  <r>
    <s v="B-25815"/>
    <n v="35"/>
    <n v="14"/>
    <n v="2"/>
    <x v="2"/>
    <x v="11"/>
    <s v="Credit Card"/>
    <d v="2018-10-10T00:00:00"/>
    <x v="105"/>
    <x v="5"/>
    <s v="Kohima"/>
    <x v="0"/>
    <n v="10"/>
    <s v="Oct"/>
    <x v="11"/>
    <n v="0.4"/>
    <s v="Q4"/>
    <s v="Wednesday"/>
  </r>
  <r>
    <s v="B-25853"/>
    <n v="579"/>
    <n v="139"/>
    <n v="3"/>
    <x v="0"/>
    <x v="3"/>
    <s v="Debit Card"/>
    <d v="2018-11-08T00:00:00"/>
    <x v="18"/>
    <x v="7"/>
    <s v="Ahmedabad"/>
    <x v="0"/>
    <n v="11"/>
    <s v="Nov"/>
    <x v="4"/>
    <n v="0.24006908462867013"/>
    <s v="Q4"/>
    <s v="Thursday"/>
  </r>
  <r>
    <s v="B-25756"/>
    <n v="29"/>
    <n v="-24"/>
    <n v="4"/>
    <x v="2"/>
    <x v="12"/>
    <s v="COD"/>
    <d v="2018-08-20T00:00:00"/>
    <x v="13"/>
    <x v="2"/>
    <s v="Mumbai"/>
    <x v="0"/>
    <n v="8"/>
    <s v="Aug"/>
    <x v="6"/>
    <n v="-0.82758620689655171"/>
    <s v="Q3"/>
    <s v="Monday"/>
  </r>
  <r>
    <s v="B-25755"/>
    <n v="593"/>
    <n v="213"/>
    <n v="4"/>
    <x v="1"/>
    <x v="2"/>
    <s v="Debit Card"/>
    <d v="2018-08-19T00:00:00"/>
    <x v="40"/>
    <x v="10"/>
    <s v="Thiruvananthapuram"/>
    <x v="0"/>
    <n v="8"/>
    <s v="Aug"/>
    <x v="6"/>
    <n v="0.35919055649241149"/>
    <s v="Q3"/>
    <s v="Sunday"/>
  </r>
  <r>
    <s v="B-25996"/>
    <n v="217"/>
    <n v="72"/>
    <n v="2"/>
    <x v="1"/>
    <x v="15"/>
    <s v="COD"/>
    <d v="2018-02-04T00:00:00"/>
    <x v="126"/>
    <x v="8"/>
    <s v="Delhi"/>
    <x v="0"/>
    <n v="2"/>
    <s v="Feb"/>
    <x v="10"/>
    <n v="0.33179723502304148"/>
    <s v="Q1"/>
    <s v="Sunday"/>
  </r>
  <r>
    <s v="B-25619"/>
    <n v="353"/>
    <n v="90"/>
    <n v="8"/>
    <x v="2"/>
    <x v="6"/>
    <s v="COD"/>
    <d v="2018-04-18T00:00:00"/>
    <x v="112"/>
    <x v="7"/>
    <s v="Ahmedabad"/>
    <x v="0"/>
    <n v="4"/>
    <s v="Apr"/>
    <x v="3"/>
    <n v="0.25495750708215298"/>
    <s v="Q2"/>
    <s v="Wednesday"/>
  </r>
  <r>
    <s v="B-26050"/>
    <n v="382"/>
    <n v="92"/>
    <n v="2"/>
    <x v="0"/>
    <x v="3"/>
    <s v="COD"/>
    <d v="2018-03-06T00:00:00"/>
    <x v="49"/>
    <x v="6"/>
    <s v="Jaipur"/>
    <x v="0"/>
    <n v="3"/>
    <s v="Mar"/>
    <x v="1"/>
    <n v="0.24083769633507854"/>
    <s v="Q1"/>
    <s v="Tuesday"/>
  </r>
  <r>
    <s v="B-26000"/>
    <n v="597"/>
    <n v="93"/>
    <n v="4"/>
    <x v="1"/>
    <x v="1"/>
    <s v="Debit Card"/>
    <d v="2018-02-06T00:00:00"/>
    <x v="141"/>
    <x v="8"/>
    <s v="Delhi"/>
    <x v="0"/>
    <n v="2"/>
    <s v="Feb"/>
    <x v="10"/>
    <n v="0.15577889447236182"/>
    <s v="Q1"/>
    <s v="Tuesday"/>
  </r>
  <r>
    <s v="B-26058"/>
    <n v="212"/>
    <n v="97"/>
    <n v="7"/>
    <x v="2"/>
    <x v="7"/>
    <s v="COD"/>
    <d v="2018-03-11T00:00:00"/>
    <x v="160"/>
    <x v="13"/>
    <s v="Chandigarh"/>
    <x v="0"/>
    <n v="3"/>
    <s v="Mar"/>
    <x v="1"/>
    <n v="0.45754716981132076"/>
    <s v="Q1"/>
    <s v="Sunday"/>
  </r>
  <r>
    <s v="B-25856"/>
    <n v="689"/>
    <n v="90"/>
    <n v="5"/>
    <x v="2"/>
    <x v="6"/>
    <s v="COD"/>
    <d v="2018-11-10T00:00:00"/>
    <x v="124"/>
    <x v="2"/>
    <s v="Mumbai"/>
    <x v="0"/>
    <n v="11"/>
    <s v="Nov"/>
    <x v="4"/>
    <n v="0.13062409288824384"/>
    <s v="Q4"/>
    <s v="Saturday"/>
  </r>
  <r>
    <s v="B-26044"/>
    <n v="28"/>
    <n v="-10"/>
    <n v="3"/>
    <x v="2"/>
    <x v="9"/>
    <s v="COD"/>
    <d v="2018-03-02T00:00:00"/>
    <x v="244"/>
    <x v="16"/>
    <s v="Goa"/>
    <x v="0"/>
    <n v="3"/>
    <s v="Mar"/>
    <x v="1"/>
    <n v="-0.35714285714285715"/>
    <s v="Q1"/>
    <s v="Friday"/>
  </r>
  <r>
    <s v="B-25654"/>
    <n v="34"/>
    <n v="12"/>
    <n v="3"/>
    <x v="2"/>
    <x v="7"/>
    <s v="Credit Card"/>
    <d v="2018-05-10T00:00:00"/>
    <x v="150"/>
    <x v="2"/>
    <s v="Mumbai"/>
    <x v="0"/>
    <n v="5"/>
    <s v="May"/>
    <x v="7"/>
    <n v="0.35294117647058826"/>
    <s v="Q2"/>
    <s v="Thursday"/>
  </r>
  <r>
    <s v="B-26051"/>
    <n v="600"/>
    <n v="-102"/>
    <n v="5"/>
    <x v="0"/>
    <x v="0"/>
    <s v="Debit Card"/>
    <d v="2018-03-07T00:00:00"/>
    <x v="56"/>
    <x v="17"/>
    <s v="Kolkata"/>
    <x v="0"/>
    <n v="3"/>
    <s v="Mar"/>
    <x v="1"/>
    <n v="-0.17"/>
    <s v="Q1"/>
    <s v="Wednesday"/>
  </r>
  <r>
    <s v="B-25636"/>
    <n v="637"/>
    <n v="113"/>
    <n v="5"/>
    <x v="2"/>
    <x v="6"/>
    <s v="UPI"/>
    <d v="2018-04-26T00:00:00"/>
    <x v="315"/>
    <x v="2"/>
    <s v="Mumbai"/>
    <x v="0"/>
    <n v="4"/>
    <s v="Apr"/>
    <x v="3"/>
    <n v="0.17739403453689168"/>
    <s v="Q2"/>
    <s v="Thursday"/>
  </r>
  <r>
    <s v="B-25710"/>
    <n v="616"/>
    <n v="-69"/>
    <n v="7"/>
    <x v="1"/>
    <x v="15"/>
    <s v="Debit Card"/>
    <d v="2018-07-05T00:00:00"/>
    <x v="36"/>
    <x v="2"/>
    <s v="Pune"/>
    <x v="0"/>
    <n v="7"/>
    <s v="Jul"/>
    <x v="9"/>
    <n v="-0.11201298701298701"/>
    <s v="Q3"/>
    <s v="Thursday"/>
  </r>
  <r>
    <s v="B-25656"/>
    <n v="624"/>
    <n v="37"/>
    <n v="2"/>
    <x v="0"/>
    <x v="0"/>
    <s v="Debit Card"/>
    <d v="2018-05-11T00:00:00"/>
    <x v="85"/>
    <x v="2"/>
    <s v="Pune"/>
    <x v="0"/>
    <n v="5"/>
    <s v="May"/>
    <x v="7"/>
    <n v="5.9294871794871792E-2"/>
    <s v="Q2"/>
    <s v="Friday"/>
  </r>
  <r>
    <s v="B-25919"/>
    <n v="28"/>
    <n v="4"/>
    <n v="1"/>
    <x v="2"/>
    <x v="14"/>
    <s v="COD"/>
    <d v="2018-12-23T00:00:00"/>
    <x v="259"/>
    <x v="6"/>
    <s v="Udaipur"/>
    <x v="0"/>
    <n v="12"/>
    <s v="Dec"/>
    <x v="5"/>
    <n v="0.14285714285714285"/>
    <s v="Q4"/>
    <s v="Sunday"/>
  </r>
  <r>
    <s v="B-25781"/>
    <n v="584"/>
    <n v="-444"/>
    <n v="7"/>
    <x v="0"/>
    <x v="3"/>
    <s v="UPI"/>
    <d v="2018-09-14T00:00:00"/>
    <x v="196"/>
    <x v="7"/>
    <s v="Ahmedabad"/>
    <x v="0"/>
    <n v="9"/>
    <s v="Sep"/>
    <x v="8"/>
    <n v="-0.76027397260273977"/>
    <s v="Q3"/>
    <s v="Friday"/>
  </r>
  <r>
    <s v="B-25899"/>
    <n v="28"/>
    <n v="6"/>
    <n v="4"/>
    <x v="2"/>
    <x v="9"/>
    <s v="COD"/>
    <d v="2018-12-08T00:00:00"/>
    <x v="129"/>
    <x v="1"/>
    <s v="Prayagraj"/>
    <x v="0"/>
    <n v="12"/>
    <s v="Dec"/>
    <x v="5"/>
    <n v="0.21428571428571427"/>
    <s v="Q4"/>
    <s v="Saturday"/>
  </r>
  <r>
    <s v="B-26093"/>
    <n v="33"/>
    <n v="-1"/>
    <n v="1"/>
    <x v="2"/>
    <x v="6"/>
    <s v="Credit Card"/>
    <d v="2018-03-27T00:00:00"/>
    <x v="3"/>
    <x v="2"/>
    <s v="Pune"/>
    <x v="0"/>
    <n v="3"/>
    <s v="Mar"/>
    <x v="1"/>
    <n v="-3.0303030303030304E-2"/>
    <s v="Q1"/>
    <s v="Tuesday"/>
  </r>
  <r>
    <s v="B-25753"/>
    <n v="27"/>
    <n v="-20"/>
    <n v="2"/>
    <x v="2"/>
    <x v="7"/>
    <s v="COD"/>
    <d v="2018-08-17T00:00:00"/>
    <x v="205"/>
    <x v="1"/>
    <s v="Lucknow"/>
    <x v="0"/>
    <n v="8"/>
    <s v="Aug"/>
    <x v="6"/>
    <n v="-0.7407407407407407"/>
    <s v="Q3"/>
    <s v="Friday"/>
  </r>
  <r>
    <s v="B-25858"/>
    <n v="27"/>
    <n v="5"/>
    <n v="2"/>
    <x v="2"/>
    <x v="9"/>
    <s v="COD"/>
    <d v="2018-11-13T00:00:00"/>
    <x v="137"/>
    <x v="2"/>
    <s v="Mumbai"/>
    <x v="0"/>
    <n v="11"/>
    <s v="Nov"/>
    <x v="4"/>
    <n v="0.18518518518518517"/>
    <s v="Q4"/>
    <s v="Tuesday"/>
  </r>
  <r>
    <s v="B-25762"/>
    <n v="27"/>
    <n v="4"/>
    <n v="3"/>
    <x v="2"/>
    <x v="9"/>
    <s v="COD"/>
    <d v="2018-08-26T00:00:00"/>
    <x v="58"/>
    <x v="0"/>
    <s v="Indore"/>
    <x v="0"/>
    <n v="8"/>
    <s v="Aug"/>
    <x v="6"/>
    <n v="0.14814814814814814"/>
    <s v="Q3"/>
    <s v="Sunday"/>
  </r>
  <r>
    <s v="B-25625"/>
    <n v="635"/>
    <n v="-349"/>
    <n v="5"/>
    <x v="2"/>
    <x v="6"/>
    <s v="Debit Card"/>
    <d v="2018-04-23T00:00:00"/>
    <x v="90"/>
    <x v="4"/>
    <s v="Kashmir"/>
    <x v="0"/>
    <n v="4"/>
    <s v="Apr"/>
    <x v="3"/>
    <n v="-0.5496062992125984"/>
    <s v="Q2"/>
    <s v="Monday"/>
  </r>
  <r>
    <s v="B-25857"/>
    <n v="598"/>
    <n v="166"/>
    <n v="4"/>
    <x v="1"/>
    <x v="2"/>
    <s v="UPI"/>
    <d v="2018-11-10T00:00:00"/>
    <x v="57"/>
    <x v="0"/>
    <s v="Indore"/>
    <x v="0"/>
    <n v="11"/>
    <s v="Nov"/>
    <x v="4"/>
    <n v="0.27759197324414714"/>
    <s v="Q4"/>
    <s v="Saturday"/>
  </r>
  <r>
    <s v="B-25919"/>
    <n v="636"/>
    <n v="-204"/>
    <n v="2"/>
    <x v="0"/>
    <x v="3"/>
    <s v="Debit Card"/>
    <d v="2018-12-23T00:00:00"/>
    <x v="259"/>
    <x v="6"/>
    <s v="Udaipur"/>
    <x v="0"/>
    <n v="12"/>
    <s v="Dec"/>
    <x v="5"/>
    <n v="-0.32075471698113206"/>
    <s v="Q4"/>
    <s v="Sunday"/>
  </r>
  <r>
    <s v="B-25864"/>
    <n v="27"/>
    <n v="9"/>
    <n v="2"/>
    <x v="2"/>
    <x v="7"/>
    <s v="COD"/>
    <d v="2018-11-15T00:00:00"/>
    <x v="257"/>
    <x v="2"/>
    <s v="Mumbai"/>
    <x v="0"/>
    <n v="11"/>
    <s v="Nov"/>
    <x v="4"/>
    <n v="0.33333333333333331"/>
    <s v="Q4"/>
    <s v="Thursday"/>
  </r>
  <r>
    <s v="B-25698"/>
    <n v="27"/>
    <n v="-6"/>
    <n v="4"/>
    <x v="2"/>
    <x v="7"/>
    <s v="COD"/>
    <d v="2018-06-23T00:00:00"/>
    <x v="133"/>
    <x v="14"/>
    <s v="Chennai"/>
    <x v="0"/>
    <n v="6"/>
    <s v="Jun"/>
    <x v="0"/>
    <n v="-0.22222222222222221"/>
    <s v="Q2"/>
    <s v="Saturday"/>
  </r>
  <r>
    <s v="B-25959"/>
    <n v="637"/>
    <n v="212"/>
    <n v="8"/>
    <x v="0"/>
    <x v="4"/>
    <s v="Debit Card"/>
    <d v="2018-01-18T00:00:00"/>
    <x v="113"/>
    <x v="0"/>
    <s v="Indore"/>
    <x v="0"/>
    <n v="1"/>
    <s v="Jan"/>
    <x v="2"/>
    <n v="0.3328100470957614"/>
    <s v="Q1"/>
    <s v="Thursday"/>
  </r>
  <r>
    <s v="B-26073"/>
    <n v="290"/>
    <n v="110"/>
    <n v="9"/>
    <x v="2"/>
    <x v="11"/>
    <s v="UPI"/>
    <d v="2018-03-21T00:00:00"/>
    <x v="182"/>
    <x v="0"/>
    <s v="Indore"/>
    <x v="0"/>
    <n v="3"/>
    <s v="Mar"/>
    <x v="1"/>
    <n v="0.37931034482758619"/>
    <s v="Q1"/>
    <s v="Wednesday"/>
  </r>
  <r>
    <s v="B-25649"/>
    <n v="27"/>
    <n v="-25"/>
    <n v="2"/>
    <x v="2"/>
    <x v="11"/>
    <s v="COD"/>
    <d v="2018-05-05T00:00:00"/>
    <x v="319"/>
    <x v="15"/>
    <s v="Chandigarh"/>
    <x v="0"/>
    <n v="5"/>
    <s v="May"/>
    <x v="7"/>
    <n v="-0.92592592592592593"/>
    <s v="Q2"/>
    <s v="Saturday"/>
  </r>
  <r>
    <s v="B-25806"/>
    <n v="632"/>
    <n v="-114"/>
    <n v="4"/>
    <x v="1"/>
    <x v="10"/>
    <s v="UPI"/>
    <d v="2018-10-06T00:00:00"/>
    <x v="320"/>
    <x v="0"/>
    <s v="Indore"/>
    <x v="0"/>
    <n v="10"/>
    <s v="Oct"/>
    <x v="11"/>
    <n v="-0.18037974683544303"/>
    <s v="Q4"/>
    <s v="Saturday"/>
  </r>
  <r>
    <s v="B-25756"/>
    <n v="643"/>
    <n v="-45"/>
    <n v="2"/>
    <x v="0"/>
    <x v="3"/>
    <s v="Debit Card"/>
    <d v="2018-08-20T00:00:00"/>
    <x v="13"/>
    <x v="2"/>
    <s v="Mumbai"/>
    <x v="0"/>
    <n v="8"/>
    <s v="Aug"/>
    <x v="6"/>
    <n v="-6.9984447900466568E-2"/>
    <s v="Q3"/>
    <s v="Monday"/>
  </r>
  <r>
    <s v="B-26003"/>
    <n v="652"/>
    <n v="13"/>
    <n v="6"/>
    <x v="1"/>
    <x v="15"/>
    <s v="Debit Card"/>
    <d v="2018-02-08T00:00:00"/>
    <x v="34"/>
    <x v="0"/>
    <s v="Bhopal"/>
    <x v="0"/>
    <n v="2"/>
    <s v="Feb"/>
    <x v="10"/>
    <n v="1.9938650306748466E-2"/>
    <s v="Q1"/>
    <s v="Thursday"/>
  </r>
  <r>
    <s v="B-25752"/>
    <n v="33"/>
    <n v="-27"/>
    <n v="1"/>
    <x v="1"/>
    <x v="1"/>
    <s v="Credit Card"/>
    <d v="2018-08-14T00:00:00"/>
    <x v="89"/>
    <x v="0"/>
    <s v="Indore"/>
    <x v="0"/>
    <n v="8"/>
    <s v="Aug"/>
    <x v="6"/>
    <n v="-0.81818181818181823"/>
    <s v="Q3"/>
    <s v="Tuesday"/>
  </r>
  <r>
    <s v="B-25783"/>
    <n v="26"/>
    <n v="2"/>
    <n v="2"/>
    <x v="2"/>
    <x v="7"/>
    <s v="COD"/>
    <d v="2018-09-15T00:00:00"/>
    <x v="211"/>
    <x v="0"/>
    <s v="Indore"/>
    <x v="0"/>
    <n v="9"/>
    <s v="Sep"/>
    <x v="8"/>
    <n v="7.6923076923076927E-2"/>
    <s v="Q3"/>
    <s v="Saturday"/>
  </r>
  <r>
    <s v="B-25802"/>
    <n v="633"/>
    <n v="-633"/>
    <n v="11"/>
    <x v="0"/>
    <x v="13"/>
    <s v="UPI"/>
    <d v="2018-10-05T00:00:00"/>
    <x v="249"/>
    <x v="2"/>
    <s v="Mumbai"/>
    <x v="0"/>
    <n v="10"/>
    <s v="Oct"/>
    <x v="11"/>
    <n v="-1"/>
    <s v="Q4"/>
    <s v="Friday"/>
  </r>
  <r>
    <s v="B-25881"/>
    <n v="26"/>
    <n v="9"/>
    <n v="2"/>
    <x v="2"/>
    <x v="12"/>
    <s v="COD"/>
    <d v="2018-11-25T00:00:00"/>
    <x v="5"/>
    <x v="1"/>
    <s v="Mathura"/>
    <x v="0"/>
    <n v="11"/>
    <s v="Nov"/>
    <x v="4"/>
    <n v="0.34615384615384615"/>
    <s v="Q4"/>
    <s v="Sunday"/>
  </r>
  <r>
    <s v="B-25898"/>
    <n v="191"/>
    <n v="93"/>
    <n v="4"/>
    <x v="2"/>
    <x v="16"/>
    <s v="UPI"/>
    <d v="2018-12-07T00:00:00"/>
    <x v="76"/>
    <x v="6"/>
    <s v="Udaipur"/>
    <x v="0"/>
    <n v="12"/>
    <s v="Dec"/>
    <x v="5"/>
    <n v="0.48691099476439792"/>
    <s v="Q4"/>
    <s v="Friday"/>
  </r>
  <r>
    <s v="B-25696"/>
    <n v="887"/>
    <n v="80"/>
    <n v="3"/>
    <x v="0"/>
    <x v="3"/>
    <s v="UPI"/>
    <d v="2018-06-21T00:00:00"/>
    <x v="6"/>
    <x v="3"/>
    <s v="Bangalore"/>
    <x v="0"/>
    <n v="6"/>
    <s v="Jun"/>
    <x v="0"/>
    <n v="9.0191657271702363E-2"/>
    <s v="Q2"/>
    <s v="Thursday"/>
  </r>
  <r>
    <s v="B-25826"/>
    <n v="637"/>
    <n v="261"/>
    <n v="2"/>
    <x v="0"/>
    <x v="3"/>
    <s v="COD"/>
    <d v="2018-10-22T00:00:00"/>
    <x v="321"/>
    <x v="2"/>
    <s v="Mumbai"/>
    <x v="0"/>
    <n v="10"/>
    <s v="Oct"/>
    <x v="11"/>
    <n v="0.40973312401883832"/>
    <s v="Q4"/>
    <s v="Monday"/>
  </r>
  <r>
    <s v="B-25745"/>
    <n v="670"/>
    <n v="15"/>
    <n v="5"/>
    <x v="1"/>
    <x v="2"/>
    <s v="Debit Card"/>
    <d v="2018-08-09T00:00:00"/>
    <x v="181"/>
    <x v="7"/>
    <s v="Ahmedabad"/>
    <x v="0"/>
    <n v="8"/>
    <s v="Aug"/>
    <x v="6"/>
    <n v="2.2388059701492536E-2"/>
    <s v="Q3"/>
    <s v="Thursday"/>
  </r>
  <r>
    <s v="B-25943"/>
    <n v="26"/>
    <n v="7"/>
    <n v="4"/>
    <x v="2"/>
    <x v="7"/>
    <s v="COD"/>
    <d v="2018-01-09T00:00:00"/>
    <x v="45"/>
    <x v="7"/>
    <s v="Ahmedabad"/>
    <x v="0"/>
    <n v="1"/>
    <s v="Jan"/>
    <x v="2"/>
    <n v="0.26923076923076922"/>
    <s v="Q1"/>
    <s v="Tuesday"/>
  </r>
  <r>
    <s v="B-26051"/>
    <n v="676"/>
    <n v="195"/>
    <n v="5"/>
    <x v="1"/>
    <x v="2"/>
    <s v="Debit Card"/>
    <d v="2018-03-07T00:00:00"/>
    <x v="56"/>
    <x v="17"/>
    <s v="Kolkata"/>
    <x v="0"/>
    <n v="3"/>
    <s v="Mar"/>
    <x v="1"/>
    <n v="0.28846153846153844"/>
    <s v="Q1"/>
    <s v="Wednesday"/>
  </r>
  <r>
    <s v="B-25624"/>
    <n v="26"/>
    <n v="12"/>
    <n v="3"/>
    <x v="2"/>
    <x v="7"/>
    <s v="COD"/>
    <d v="2018-04-22T00:00:00"/>
    <x v="35"/>
    <x v="3"/>
    <s v="Bangalore"/>
    <x v="0"/>
    <n v="4"/>
    <s v="Apr"/>
    <x v="3"/>
    <n v="0.46153846153846156"/>
    <s v="Q2"/>
    <s v="Sunday"/>
  </r>
  <r>
    <s v="B-25723"/>
    <n v="26"/>
    <n v="-24"/>
    <n v="1"/>
    <x v="2"/>
    <x v="11"/>
    <s v="COD"/>
    <d v="2018-07-18T00:00:00"/>
    <x v="39"/>
    <x v="2"/>
    <s v="Mumbai"/>
    <x v="0"/>
    <n v="7"/>
    <s v="Jul"/>
    <x v="9"/>
    <n v="-0.92307692307692313"/>
    <s v="Q3"/>
    <s v="Wednesday"/>
  </r>
  <r>
    <s v="B-26052"/>
    <n v="25"/>
    <n v="7"/>
    <n v="2"/>
    <x v="2"/>
    <x v="11"/>
    <s v="COD"/>
    <d v="2018-03-08T00:00:00"/>
    <x v="84"/>
    <x v="3"/>
    <s v="Bangalore"/>
    <x v="0"/>
    <n v="3"/>
    <s v="Mar"/>
    <x v="1"/>
    <n v="0.28000000000000003"/>
    <s v="Q1"/>
    <s v="Thursday"/>
  </r>
  <r>
    <s v="B-25603"/>
    <n v="24"/>
    <n v="-30"/>
    <n v="1"/>
    <x v="1"/>
    <x v="1"/>
    <s v="COD"/>
    <d v="2018-04-03T00:00:00"/>
    <x v="106"/>
    <x v="0"/>
    <s v="Bhopal"/>
    <x v="0"/>
    <n v="4"/>
    <s v="Apr"/>
    <x v="3"/>
    <n v="-1.25"/>
    <s v="Q2"/>
    <s v="Tuesday"/>
  </r>
  <r>
    <s v="B-25983"/>
    <n v="32"/>
    <n v="-12"/>
    <n v="1"/>
    <x v="1"/>
    <x v="1"/>
    <s v="Credit Card"/>
    <d v="2018-01-30T00:00:00"/>
    <x v="164"/>
    <x v="8"/>
    <s v="Delhi"/>
    <x v="0"/>
    <n v="1"/>
    <s v="Jan"/>
    <x v="2"/>
    <n v="-0.375"/>
    <s v="Q1"/>
    <s v="Tuesday"/>
  </r>
  <r>
    <s v="B-25650"/>
    <n v="31"/>
    <n v="-2"/>
    <n v="2"/>
    <x v="2"/>
    <x v="6"/>
    <s v="Credit Card"/>
    <d v="2018-05-06T00:00:00"/>
    <x v="95"/>
    <x v="2"/>
    <s v="Mumbai"/>
    <x v="0"/>
    <n v="5"/>
    <s v="May"/>
    <x v="7"/>
    <n v="-6.4516129032258063E-2"/>
    <s v="Q2"/>
    <s v="Sunday"/>
  </r>
  <r>
    <s v="B-25656"/>
    <n v="651"/>
    <n v="169"/>
    <n v="5"/>
    <x v="0"/>
    <x v="3"/>
    <s v="COD"/>
    <d v="2018-05-11T00:00:00"/>
    <x v="85"/>
    <x v="2"/>
    <s v="Pune"/>
    <x v="0"/>
    <n v="5"/>
    <s v="May"/>
    <x v="7"/>
    <n v="0.25960061443932414"/>
    <s v="Q2"/>
    <s v="Friday"/>
  </r>
  <r>
    <s v="B-26018"/>
    <n v="326"/>
    <n v="107"/>
    <n v="3"/>
    <x v="1"/>
    <x v="15"/>
    <s v="UPI"/>
    <d v="2018-02-14T00:00:00"/>
    <x v="55"/>
    <x v="14"/>
    <s v="Chennai"/>
    <x v="0"/>
    <n v="2"/>
    <s v="Feb"/>
    <x v="10"/>
    <n v="0.32822085889570551"/>
    <s v="Q1"/>
    <s v="Wednesday"/>
  </r>
  <r>
    <s v="B-25783"/>
    <n v="30"/>
    <n v="-6"/>
    <n v="2"/>
    <x v="2"/>
    <x v="7"/>
    <s v="UPI"/>
    <d v="2018-09-15T00:00:00"/>
    <x v="211"/>
    <x v="0"/>
    <s v="Indore"/>
    <x v="0"/>
    <n v="9"/>
    <s v="Sep"/>
    <x v="8"/>
    <n v="-0.2"/>
    <s v="Q3"/>
    <s v="Saturday"/>
  </r>
  <r>
    <s v="B-25951"/>
    <n v="30"/>
    <n v="5"/>
    <n v="2"/>
    <x v="2"/>
    <x v="8"/>
    <s v="UPI"/>
    <d v="2018-01-13T00:00:00"/>
    <x v="130"/>
    <x v="17"/>
    <s v="Kolkata"/>
    <x v="0"/>
    <n v="1"/>
    <s v="Jan"/>
    <x v="2"/>
    <n v="0.16666666666666666"/>
    <s v="Q1"/>
    <s v="Saturday"/>
  </r>
  <r>
    <s v="B-25974"/>
    <n v="662"/>
    <n v="240"/>
    <n v="2"/>
    <x v="1"/>
    <x v="2"/>
    <s v="COD"/>
    <d v="2018-01-25T00:00:00"/>
    <x v="322"/>
    <x v="6"/>
    <s v="Udaipur"/>
    <x v="0"/>
    <n v="1"/>
    <s v="Jan"/>
    <x v="2"/>
    <n v="0.36253776435045315"/>
    <s v="Q1"/>
    <s v="Thursday"/>
  </r>
  <r>
    <s v="B-25754"/>
    <n v="30"/>
    <n v="-23"/>
    <n v="2"/>
    <x v="2"/>
    <x v="6"/>
    <s v="UPI"/>
    <d v="2018-08-18T00:00:00"/>
    <x v="29"/>
    <x v="12"/>
    <s v="Patna"/>
    <x v="0"/>
    <n v="8"/>
    <s v="Aug"/>
    <x v="6"/>
    <n v="-0.76666666666666672"/>
    <s v="Q3"/>
    <s v="Saturday"/>
  </r>
  <r>
    <s v="B-26073"/>
    <n v="29"/>
    <n v="9"/>
    <n v="3"/>
    <x v="2"/>
    <x v="6"/>
    <s v="UPI"/>
    <d v="2018-03-21T00:00:00"/>
    <x v="182"/>
    <x v="0"/>
    <s v="Indore"/>
    <x v="0"/>
    <n v="3"/>
    <s v="Mar"/>
    <x v="1"/>
    <n v="0.31034482758620691"/>
    <s v="Q1"/>
    <s v="Wednesday"/>
  </r>
  <r>
    <s v="B-25796"/>
    <n v="28"/>
    <n v="1"/>
    <n v="1"/>
    <x v="0"/>
    <x v="13"/>
    <s v="UPI"/>
    <d v="2018-09-24T00:00:00"/>
    <x v="119"/>
    <x v="2"/>
    <s v="Mumbai"/>
    <x v="0"/>
    <n v="9"/>
    <s v="Sep"/>
    <x v="8"/>
    <n v="3.5714285714285712E-2"/>
    <s v="Q3"/>
    <s v="Monday"/>
  </r>
  <r>
    <s v="B-25653"/>
    <n v="28"/>
    <n v="-3"/>
    <n v="2"/>
    <x v="2"/>
    <x v="6"/>
    <s v="UPI"/>
    <d v="2018-05-08T00:00:00"/>
    <x v="80"/>
    <x v="5"/>
    <s v="Kohima"/>
    <x v="0"/>
    <n v="5"/>
    <s v="May"/>
    <x v="7"/>
    <n v="-0.10714285714285714"/>
    <s v="Q2"/>
    <s v="Tuesday"/>
  </r>
  <r>
    <s v="B-25884"/>
    <n v="24"/>
    <n v="2"/>
    <n v="4"/>
    <x v="2"/>
    <x v="7"/>
    <s v="COD"/>
    <d v="2018-11-28T00:00:00"/>
    <x v="323"/>
    <x v="2"/>
    <s v="Mumbai"/>
    <x v="0"/>
    <n v="11"/>
    <s v="Nov"/>
    <x v="4"/>
    <n v="8.3333333333333329E-2"/>
    <s v="Q4"/>
    <s v="Wednesday"/>
  </r>
  <r>
    <s v="B-25650"/>
    <n v="28"/>
    <n v="-26"/>
    <n v="2"/>
    <x v="2"/>
    <x v="11"/>
    <s v="UPI"/>
    <d v="2018-05-06T00:00:00"/>
    <x v="95"/>
    <x v="2"/>
    <s v="Mumbai"/>
    <x v="0"/>
    <n v="5"/>
    <s v="May"/>
    <x v="7"/>
    <n v="-0.9285714285714286"/>
    <s v="Q2"/>
    <s v="Sunday"/>
  </r>
  <r>
    <s v="B-26045"/>
    <n v="27"/>
    <n v="5"/>
    <n v="1"/>
    <x v="2"/>
    <x v="11"/>
    <s v="UPI"/>
    <d v="2018-03-03T00:00:00"/>
    <x v="186"/>
    <x v="5"/>
    <s v="Kohima"/>
    <x v="0"/>
    <n v="3"/>
    <s v="Mar"/>
    <x v="1"/>
    <n v="0.18518518518518517"/>
    <s v="Q1"/>
    <s v="Saturday"/>
  </r>
  <r>
    <s v="B-25672"/>
    <n v="27"/>
    <n v="-15"/>
    <n v="1"/>
    <x v="2"/>
    <x v="11"/>
    <s v="UPI"/>
    <d v="2018-05-28T00:00:00"/>
    <x v="324"/>
    <x v="9"/>
    <s v="Hyderabad"/>
    <x v="0"/>
    <n v="5"/>
    <s v="May"/>
    <x v="7"/>
    <n v="-0.55555555555555558"/>
    <s v="Q2"/>
    <s v="Monday"/>
  </r>
  <r>
    <s v="B-25949"/>
    <n v="24"/>
    <n v="11"/>
    <n v="3"/>
    <x v="2"/>
    <x v="7"/>
    <s v="COD"/>
    <d v="2018-01-13T00:00:00"/>
    <x v="258"/>
    <x v="2"/>
    <s v="Mumbai"/>
    <x v="0"/>
    <n v="1"/>
    <s v="Jan"/>
    <x v="2"/>
    <n v="0.45833333333333331"/>
    <s v="Q1"/>
    <s v="Saturday"/>
  </r>
  <r>
    <s v="B-25733"/>
    <n v="23"/>
    <n v="-6"/>
    <n v="4"/>
    <x v="2"/>
    <x v="7"/>
    <s v="COD"/>
    <d v="2018-07-28T00:00:00"/>
    <x v="191"/>
    <x v="2"/>
    <s v="Mumbai"/>
    <x v="0"/>
    <n v="7"/>
    <s v="Jul"/>
    <x v="9"/>
    <n v="-0.2608695652173913"/>
    <s v="Q3"/>
    <s v="Saturday"/>
  </r>
  <r>
    <s v="B-25697"/>
    <n v="322"/>
    <n v="193"/>
    <n v="5"/>
    <x v="0"/>
    <x v="3"/>
    <s v="COD"/>
    <d v="2018-06-22T00:00:00"/>
    <x v="66"/>
    <x v="4"/>
    <s v="Kashmir"/>
    <x v="0"/>
    <n v="6"/>
    <s v="Jun"/>
    <x v="0"/>
    <n v="0.59937888198757761"/>
    <s v="Q2"/>
    <s v="Friday"/>
  </r>
  <r>
    <s v="B-25893"/>
    <n v="688"/>
    <n v="-103"/>
    <n v="6"/>
    <x v="0"/>
    <x v="13"/>
    <s v="Debit Card"/>
    <d v="2018-12-04T00:00:00"/>
    <x v="4"/>
    <x v="1"/>
    <s v="Mathura"/>
    <x v="0"/>
    <n v="12"/>
    <s v="Dec"/>
    <x v="5"/>
    <n v="-0.14970930232558138"/>
    <s v="Q4"/>
    <s v="Tuesday"/>
  </r>
  <r>
    <s v="B-25802"/>
    <n v="23"/>
    <n v="-3"/>
    <n v="1"/>
    <x v="2"/>
    <x v="16"/>
    <s v="COD"/>
    <d v="2018-10-05T00:00:00"/>
    <x v="249"/>
    <x v="2"/>
    <s v="Mumbai"/>
    <x v="0"/>
    <n v="10"/>
    <s v="Oct"/>
    <x v="11"/>
    <n v="-0.13043478260869565"/>
    <s v="Q4"/>
    <s v="Friday"/>
  </r>
  <r>
    <s v="B-25961"/>
    <n v="26"/>
    <n v="3"/>
    <n v="3"/>
    <x v="2"/>
    <x v="9"/>
    <s v="UPI"/>
    <d v="2018-01-18T00:00:00"/>
    <x v="154"/>
    <x v="7"/>
    <s v="Ahmedabad"/>
    <x v="0"/>
    <n v="1"/>
    <s v="Jan"/>
    <x v="2"/>
    <n v="0.11538461538461539"/>
    <s v="Q1"/>
    <s v="Thursday"/>
  </r>
  <r>
    <s v="B-25751"/>
    <n v="68"/>
    <n v="-56"/>
    <n v="2"/>
    <x v="0"/>
    <x v="4"/>
    <s v="COD"/>
    <d v="2018-08-14T00:00:00"/>
    <x v="188"/>
    <x v="2"/>
    <s v="Mumbai"/>
    <x v="0"/>
    <n v="8"/>
    <s v="Aug"/>
    <x v="6"/>
    <n v="-0.82352941176470584"/>
    <s v="Q3"/>
    <s v="Tuesday"/>
  </r>
  <r>
    <s v="B-25814"/>
    <n v="462"/>
    <n v="169"/>
    <n v="4"/>
    <x v="2"/>
    <x v="6"/>
    <s v="COD"/>
    <d v="2018-10-10T00:00:00"/>
    <x v="252"/>
    <x v="0"/>
    <s v="Indore"/>
    <x v="0"/>
    <n v="10"/>
    <s v="Oct"/>
    <x v="11"/>
    <n v="0.36580086580086579"/>
    <s v="Q4"/>
    <s v="Wednesday"/>
  </r>
  <r>
    <s v="B-25702"/>
    <n v="941"/>
    <n v="203"/>
    <n v="3"/>
    <x v="1"/>
    <x v="10"/>
    <s v="UPI"/>
    <d v="2018-06-27T00:00:00"/>
    <x v="305"/>
    <x v="2"/>
    <s v="Mumbai"/>
    <x v="0"/>
    <n v="6"/>
    <s v="Jun"/>
    <x v="0"/>
    <n v="0.21572794899043571"/>
    <s v="Q2"/>
    <s v="Wednesday"/>
  </r>
  <r>
    <s v="B-25896"/>
    <n v="23"/>
    <n v="4"/>
    <n v="2"/>
    <x v="2"/>
    <x v="9"/>
    <s v="COD"/>
    <d v="2018-12-05T00:00:00"/>
    <x v="140"/>
    <x v="2"/>
    <s v="Mumbai"/>
    <x v="0"/>
    <n v="12"/>
    <s v="Dec"/>
    <x v="5"/>
    <n v="0.17391304347826086"/>
    <s v="Q4"/>
    <s v="Wednesday"/>
  </r>
  <r>
    <s v="B-25969"/>
    <n v="720"/>
    <n v="43"/>
    <n v="2"/>
    <x v="0"/>
    <x v="3"/>
    <s v="UPI"/>
    <d v="2018-01-21T00:00:00"/>
    <x v="289"/>
    <x v="7"/>
    <s v="Surat"/>
    <x v="0"/>
    <n v="1"/>
    <s v="Jan"/>
    <x v="2"/>
    <n v="5.9722222222222225E-2"/>
    <s v="Q1"/>
    <s v="Sunday"/>
  </r>
  <r>
    <s v="B-25778"/>
    <n v="724"/>
    <n v="-447"/>
    <n v="4"/>
    <x v="0"/>
    <x v="0"/>
    <s v="UPI"/>
    <d v="2018-09-11T00:00:00"/>
    <x v="27"/>
    <x v="2"/>
    <s v="Mumbai"/>
    <x v="0"/>
    <n v="9"/>
    <s v="Sep"/>
    <x v="8"/>
    <n v="-0.61740331491712708"/>
    <s v="Q3"/>
    <s v="Tuesday"/>
  </r>
  <r>
    <s v="B-25859"/>
    <n v="724"/>
    <n v="253"/>
    <n v="2"/>
    <x v="1"/>
    <x v="2"/>
    <s v="UPI"/>
    <d v="2018-11-14T00:00:00"/>
    <x v="325"/>
    <x v="0"/>
    <s v="Indore"/>
    <x v="0"/>
    <n v="11"/>
    <s v="Nov"/>
    <x v="4"/>
    <n v="0.34944751381215472"/>
    <s v="Q4"/>
    <s v="Wednesday"/>
  </r>
  <r>
    <s v="B-25810"/>
    <n v="26"/>
    <n v="10"/>
    <n v="4"/>
    <x v="2"/>
    <x v="7"/>
    <s v="UPI"/>
    <d v="2018-10-10T00:00:00"/>
    <x v="50"/>
    <x v="13"/>
    <s v="Chandigarh"/>
    <x v="0"/>
    <n v="10"/>
    <s v="Oct"/>
    <x v="11"/>
    <n v="0.38461538461538464"/>
    <s v="Q4"/>
    <s v="Wednesday"/>
  </r>
  <r>
    <s v="B-25616"/>
    <n v="22"/>
    <n v="-2"/>
    <n v="3"/>
    <x v="2"/>
    <x v="7"/>
    <s v="COD"/>
    <d v="2018-04-15T00:00:00"/>
    <x v="72"/>
    <x v="16"/>
    <s v="Goa"/>
    <x v="0"/>
    <n v="4"/>
    <s v="Apr"/>
    <x v="3"/>
    <n v="-9.0909090909090912E-2"/>
    <s v="Q2"/>
    <s v="Sunday"/>
  </r>
  <r>
    <s v="B-25633"/>
    <n v="711"/>
    <n v="-8"/>
    <n v="4"/>
    <x v="2"/>
    <x v="6"/>
    <s v="Debit Card"/>
    <d v="2018-04-26T00:00:00"/>
    <x v="139"/>
    <x v="18"/>
    <s v="Gangtok"/>
    <x v="0"/>
    <n v="4"/>
    <s v="Apr"/>
    <x v="3"/>
    <n v="-1.1251758087201125E-2"/>
    <s v="Q2"/>
    <s v="Thursday"/>
  </r>
  <r>
    <s v="B-25753"/>
    <n v="107"/>
    <n v="31"/>
    <n v="5"/>
    <x v="2"/>
    <x v="14"/>
    <s v="COD"/>
    <d v="2018-08-17T00:00:00"/>
    <x v="205"/>
    <x v="1"/>
    <s v="Lucknow"/>
    <x v="0"/>
    <n v="8"/>
    <s v="Aug"/>
    <x v="6"/>
    <n v="0.28971962616822428"/>
    <s v="Q3"/>
    <s v="Friday"/>
  </r>
  <r>
    <s v="B-25764"/>
    <n v="765"/>
    <n v="-153"/>
    <n v="2"/>
    <x v="0"/>
    <x v="4"/>
    <s v="Debit Card"/>
    <d v="2018-08-28T00:00:00"/>
    <x v="231"/>
    <x v="2"/>
    <s v="Pune"/>
    <x v="0"/>
    <n v="8"/>
    <s v="Aug"/>
    <x v="6"/>
    <n v="-0.2"/>
    <s v="Q3"/>
    <s v="Tuesday"/>
  </r>
  <r>
    <s v="B-25864"/>
    <n v="22"/>
    <n v="8"/>
    <n v="2"/>
    <x v="2"/>
    <x v="12"/>
    <s v="COD"/>
    <d v="2018-11-15T00:00:00"/>
    <x v="257"/>
    <x v="2"/>
    <s v="Mumbai"/>
    <x v="0"/>
    <n v="11"/>
    <s v="Nov"/>
    <x v="4"/>
    <n v="0.36363636363636365"/>
    <s v="Q4"/>
    <s v="Thursday"/>
  </r>
  <r>
    <s v="B-25725"/>
    <n v="26"/>
    <n v="-5"/>
    <n v="2"/>
    <x v="2"/>
    <x v="11"/>
    <s v="UPI"/>
    <d v="2018-07-20T00:00:00"/>
    <x v="276"/>
    <x v="5"/>
    <s v="Kohima"/>
    <x v="0"/>
    <n v="7"/>
    <s v="Jul"/>
    <x v="9"/>
    <n v="-0.19230769230769232"/>
    <s v="Q3"/>
    <s v="Friday"/>
  </r>
  <r>
    <s v="B-25858"/>
    <n v="22"/>
    <n v="8"/>
    <n v="3"/>
    <x v="2"/>
    <x v="7"/>
    <s v="COD"/>
    <d v="2018-11-13T00:00:00"/>
    <x v="137"/>
    <x v="2"/>
    <s v="Mumbai"/>
    <x v="0"/>
    <n v="11"/>
    <s v="Nov"/>
    <x v="4"/>
    <n v="0.36363636363636365"/>
    <s v="Q4"/>
    <s v="Tuesday"/>
  </r>
  <r>
    <s v="B-25817"/>
    <n v="743"/>
    <n v="89"/>
    <n v="5"/>
    <x v="0"/>
    <x v="3"/>
    <s v="UPI"/>
    <d v="2018-10-13T00:00:00"/>
    <x v="326"/>
    <x v="2"/>
    <s v="Mumbai"/>
    <x v="0"/>
    <n v="10"/>
    <s v="Oct"/>
    <x v="11"/>
    <n v="0.11978465679676985"/>
    <s v="Q4"/>
    <s v="Saturday"/>
  </r>
  <r>
    <s v="B-25703"/>
    <n v="22"/>
    <n v="-15"/>
    <n v="4"/>
    <x v="2"/>
    <x v="8"/>
    <s v="COD"/>
    <d v="2018-06-28T00:00:00"/>
    <x v="10"/>
    <x v="0"/>
    <s v="Indore"/>
    <x v="0"/>
    <n v="6"/>
    <s v="Jun"/>
    <x v="0"/>
    <n v="-0.68181818181818177"/>
    <s v="Q2"/>
    <s v="Thursday"/>
  </r>
  <r>
    <s v="B-25610"/>
    <n v="781"/>
    <n v="594"/>
    <n v="6"/>
    <x v="0"/>
    <x v="3"/>
    <s v="Debit Card"/>
    <d v="2018-04-09T00:00:00"/>
    <x v="190"/>
    <x v="12"/>
    <s v="Patna"/>
    <x v="0"/>
    <n v="4"/>
    <s v="Apr"/>
    <x v="3"/>
    <n v="0.76056338028169013"/>
    <s v="Q2"/>
    <s v="Monday"/>
  </r>
  <r>
    <s v="B-25652"/>
    <n v="25"/>
    <n v="-2"/>
    <n v="5"/>
    <x v="2"/>
    <x v="7"/>
    <s v="UPI"/>
    <d v="2018-05-08T00:00:00"/>
    <x v="97"/>
    <x v="16"/>
    <s v="Goa"/>
    <x v="0"/>
    <n v="5"/>
    <s v="May"/>
    <x v="7"/>
    <n v="-0.08"/>
    <s v="Q2"/>
    <s v="Tuesday"/>
  </r>
  <r>
    <s v="B-25891"/>
    <n v="25"/>
    <n v="2"/>
    <n v="2"/>
    <x v="2"/>
    <x v="7"/>
    <s v="UPI"/>
    <d v="2018-12-04T00:00:00"/>
    <x v="170"/>
    <x v="0"/>
    <s v="Indore"/>
    <x v="0"/>
    <n v="12"/>
    <s v="Dec"/>
    <x v="5"/>
    <n v="0.08"/>
    <s v="Q4"/>
    <s v="Tuesday"/>
  </r>
  <r>
    <s v="B-25764"/>
    <n v="119"/>
    <n v="43"/>
    <n v="5"/>
    <x v="2"/>
    <x v="14"/>
    <s v="COD"/>
    <d v="2018-08-28T00:00:00"/>
    <x v="231"/>
    <x v="2"/>
    <s v="Pune"/>
    <x v="0"/>
    <n v="8"/>
    <s v="Aug"/>
    <x v="6"/>
    <n v="0.36134453781512604"/>
    <s v="Q3"/>
    <s v="Tuesday"/>
  </r>
  <r>
    <s v="B-25664"/>
    <n v="785"/>
    <n v="52"/>
    <n v="2"/>
    <x v="0"/>
    <x v="4"/>
    <s v="Debit Card"/>
    <d v="2018-05-20T00:00:00"/>
    <x v="176"/>
    <x v="12"/>
    <s v="Patna"/>
    <x v="0"/>
    <n v="5"/>
    <s v="May"/>
    <x v="7"/>
    <n v="6.6242038216560509E-2"/>
    <s v="Q2"/>
    <s v="Sunday"/>
  </r>
  <r>
    <s v="B-25645"/>
    <n v="183"/>
    <n v="-66"/>
    <n v="5"/>
    <x v="0"/>
    <x v="4"/>
    <s v="UPI"/>
    <d v="2018-05-01T00:00:00"/>
    <x v="185"/>
    <x v="0"/>
    <s v="Indore"/>
    <x v="0"/>
    <n v="5"/>
    <s v="May"/>
    <x v="7"/>
    <n v="-0.36065573770491804"/>
    <s v="Q2"/>
    <s v="Tuesday"/>
  </r>
  <r>
    <s v="B-26008"/>
    <n v="22"/>
    <n v="4"/>
    <n v="1"/>
    <x v="2"/>
    <x v="11"/>
    <s v="COD"/>
    <d v="2018-02-09T00:00:00"/>
    <x v="226"/>
    <x v="14"/>
    <s v="Chennai"/>
    <x v="0"/>
    <n v="2"/>
    <s v="Feb"/>
    <x v="10"/>
    <n v="0.18181818181818182"/>
    <s v="Q1"/>
    <s v="Friday"/>
  </r>
  <r>
    <s v="B-26061"/>
    <n v="642"/>
    <n v="180"/>
    <n v="5"/>
    <x v="2"/>
    <x v="6"/>
    <s v="COD"/>
    <d v="2018-03-14T00:00:00"/>
    <x v="71"/>
    <x v="0"/>
    <s v="Indore"/>
    <x v="0"/>
    <n v="3"/>
    <s v="Mar"/>
    <x v="1"/>
    <n v="0.28037383177570091"/>
    <s v="Q1"/>
    <s v="Wednesday"/>
  </r>
  <r>
    <s v="B-25781"/>
    <n v="767"/>
    <n v="-353"/>
    <n v="5"/>
    <x v="2"/>
    <x v="5"/>
    <s v="COD"/>
    <d v="2018-09-14T00:00:00"/>
    <x v="196"/>
    <x v="7"/>
    <s v="Ahmedabad"/>
    <x v="0"/>
    <n v="9"/>
    <s v="Sep"/>
    <x v="8"/>
    <n v="-0.46023468057366362"/>
    <s v="Q3"/>
    <s v="Friday"/>
  </r>
  <r>
    <s v="B-25999"/>
    <n v="770"/>
    <n v="323"/>
    <n v="3"/>
    <x v="0"/>
    <x v="13"/>
    <s v="COD"/>
    <d v="2018-02-05T00:00:00"/>
    <x v="207"/>
    <x v="8"/>
    <s v="Delhi"/>
    <x v="0"/>
    <n v="2"/>
    <s v="Feb"/>
    <x v="10"/>
    <n v="0.41948051948051945"/>
    <s v="Q1"/>
    <s v="Monday"/>
  </r>
  <r>
    <s v="B-25783"/>
    <n v="21"/>
    <n v="-17"/>
    <n v="3"/>
    <x v="2"/>
    <x v="16"/>
    <s v="COD"/>
    <d v="2018-09-15T00:00:00"/>
    <x v="211"/>
    <x v="0"/>
    <s v="Indore"/>
    <x v="0"/>
    <n v="9"/>
    <s v="Sep"/>
    <x v="8"/>
    <n v="-0.80952380952380953"/>
    <s v="Q3"/>
    <s v="Saturday"/>
  </r>
  <r>
    <s v="B-25800"/>
    <n v="21"/>
    <n v="-6"/>
    <n v="3"/>
    <x v="2"/>
    <x v="12"/>
    <s v="COD"/>
    <d v="2018-10-01T00:00:00"/>
    <x v="228"/>
    <x v="2"/>
    <s v="Pune"/>
    <x v="0"/>
    <n v="10"/>
    <s v="Oct"/>
    <x v="11"/>
    <n v="-0.2857142857142857"/>
    <s v="Q4"/>
    <s v="Monday"/>
  </r>
  <r>
    <s v="B-26093"/>
    <n v="492"/>
    <n v="187"/>
    <n v="2"/>
    <x v="0"/>
    <x v="13"/>
    <s v="UPI"/>
    <d v="2018-03-27T00:00:00"/>
    <x v="3"/>
    <x v="2"/>
    <s v="Pune"/>
    <x v="0"/>
    <n v="3"/>
    <s v="Mar"/>
    <x v="1"/>
    <n v="0.38008130081300812"/>
    <s v="Q1"/>
    <s v="Tuesday"/>
  </r>
  <r>
    <s v="B-25638"/>
    <n v="816"/>
    <n v="-96"/>
    <n v="3"/>
    <x v="0"/>
    <x v="3"/>
    <s v="Debit Card"/>
    <d v="2018-04-26T00:00:00"/>
    <x v="30"/>
    <x v="2"/>
    <s v="Pune"/>
    <x v="0"/>
    <n v="4"/>
    <s v="Apr"/>
    <x v="3"/>
    <n v="-0.11764705882352941"/>
    <s v="Q2"/>
    <s v="Thursday"/>
  </r>
  <r>
    <s v="B-26026"/>
    <n v="25"/>
    <n v="2"/>
    <n v="3"/>
    <x v="2"/>
    <x v="8"/>
    <s v="Credit Card"/>
    <d v="2018-02-19T00:00:00"/>
    <x v="72"/>
    <x v="16"/>
    <s v="Goa"/>
    <x v="0"/>
    <n v="2"/>
    <s v="Feb"/>
    <x v="10"/>
    <n v="0.08"/>
    <s v="Q1"/>
    <s v="Monday"/>
  </r>
  <r>
    <s v="B-25902"/>
    <n v="802"/>
    <n v="120"/>
    <n v="7"/>
    <x v="0"/>
    <x v="13"/>
    <s v="COD"/>
    <d v="2018-12-10T00:00:00"/>
    <x v="215"/>
    <x v="2"/>
    <s v="Mumbai"/>
    <x v="0"/>
    <n v="12"/>
    <s v="Dec"/>
    <x v="5"/>
    <n v="0.14962593516209477"/>
    <s v="Q4"/>
    <s v="Monday"/>
  </r>
  <r>
    <s v="B-25968"/>
    <n v="811"/>
    <n v="154"/>
    <n v="7"/>
    <x v="0"/>
    <x v="13"/>
    <s v="UPI"/>
    <d v="2018-01-21T00:00:00"/>
    <x v="327"/>
    <x v="13"/>
    <s v="Amritsar"/>
    <x v="0"/>
    <n v="1"/>
    <s v="Jan"/>
    <x v="2"/>
    <n v="0.18988902589395806"/>
    <s v="Q1"/>
    <s v="Sunday"/>
  </r>
  <r>
    <s v="B-26099"/>
    <n v="835"/>
    <n v="267"/>
    <n v="5"/>
    <x v="0"/>
    <x v="4"/>
    <s v="Debit Card"/>
    <d v="2018-03-30T00:00:00"/>
    <x v="300"/>
    <x v="2"/>
    <s v="Mumbai"/>
    <x v="0"/>
    <n v="3"/>
    <s v="Mar"/>
    <x v="1"/>
    <n v="0.31976047904191618"/>
    <s v="Q1"/>
    <s v="Friday"/>
  </r>
  <r>
    <s v="B-25699"/>
    <n v="21"/>
    <n v="-5"/>
    <n v="1"/>
    <x v="0"/>
    <x v="13"/>
    <s v="COD"/>
    <d v="2018-06-24T00:00:00"/>
    <x v="199"/>
    <x v="1"/>
    <s v="Lucknow"/>
    <x v="0"/>
    <n v="6"/>
    <s v="Jun"/>
    <x v="0"/>
    <n v="-0.23809523809523808"/>
    <s v="Q2"/>
    <s v="Sunday"/>
  </r>
  <r>
    <s v="B-26076"/>
    <n v="450"/>
    <n v="-190"/>
    <n v="4"/>
    <x v="1"/>
    <x v="2"/>
    <s v="COD"/>
    <d v="2018-03-21T00:00:00"/>
    <x v="106"/>
    <x v="0"/>
    <s v="Bhopal"/>
    <x v="0"/>
    <n v="3"/>
    <s v="Mar"/>
    <x v="1"/>
    <n v="-0.42222222222222222"/>
    <s v="Q1"/>
    <s v="Wednesday"/>
  </r>
  <r>
    <s v="B-25793"/>
    <n v="24"/>
    <n v="-1"/>
    <n v="4"/>
    <x v="2"/>
    <x v="9"/>
    <s v="Credit Card"/>
    <d v="2018-09-24T00:00:00"/>
    <x v="216"/>
    <x v="0"/>
    <s v="Indore"/>
    <x v="0"/>
    <n v="9"/>
    <s v="Sep"/>
    <x v="8"/>
    <n v="-4.1666666666666664E-2"/>
    <s v="Q3"/>
    <s v="Monday"/>
  </r>
  <r>
    <s v="B-25671"/>
    <n v="832"/>
    <n v="0"/>
    <n v="3"/>
    <x v="2"/>
    <x v="5"/>
    <s v="UPI"/>
    <d v="2018-05-27T00:00:00"/>
    <x v="198"/>
    <x v="5"/>
    <s v="Kohima"/>
    <x v="0"/>
    <n v="5"/>
    <s v="May"/>
    <x v="7"/>
    <n v="0"/>
    <s v="Q2"/>
    <s v="Sunday"/>
  </r>
  <r>
    <s v="B-26040"/>
    <n v="833"/>
    <n v="93"/>
    <n v="3"/>
    <x v="2"/>
    <x v="5"/>
    <s v="UPI"/>
    <d v="2018-02-26T00:00:00"/>
    <x v="168"/>
    <x v="13"/>
    <s v="Chandigarh"/>
    <x v="0"/>
    <n v="2"/>
    <s v="Feb"/>
    <x v="10"/>
    <n v="0.11164465786314526"/>
    <s v="Q1"/>
    <s v="Monday"/>
  </r>
  <r>
    <s v="B-26059"/>
    <n v="20"/>
    <n v="6"/>
    <n v="1"/>
    <x v="2"/>
    <x v="14"/>
    <s v="COD"/>
    <d v="2018-03-12T00:00:00"/>
    <x v="319"/>
    <x v="15"/>
    <s v="Chandigarh"/>
    <x v="0"/>
    <n v="3"/>
    <s v="Mar"/>
    <x v="1"/>
    <n v="0.3"/>
    <s v="Q1"/>
    <s v="Monday"/>
  </r>
  <r>
    <s v="B-25725"/>
    <n v="23"/>
    <n v="-5"/>
    <n v="7"/>
    <x v="2"/>
    <x v="7"/>
    <s v="Credit Card"/>
    <d v="2018-07-20T00:00:00"/>
    <x v="276"/>
    <x v="5"/>
    <s v="Kohima"/>
    <x v="0"/>
    <n v="7"/>
    <s v="Jul"/>
    <x v="9"/>
    <n v="-0.21739130434782608"/>
    <s v="Q3"/>
    <s v="Friday"/>
  </r>
  <r>
    <s v="B-25855"/>
    <n v="550"/>
    <n v="-242"/>
    <n v="5"/>
    <x v="1"/>
    <x v="15"/>
    <s v="UPI"/>
    <d v="2018-11-08T00:00:00"/>
    <x v="124"/>
    <x v="0"/>
    <s v="Bhopal"/>
    <x v="0"/>
    <n v="11"/>
    <s v="Nov"/>
    <x v="4"/>
    <n v="-0.44"/>
    <s v="Q4"/>
    <s v="Thursday"/>
  </r>
  <r>
    <s v="B-25738"/>
    <n v="148"/>
    <n v="-91"/>
    <n v="2"/>
    <x v="0"/>
    <x v="4"/>
    <s v="COD"/>
    <d v="2018-08-02T00:00:00"/>
    <x v="121"/>
    <x v="13"/>
    <s v="Chandigarh"/>
    <x v="0"/>
    <n v="8"/>
    <s v="Aug"/>
    <x v="6"/>
    <n v="-0.61486486486486491"/>
    <s v="Q3"/>
    <s v="Thursday"/>
  </r>
  <r>
    <s v="B-25899"/>
    <n v="846"/>
    <n v="9"/>
    <n v="2"/>
    <x v="1"/>
    <x v="1"/>
    <s v="Debit Card"/>
    <d v="2018-12-08T00:00:00"/>
    <x v="129"/>
    <x v="1"/>
    <s v="Prayagraj"/>
    <x v="0"/>
    <n v="12"/>
    <s v="Dec"/>
    <x v="5"/>
    <n v="1.0638297872340425E-2"/>
    <s v="Q4"/>
    <s v="Saturday"/>
  </r>
  <r>
    <s v="B-25608"/>
    <n v="856"/>
    <n v="385"/>
    <n v="6"/>
    <x v="0"/>
    <x v="3"/>
    <s v="COD"/>
    <d v="2018-04-08T00:00:00"/>
    <x v="55"/>
    <x v="14"/>
    <s v="Chennai"/>
    <x v="0"/>
    <n v="4"/>
    <s v="Apr"/>
    <x v="3"/>
    <n v="0.44976635514018692"/>
    <s v="Q2"/>
    <s v="Sunday"/>
  </r>
  <r>
    <s v="B-25904"/>
    <n v="871"/>
    <n v="131"/>
    <n v="2"/>
    <x v="1"/>
    <x v="2"/>
    <s v="UPI"/>
    <d v="2018-12-10T00:00:00"/>
    <x v="252"/>
    <x v="8"/>
    <s v="Delhi"/>
    <x v="0"/>
    <n v="12"/>
    <s v="Dec"/>
    <x v="5"/>
    <n v="0.15040183696900114"/>
    <s v="Q4"/>
    <s v="Monday"/>
  </r>
  <r>
    <s v="B-26056"/>
    <n v="19"/>
    <n v="-18"/>
    <n v="4"/>
    <x v="2"/>
    <x v="8"/>
    <s v="COD"/>
    <d v="2018-03-10T00:00:00"/>
    <x v="156"/>
    <x v="12"/>
    <s v="Patna"/>
    <x v="0"/>
    <n v="3"/>
    <s v="Mar"/>
    <x v="1"/>
    <n v="-0.94736842105263153"/>
    <s v="Q1"/>
    <s v="Saturday"/>
  </r>
  <r>
    <s v="B-25669"/>
    <n v="610"/>
    <n v="-66"/>
    <n v="2"/>
    <x v="1"/>
    <x v="10"/>
    <s v="COD"/>
    <d v="2018-05-25T00:00:00"/>
    <x v="328"/>
    <x v="18"/>
    <s v="Gangtok"/>
    <x v="0"/>
    <n v="5"/>
    <s v="May"/>
    <x v="7"/>
    <n v="-0.10819672131147541"/>
    <s v="Q2"/>
    <s v="Friday"/>
  </r>
  <r>
    <s v="B-25638"/>
    <n v="880"/>
    <n v="97"/>
    <n v="8"/>
    <x v="1"/>
    <x v="15"/>
    <s v="Debit Card"/>
    <d v="2018-04-26T00:00:00"/>
    <x v="30"/>
    <x v="2"/>
    <s v="Pune"/>
    <x v="0"/>
    <n v="4"/>
    <s v="Apr"/>
    <x v="3"/>
    <n v="0.11022727272727273"/>
    <s v="Q2"/>
    <s v="Thursday"/>
  </r>
  <r>
    <s v="B-25953"/>
    <n v="22"/>
    <n v="-8"/>
    <n v="4"/>
    <x v="2"/>
    <x v="7"/>
    <s v="Credit Card"/>
    <d v="2018-01-14T00:00:00"/>
    <x v="93"/>
    <x v="9"/>
    <s v="Hyderabad"/>
    <x v="0"/>
    <n v="1"/>
    <s v="Jan"/>
    <x v="2"/>
    <n v="-0.36363636363636365"/>
    <s v="Q1"/>
    <s v="Sunday"/>
  </r>
  <r>
    <s v="B-25841"/>
    <n v="22"/>
    <n v="11"/>
    <n v="2"/>
    <x v="2"/>
    <x v="9"/>
    <s v="Credit Card"/>
    <d v="2018-11-01T00:00:00"/>
    <x v="329"/>
    <x v="2"/>
    <s v="Mumbai"/>
    <x v="0"/>
    <n v="11"/>
    <s v="Nov"/>
    <x v="4"/>
    <n v="0.5"/>
    <s v="Q4"/>
    <s v="Thursday"/>
  </r>
  <r>
    <s v="B-26071"/>
    <n v="21"/>
    <n v="4"/>
    <n v="3"/>
    <x v="2"/>
    <x v="7"/>
    <s v="Credit Card"/>
    <d v="2018-03-19T00:00:00"/>
    <x v="206"/>
    <x v="4"/>
    <s v="Kashmir"/>
    <x v="0"/>
    <n v="3"/>
    <s v="Mar"/>
    <x v="1"/>
    <n v="0.19047619047619047"/>
    <s v="Q1"/>
    <s v="Monday"/>
  </r>
  <r>
    <s v="B-25793"/>
    <n v="18"/>
    <n v="1"/>
    <n v="3"/>
    <x v="2"/>
    <x v="7"/>
    <s v="COD"/>
    <d v="2018-09-24T00:00:00"/>
    <x v="216"/>
    <x v="0"/>
    <s v="Indore"/>
    <x v="0"/>
    <n v="9"/>
    <s v="Sep"/>
    <x v="8"/>
    <n v="5.5555555555555552E-2"/>
    <s v="Q3"/>
    <s v="Monday"/>
  </r>
  <r>
    <s v="B-25813"/>
    <n v="911"/>
    <n v="202"/>
    <n v="7"/>
    <x v="1"/>
    <x v="1"/>
    <s v="COD"/>
    <d v="2018-10-10T00:00:00"/>
    <x v="330"/>
    <x v="2"/>
    <s v="Mumbai"/>
    <x v="0"/>
    <n v="10"/>
    <s v="Oct"/>
    <x v="11"/>
    <n v="0.22173435784851811"/>
    <s v="Q4"/>
    <s v="Wednesday"/>
  </r>
  <r>
    <s v="B-26010"/>
    <n v="18"/>
    <n v="2"/>
    <n v="3"/>
    <x v="2"/>
    <x v="7"/>
    <s v="COD"/>
    <d v="2018-02-11T00:00:00"/>
    <x v="210"/>
    <x v="12"/>
    <s v="Patna"/>
    <x v="0"/>
    <n v="2"/>
    <s v="Feb"/>
    <x v="10"/>
    <n v="0.1111111111111111"/>
    <s v="Q1"/>
    <s v="Sunday"/>
  </r>
  <r>
    <s v="B-25825"/>
    <n v="911"/>
    <n v="355"/>
    <n v="5"/>
    <x v="0"/>
    <x v="4"/>
    <s v="Debit Card"/>
    <d v="2018-10-21T00:00:00"/>
    <x v="181"/>
    <x v="0"/>
    <s v="Indore"/>
    <x v="0"/>
    <n v="10"/>
    <s v="Oct"/>
    <x v="11"/>
    <n v="0.3896816684961581"/>
    <s v="Q4"/>
    <s v="Sunday"/>
  </r>
  <r>
    <s v="B-25630"/>
    <n v="143"/>
    <n v="-129"/>
    <n v="2"/>
    <x v="0"/>
    <x v="4"/>
    <s v="COD"/>
    <d v="2018-04-24T00:00:00"/>
    <x v="168"/>
    <x v="13"/>
    <s v="Chandigarh"/>
    <x v="0"/>
    <n v="4"/>
    <s v="Apr"/>
    <x v="3"/>
    <n v="-0.90209790209790208"/>
    <s v="Q2"/>
    <s v="Tuesday"/>
  </r>
  <r>
    <s v="B-25986"/>
    <n v="918"/>
    <n v="22"/>
    <n v="9"/>
    <x v="0"/>
    <x v="0"/>
    <s v="COD"/>
    <d v="2018-01-31T00:00:00"/>
    <x v="92"/>
    <x v="6"/>
    <s v="Udaipur"/>
    <x v="0"/>
    <n v="1"/>
    <s v="Jan"/>
    <x v="2"/>
    <n v="2.3965141612200435E-2"/>
    <s v="Q1"/>
    <s v="Wednesday"/>
  </r>
  <r>
    <s v="B-25650"/>
    <n v="925"/>
    <n v="-447"/>
    <n v="5"/>
    <x v="0"/>
    <x v="0"/>
    <s v="COD"/>
    <d v="2018-05-06T00:00:00"/>
    <x v="95"/>
    <x v="2"/>
    <s v="Mumbai"/>
    <x v="0"/>
    <n v="5"/>
    <s v="May"/>
    <x v="7"/>
    <n v="-0.48324324324324325"/>
    <s v="Q2"/>
    <s v="Sunday"/>
  </r>
  <r>
    <s v="B-26078"/>
    <n v="17"/>
    <n v="8"/>
    <n v="2"/>
    <x v="2"/>
    <x v="9"/>
    <s v="COD"/>
    <d v="2018-03-22T00:00:00"/>
    <x v="127"/>
    <x v="17"/>
    <s v="Kolkata"/>
    <x v="0"/>
    <n v="3"/>
    <s v="Mar"/>
    <x v="1"/>
    <n v="0.47058823529411764"/>
    <s v="Q1"/>
    <s v="Thursday"/>
  </r>
  <r>
    <s v="B-25890"/>
    <n v="465"/>
    <n v="207"/>
    <n v="9"/>
    <x v="2"/>
    <x v="6"/>
    <s v="COD"/>
    <d v="2018-12-04T00:00:00"/>
    <x v="331"/>
    <x v="2"/>
    <s v="Mumbai"/>
    <x v="0"/>
    <n v="12"/>
    <s v="Dec"/>
    <x v="5"/>
    <n v="0.44516129032258067"/>
    <s v="Q4"/>
    <s v="Tuesday"/>
  </r>
  <r>
    <s v="B-25691"/>
    <n v="17"/>
    <n v="-9"/>
    <n v="3"/>
    <x v="2"/>
    <x v="11"/>
    <s v="COD"/>
    <d v="2018-06-16T00:00:00"/>
    <x v="107"/>
    <x v="2"/>
    <s v="Mumbai"/>
    <x v="0"/>
    <n v="6"/>
    <s v="Jun"/>
    <x v="0"/>
    <n v="-0.52941176470588236"/>
    <s v="Q2"/>
    <s v="Saturday"/>
  </r>
  <r>
    <s v="B-25952"/>
    <n v="935"/>
    <n v="114"/>
    <n v="4"/>
    <x v="0"/>
    <x v="0"/>
    <s v="UPI"/>
    <d v="2018-01-13T00:00:00"/>
    <x v="85"/>
    <x v="0"/>
    <s v="Indore"/>
    <x v="0"/>
    <n v="1"/>
    <s v="Jan"/>
    <x v="2"/>
    <n v="0.12192513368983957"/>
    <s v="Q1"/>
    <s v="Saturday"/>
  </r>
  <r>
    <s v="B-25651"/>
    <n v="16"/>
    <n v="-10"/>
    <n v="2"/>
    <x v="2"/>
    <x v="14"/>
    <s v="COD"/>
    <d v="2018-05-07T00:00:00"/>
    <x v="71"/>
    <x v="0"/>
    <s v="Indore"/>
    <x v="0"/>
    <n v="5"/>
    <s v="May"/>
    <x v="7"/>
    <n v="-0.625"/>
    <s v="Q2"/>
    <s v="Monday"/>
  </r>
  <r>
    <s v="B-25955"/>
    <n v="954"/>
    <n v="95"/>
    <n v="3"/>
    <x v="0"/>
    <x v="3"/>
    <s v="UPI"/>
    <d v="2018-01-16T00:00:00"/>
    <x v="2"/>
    <x v="2"/>
    <s v="Pune"/>
    <x v="0"/>
    <n v="1"/>
    <s v="Jan"/>
    <x v="2"/>
    <n v="9.9580712788259959E-2"/>
    <s v="Q1"/>
    <s v="Tuesday"/>
  </r>
  <r>
    <s v="B-25898"/>
    <n v="915"/>
    <n v="-99"/>
    <n v="3"/>
    <x v="1"/>
    <x v="10"/>
    <s v="Debit Card"/>
    <d v="2018-12-07T00:00:00"/>
    <x v="76"/>
    <x v="6"/>
    <s v="Udaipur"/>
    <x v="0"/>
    <n v="12"/>
    <s v="Dec"/>
    <x v="5"/>
    <n v="-0.10819672131147541"/>
    <s v="Q4"/>
    <s v="Friday"/>
  </r>
  <r>
    <s v="B-25838"/>
    <n v="955"/>
    <n v="305"/>
    <n v="3"/>
    <x v="0"/>
    <x v="3"/>
    <s v="Debit Card"/>
    <d v="2018-10-29T00:00:00"/>
    <x v="48"/>
    <x v="0"/>
    <s v="Indore"/>
    <x v="0"/>
    <n v="10"/>
    <s v="Oct"/>
    <x v="11"/>
    <n v="0.3193717277486911"/>
    <s v="Q4"/>
    <s v="Monday"/>
  </r>
  <r>
    <s v="B-25797"/>
    <n v="976"/>
    <n v="293"/>
    <n v="4"/>
    <x v="0"/>
    <x v="13"/>
    <s v="COD"/>
    <d v="2018-09-30T00:00:00"/>
    <x v="37"/>
    <x v="0"/>
    <s v="Indore"/>
    <x v="0"/>
    <n v="9"/>
    <s v="Sep"/>
    <x v="8"/>
    <n v="0.30020491803278687"/>
    <s v="Q3"/>
    <s v="Sunday"/>
  </r>
  <r>
    <s v="B-25738"/>
    <n v="1069"/>
    <n v="0"/>
    <n v="6"/>
    <x v="2"/>
    <x v="6"/>
    <s v="EMI"/>
    <d v="2018-08-02T00:00:00"/>
    <x v="121"/>
    <x v="13"/>
    <s v="Chandigarh"/>
    <x v="0"/>
    <n v="8"/>
    <s v="Aug"/>
    <x v="6"/>
    <n v="0"/>
    <s v="Q3"/>
    <s v="Thursday"/>
  </r>
  <r>
    <s v="B-25661"/>
    <n v="19"/>
    <n v="-15"/>
    <n v="3"/>
    <x v="2"/>
    <x v="7"/>
    <s v="Credit Card"/>
    <d v="2018-05-17T00:00:00"/>
    <x v="206"/>
    <x v="4"/>
    <s v="Kashmir"/>
    <x v="0"/>
    <n v="5"/>
    <s v="May"/>
    <x v="7"/>
    <n v="-0.78947368421052633"/>
    <s v="Q2"/>
    <s v="Thursday"/>
  </r>
  <r>
    <s v="B-25997"/>
    <n v="16"/>
    <n v="6"/>
    <n v="3"/>
    <x v="2"/>
    <x v="7"/>
    <s v="COD"/>
    <d v="2018-02-04T00:00:00"/>
    <x v="190"/>
    <x v="2"/>
    <s v="Pune"/>
    <x v="0"/>
    <n v="2"/>
    <s v="Feb"/>
    <x v="10"/>
    <n v="0.375"/>
    <s v="Q1"/>
    <s v="Sunday"/>
  </r>
  <r>
    <s v="B-25667"/>
    <n v="1030"/>
    <n v="206"/>
    <n v="8"/>
    <x v="0"/>
    <x v="3"/>
    <s v="UPI"/>
    <d v="2018-05-23T00:00:00"/>
    <x v="67"/>
    <x v="15"/>
    <s v="Chandigarh"/>
    <x v="0"/>
    <n v="5"/>
    <s v="May"/>
    <x v="7"/>
    <n v="0.2"/>
    <s v="Q2"/>
    <s v="Wednesday"/>
  </r>
  <r>
    <s v="B-25753"/>
    <n v="620"/>
    <n v="82"/>
    <n v="6"/>
    <x v="0"/>
    <x v="13"/>
    <s v="COD"/>
    <d v="2018-08-17T00:00:00"/>
    <x v="205"/>
    <x v="1"/>
    <s v="Lucknow"/>
    <x v="0"/>
    <n v="8"/>
    <s v="Aug"/>
    <x v="6"/>
    <n v="0.13225806451612904"/>
    <s v="Q3"/>
    <s v="Friday"/>
  </r>
  <r>
    <s v="B-25848"/>
    <n v="16"/>
    <n v="8"/>
    <n v="2"/>
    <x v="2"/>
    <x v="7"/>
    <s v="COD"/>
    <d v="2018-11-03T00:00:00"/>
    <x v="115"/>
    <x v="11"/>
    <s v="Simla"/>
    <x v="0"/>
    <n v="11"/>
    <s v="Nov"/>
    <x v="4"/>
    <n v="0.5"/>
    <s v="Q4"/>
    <s v="Saturday"/>
  </r>
  <r>
    <s v="B-26097"/>
    <n v="19"/>
    <n v="8"/>
    <n v="2"/>
    <x v="2"/>
    <x v="7"/>
    <s v="Credit Card"/>
    <d v="2018-03-28T00:00:00"/>
    <x v="35"/>
    <x v="3"/>
    <s v="Bangalore"/>
    <x v="0"/>
    <n v="3"/>
    <s v="Mar"/>
    <x v="1"/>
    <n v="0.42105263157894735"/>
    <s v="Q1"/>
    <s v="Wednesday"/>
  </r>
  <r>
    <s v="B-25633"/>
    <n v="249"/>
    <n v="-130"/>
    <n v="4"/>
    <x v="0"/>
    <x v="4"/>
    <s v="UPI"/>
    <d v="2018-04-26T00:00:00"/>
    <x v="139"/>
    <x v="18"/>
    <s v="Gangtok"/>
    <x v="0"/>
    <n v="4"/>
    <s v="Apr"/>
    <x v="3"/>
    <n v="-0.52208835341365467"/>
    <s v="Q2"/>
    <s v="Thursday"/>
  </r>
  <r>
    <s v="B-25807"/>
    <n v="16"/>
    <n v="6"/>
    <n v="1"/>
    <x v="2"/>
    <x v="11"/>
    <s v="COD"/>
    <d v="2018-10-07T00:00:00"/>
    <x v="332"/>
    <x v="1"/>
    <s v="Lucknow"/>
    <x v="0"/>
    <n v="10"/>
    <s v="Oct"/>
    <x v="11"/>
    <n v="0.375"/>
    <s v="Q4"/>
    <s v="Sunday"/>
  </r>
  <r>
    <s v="B-25752"/>
    <n v="1361"/>
    <n v="197"/>
    <n v="9"/>
    <x v="1"/>
    <x v="2"/>
    <s v="COD"/>
    <d v="2018-08-14T00:00:00"/>
    <x v="89"/>
    <x v="0"/>
    <s v="Indore"/>
    <x v="0"/>
    <n v="8"/>
    <s v="Aug"/>
    <x v="6"/>
    <n v="0.14474650991917706"/>
    <s v="Q3"/>
    <s v="Tuesday"/>
  </r>
  <r>
    <s v="B-26052"/>
    <n v="15"/>
    <n v="1"/>
    <n v="1"/>
    <x v="2"/>
    <x v="16"/>
    <s v="COD"/>
    <d v="2018-03-08T00:00:00"/>
    <x v="84"/>
    <x v="3"/>
    <s v="Bangalore"/>
    <x v="0"/>
    <n v="3"/>
    <s v="Mar"/>
    <x v="1"/>
    <n v="6.6666666666666666E-2"/>
    <s v="Q1"/>
    <s v="Thursday"/>
  </r>
  <r>
    <s v="B-25610"/>
    <n v="1076"/>
    <n v="-38"/>
    <n v="4"/>
    <x v="0"/>
    <x v="3"/>
    <s v="COD"/>
    <d v="2018-04-09T00:00:00"/>
    <x v="190"/>
    <x v="12"/>
    <s v="Patna"/>
    <x v="0"/>
    <n v="4"/>
    <s v="Apr"/>
    <x v="3"/>
    <n v="-3.5315985130111527E-2"/>
    <s v="Q2"/>
    <s v="Monday"/>
  </r>
  <r>
    <s v="B-25888"/>
    <n v="18"/>
    <n v="2"/>
    <n v="3"/>
    <x v="2"/>
    <x v="7"/>
    <s v="Credit Card"/>
    <d v="2018-12-02T00:00:00"/>
    <x v="115"/>
    <x v="13"/>
    <s v="Amritsar"/>
    <x v="0"/>
    <n v="12"/>
    <s v="Dec"/>
    <x v="5"/>
    <n v="0.1111111111111111"/>
    <s v="Q4"/>
    <s v="Sunday"/>
  </r>
  <r>
    <s v="B-25937"/>
    <n v="1101"/>
    <n v="352"/>
    <n v="3"/>
    <x v="1"/>
    <x v="2"/>
    <s v="UPI"/>
    <d v="2018-01-05T00:00:00"/>
    <x v="138"/>
    <x v="15"/>
    <s v="Chandigarh"/>
    <x v="0"/>
    <n v="1"/>
    <s v="Jan"/>
    <x v="2"/>
    <n v="0.31970935513169846"/>
    <s v="Q1"/>
    <s v="Friday"/>
  </r>
  <r>
    <s v="B-25828"/>
    <n v="15"/>
    <n v="2"/>
    <n v="1"/>
    <x v="2"/>
    <x v="12"/>
    <s v="COD"/>
    <d v="2018-10-24T00:00:00"/>
    <x v="131"/>
    <x v="13"/>
    <s v="Chandigarh"/>
    <x v="0"/>
    <n v="10"/>
    <s v="Oct"/>
    <x v="11"/>
    <n v="0.13333333333333333"/>
    <s v="Q4"/>
    <s v="Wednesday"/>
  </r>
  <r>
    <s v="B-26048"/>
    <n v="1104"/>
    <n v="209"/>
    <n v="4"/>
    <x v="2"/>
    <x v="5"/>
    <s v="UPI"/>
    <d v="2018-03-04T00:00:00"/>
    <x v="30"/>
    <x v="2"/>
    <s v="Pune"/>
    <x v="0"/>
    <n v="3"/>
    <s v="Mar"/>
    <x v="1"/>
    <n v="0.18931159420289856"/>
    <s v="Q1"/>
    <s v="Sunday"/>
  </r>
  <r>
    <s v="B-25670"/>
    <n v="14"/>
    <n v="2"/>
    <n v="1"/>
    <x v="2"/>
    <x v="7"/>
    <s v="COD"/>
    <d v="2018-05-25T00:00:00"/>
    <x v="111"/>
    <x v="16"/>
    <s v="Goa"/>
    <x v="0"/>
    <n v="5"/>
    <s v="May"/>
    <x v="7"/>
    <n v="0.14285714285714285"/>
    <s v="Q2"/>
    <s v="Friday"/>
  </r>
  <r>
    <s v="B-25757"/>
    <n v="14"/>
    <n v="5"/>
    <n v="1"/>
    <x v="2"/>
    <x v="7"/>
    <s v="COD"/>
    <d v="2018-08-21T00:00:00"/>
    <x v="11"/>
    <x v="0"/>
    <s v="Indore"/>
    <x v="0"/>
    <n v="8"/>
    <s v="Aug"/>
    <x v="6"/>
    <n v="0.35714285714285715"/>
    <s v="Q3"/>
    <s v="Tuesday"/>
  </r>
  <r>
    <s v="B-25751"/>
    <n v="14"/>
    <n v="-3"/>
    <n v="2"/>
    <x v="2"/>
    <x v="12"/>
    <s v="COD"/>
    <d v="2018-08-14T00:00:00"/>
    <x v="188"/>
    <x v="2"/>
    <s v="Mumbai"/>
    <x v="0"/>
    <n v="8"/>
    <s v="Aug"/>
    <x v="6"/>
    <n v="-0.21428571428571427"/>
    <s v="Q3"/>
    <s v="Tuesday"/>
  </r>
  <r>
    <s v="B-25687"/>
    <n v="14"/>
    <n v="-1"/>
    <n v="4"/>
    <x v="2"/>
    <x v="8"/>
    <s v="COD"/>
    <d v="2018-06-11T00:00:00"/>
    <x v="7"/>
    <x v="2"/>
    <s v="Mumbai"/>
    <x v="0"/>
    <n v="6"/>
    <s v="Jun"/>
    <x v="0"/>
    <n v="-7.1428571428571425E-2"/>
    <s v="Q2"/>
    <s v="Monday"/>
  </r>
  <r>
    <s v="B-25710"/>
    <n v="13"/>
    <n v="-8"/>
    <n v="1"/>
    <x v="2"/>
    <x v="14"/>
    <s v="COD"/>
    <d v="2018-07-05T00:00:00"/>
    <x v="36"/>
    <x v="2"/>
    <s v="Pune"/>
    <x v="0"/>
    <n v="7"/>
    <s v="Jul"/>
    <x v="9"/>
    <n v="-0.61538461538461542"/>
    <s v="Q3"/>
    <s v="Thursday"/>
  </r>
  <r>
    <s v="B-25656"/>
    <n v="13"/>
    <n v="-1"/>
    <n v="3"/>
    <x v="2"/>
    <x v="7"/>
    <s v="COD"/>
    <d v="2018-05-11T00:00:00"/>
    <x v="85"/>
    <x v="2"/>
    <s v="Pune"/>
    <x v="0"/>
    <n v="5"/>
    <s v="May"/>
    <x v="7"/>
    <n v="-7.6923076923076927E-2"/>
    <s v="Q2"/>
    <s v="Friday"/>
  </r>
  <r>
    <s v="B-25601"/>
    <n v="1275"/>
    <n v="1148"/>
    <n v="7"/>
    <x v="1"/>
    <x v="2"/>
    <s v="EMI"/>
    <d v="2018-04-01T00:00:00"/>
    <x v="234"/>
    <x v="7"/>
    <s v="Ahmedabad"/>
    <x v="0"/>
    <n v="4"/>
    <s v="Apr"/>
    <x v="3"/>
    <n v="0.9003921568627451"/>
    <s v="Q2"/>
    <s v="Sunday"/>
  </r>
  <r>
    <s v="B-26053"/>
    <n v="17"/>
    <n v="1"/>
    <n v="2"/>
    <x v="2"/>
    <x v="9"/>
    <s v="Credit Card"/>
    <d v="2018-03-09T00:00:00"/>
    <x v="8"/>
    <x v="4"/>
    <s v="Kashmir"/>
    <x v="0"/>
    <n v="3"/>
    <s v="Mar"/>
    <x v="1"/>
    <n v="5.8823529411764705E-2"/>
    <s v="Q1"/>
    <s v="Friday"/>
  </r>
  <r>
    <s v="B-26001"/>
    <n v="13"/>
    <n v="0"/>
    <n v="2"/>
    <x v="2"/>
    <x v="7"/>
    <s v="COD"/>
    <d v="2018-02-07T00:00:00"/>
    <x v="24"/>
    <x v="8"/>
    <s v="Delhi"/>
    <x v="0"/>
    <n v="2"/>
    <s v="Feb"/>
    <x v="10"/>
    <n v="0"/>
    <s v="Q1"/>
    <s v="Wednesday"/>
  </r>
  <r>
    <s v="B-25964"/>
    <n v="1270"/>
    <n v="546"/>
    <n v="11"/>
    <x v="0"/>
    <x v="0"/>
    <s v="EMI"/>
    <d v="2018-01-20T00:00:00"/>
    <x v="169"/>
    <x v="2"/>
    <s v="Pune"/>
    <x v="0"/>
    <n v="1"/>
    <s v="Jan"/>
    <x v="2"/>
    <n v="0.42992125984251967"/>
    <s v="Q1"/>
    <s v="Saturday"/>
  </r>
  <r>
    <s v="B-26062"/>
    <n v="13"/>
    <n v="-2"/>
    <n v="1"/>
    <x v="2"/>
    <x v="11"/>
    <s v="COD"/>
    <d v="2018-03-15T00:00:00"/>
    <x v="97"/>
    <x v="16"/>
    <s v="Goa"/>
    <x v="0"/>
    <n v="3"/>
    <s v="Mar"/>
    <x v="1"/>
    <n v="-0.15384615384615385"/>
    <s v="Q1"/>
    <s v="Thursday"/>
  </r>
  <r>
    <s v="B-25982"/>
    <n v="13"/>
    <n v="3"/>
    <n v="1"/>
    <x v="2"/>
    <x v="12"/>
    <s v="COD"/>
    <d v="2018-01-29T00:00:00"/>
    <x v="333"/>
    <x v="8"/>
    <s v="Delhi"/>
    <x v="0"/>
    <n v="1"/>
    <s v="Jan"/>
    <x v="2"/>
    <n v="0.23076923076923078"/>
    <s v="Q1"/>
    <s v="Monday"/>
  </r>
  <r>
    <s v="B-25864"/>
    <n v="17"/>
    <n v="5"/>
    <n v="1"/>
    <x v="2"/>
    <x v="7"/>
    <s v="UPI"/>
    <d v="2018-11-15T00:00:00"/>
    <x v="257"/>
    <x v="2"/>
    <s v="Mumbai"/>
    <x v="0"/>
    <n v="11"/>
    <s v="Nov"/>
    <x v="4"/>
    <n v="0.29411764705882354"/>
    <s v="Q4"/>
    <s v="Thursday"/>
  </r>
  <r>
    <s v="B-25693"/>
    <n v="13"/>
    <n v="-13"/>
    <n v="2"/>
    <x v="2"/>
    <x v="9"/>
    <s v="COD"/>
    <d v="2018-06-18T00:00:00"/>
    <x v="77"/>
    <x v="0"/>
    <s v="Bhopal"/>
    <x v="0"/>
    <n v="6"/>
    <s v="Jun"/>
    <x v="0"/>
    <n v="-1"/>
    <s v="Q2"/>
    <s v="Monday"/>
  </r>
  <r>
    <s v="B-25802"/>
    <n v="13"/>
    <n v="-9"/>
    <n v="2"/>
    <x v="2"/>
    <x v="9"/>
    <s v="COD"/>
    <d v="2018-10-05T00:00:00"/>
    <x v="249"/>
    <x v="2"/>
    <s v="Mumbai"/>
    <x v="0"/>
    <n v="10"/>
    <s v="Oct"/>
    <x v="11"/>
    <n v="-0.69230769230769229"/>
    <s v="Q4"/>
    <s v="Friday"/>
  </r>
  <r>
    <s v="B-25676"/>
    <n v="1263"/>
    <n v="-56"/>
    <n v="5"/>
    <x v="2"/>
    <x v="5"/>
    <s v="EMI"/>
    <d v="2018-06-01T00:00:00"/>
    <x v="114"/>
    <x v="6"/>
    <s v="Jaipur"/>
    <x v="0"/>
    <n v="6"/>
    <s v="Jun"/>
    <x v="0"/>
    <n v="-4.4338875692794932E-2"/>
    <s v="Q2"/>
    <s v="Friday"/>
  </r>
  <r>
    <s v="B-25639"/>
    <n v="1629"/>
    <n v="-153"/>
    <n v="3"/>
    <x v="0"/>
    <x v="4"/>
    <s v="COD"/>
    <d v="2018-04-27T00:00:00"/>
    <x v="294"/>
    <x v="0"/>
    <s v="Bhopal"/>
    <x v="0"/>
    <n v="4"/>
    <s v="Apr"/>
    <x v="3"/>
    <n v="-9.3922651933701654E-2"/>
    <s v="Q2"/>
    <s v="Friday"/>
  </r>
  <r>
    <s v="B-25757"/>
    <n v="17"/>
    <n v="7"/>
    <n v="3"/>
    <x v="2"/>
    <x v="7"/>
    <s v="UPI"/>
    <d v="2018-08-21T00:00:00"/>
    <x v="11"/>
    <x v="0"/>
    <s v="Indore"/>
    <x v="0"/>
    <n v="8"/>
    <s v="Aug"/>
    <x v="6"/>
    <n v="0.41176470588235292"/>
    <s v="Q3"/>
    <s v="Tuesday"/>
  </r>
  <r>
    <s v="B-26003"/>
    <n v="17"/>
    <n v="2"/>
    <n v="2"/>
    <x v="2"/>
    <x v="9"/>
    <s v="UPI"/>
    <d v="2018-02-08T00:00:00"/>
    <x v="34"/>
    <x v="0"/>
    <s v="Bhopal"/>
    <x v="0"/>
    <n v="2"/>
    <s v="Feb"/>
    <x v="10"/>
    <n v="0.11764705882352941"/>
    <s v="Q1"/>
    <s v="Thursday"/>
  </r>
  <r>
    <s v="B-26055"/>
    <n v="1250"/>
    <n v="-12"/>
    <n v="2"/>
    <x v="0"/>
    <x v="3"/>
    <s v="EMI"/>
    <d v="2018-03-10T00:00:00"/>
    <x v="1"/>
    <x v="1"/>
    <s v="Mathura"/>
    <x v="0"/>
    <n v="3"/>
    <s v="Mar"/>
    <x v="1"/>
    <n v="-9.5999999999999992E-3"/>
    <s v="Q1"/>
    <s v="Saturday"/>
  </r>
  <r>
    <s v="B-25786"/>
    <n v="17"/>
    <n v="-11"/>
    <n v="3"/>
    <x v="2"/>
    <x v="9"/>
    <s v="UPI"/>
    <d v="2018-09-19T00:00:00"/>
    <x v="16"/>
    <x v="1"/>
    <s v="Mathura"/>
    <x v="0"/>
    <n v="9"/>
    <s v="Sep"/>
    <x v="8"/>
    <n v="-0.6470588235294118"/>
    <s v="Q3"/>
    <s v="Wednesday"/>
  </r>
  <r>
    <s v="B-25919"/>
    <n v="977"/>
    <n v="-244"/>
    <n v="7"/>
    <x v="0"/>
    <x v="4"/>
    <s v="COD"/>
    <d v="2018-12-23T00:00:00"/>
    <x v="259"/>
    <x v="6"/>
    <s v="Udaipur"/>
    <x v="0"/>
    <n v="12"/>
    <s v="Dec"/>
    <x v="5"/>
    <n v="-0.24974411463664278"/>
    <s v="Q4"/>
    <s v="Sunday"/>
  </r>
  <r>
    <s v="B-25894"/>
    <n v="1246"/>
    <n v="62"/>
    <n v="3"/>
    <x v="1"/>
    <x v="2"/>
    <s v="EMI"/>
    <d v="2018-12-04T00:00:00"/>
    <x v="334"/>
    <x v="13"/>
    <s v="Amritsar"/>
    <x v="0"/>
    <n v="12"/>
    <s v="Dec"/>
    <x v="5"/>
    <n v="4.9759229534510431E-2"/>
    <s v="Q4"/>
    <s v="Tuesday"/>
  </r>
  <r>
    <s v="B-25979"/>
    <n v="12"/>
    <n v="1"/>
    <n v="2"/>
    <x v="2"/>
    <x v="7"/>
    <s v="COD"/>
    <d v="2018-01-27T00:00:00"/>
    <x v="211"/>
    <x v="0"/>
    <s v="Indore"/>
    <x v="0"/>
    <n v="1"/>
    <s v="Jan"/>
    <x v="2"/>
    <n v="8.3333333333333329E-2"/>
    <s v="Q1"/>
    <s v="Saturday"/>
  </r>
  <r>
    <s v="B-25651"/>
    <n v="11"/>
    <n v="-4"/>
    <n v="2"/>
    <x v="2"/>
    <x v="9"/>
    <s v="COD"/>
    <d v="2018-05-07T00:00:00"/>
    <x v="71"/>
    <x v="0"/>
    <s v="Indore"/>
    <x v="0"/>
    <n v="5"/>
    <s v="May"/>
    <x v="7"/>
    <n v="-0.36363636363636365"/>
    <s v="Q2"/>
    <s v="Monday"/>
  </r>
  <r>
    <s v="B-25653"/>
    <n v="1327"/>
    <n v="318"/>
    <n v="8"/>
    <x v="1"/>
    <x v="1"/>
    <s v="EMI"/>
    <d v="2018-05-08T00:00:00"/>
    <x v="80"/>
    <x v="5"/>
    <s v="Kohima"/>
    <x v="0"/>
    <n v="5"/>
    <s v="May"/>
    <x v="7"/>
    <n v="0.23963828183873398"/>
    <s v="Q2"/>
    <s v="Tuesday"/>
  </r>
  <r>
    <s v="B-25855"/>
    <n v="1319"/>
    <n v="567"/>
    <n v="5"/>
    <x v="0"/>
    <x v="3"/>
    <s v="COD"/>
    <d v="2018-11-08T00:00:00"/>
    <x v="124"/>
    <x v="0"/>
    <s v="Bhopal"/>
    <x v="0"/>
    <n v="11"/>
    <s v="Nov"/>
    <x v="4"/>
    <n v="0.42987111448066717"/>
    <s v="Q4"/>
    <s v="Thursday"/>
  </r>
  <r>
    <s v="B-25793"/>
    <n v="1402"/>
    <n v="109"/>
    <n v="11"/>
    <x v="2"/>
    <x v="6"/>
    <s v="EMI"/>
    <d v="2018-09-24T00:00:00"/>
    <x v="216"/>
    <x v="0"/>
    <s v="Indore"/>
    <x v="0"/>
    <n v="9"/>
    <s v="Sep"/>
    <x v="8"/>
    <n v="7.7746077032810265E-2"/>
    <s v="Q3"/>
    <s v="Monday"/>
  </r>
  <r>
    <s v="B-26073"/>
    <n v="1514"/>
    <n v="742"/>
    <n v="4"/>
    <x v="0"/>
    <x v="3"/>
    <s v="EMI"/>
    <d v="2018-03-21T00:00:00"/>
    <x v="182"/>
    <x v="0"/>
    <s v="Indore"/>
    <x v="0"/>
    <n v="3"/>
    <s v="Mar"/>
    <x v="1"/>
    <n v="0.49009247027741082"/>
    <s v="Q1"/>
    <s v="Wednesday"/>
  </r>
  <r>
    <s v="B-25881"/>
    <n v="1351"/>
    <n v="111"/>
    <n v="6"/>
    <x v="0"/>
    <x v="0"/>
    <s v="COD"/>
    <d v="2018-11-25T00:00:00"/>
    <x v="5"/>
    <x v="1"/>
    <s v="Mathura"/>
    <x v="0"/>
    <n v="11"/>
    <s v="Nov"/>
    <x v="4"/>
    <n v="8.2161361954108073E-2"/>
    <s v="Q4"/>
    <s v="Sunday"/>
  </r>
  <r>
    <s v="B-25603"/>
    <n v="1355"/>
    <n v="-60"/>
    <n v="5"/>
    <x v="2"/>
    <x v="5"/>
    <s v="COD"/>
    <d v="2018-04-03T00:00:00"/>
    <x v="106"/>
    <x v="0"/>
    <s v="Bhopal"/>
    <x v="0"/>
    <n v="4"/>
    <s v="Apr"/>
    <x v="3"/>
    <n v="-4.4280442804428041E-2"/>
    <s v="Q2"/>
    <s v="Tuesday"/>
  </r>
  <r>
    <s v="B-25851"/>
    <n v="10"/>
    <n v="2"/>
    <n v="2"/>
    <x v="2"/>
    <x v="7"/>
    <s v="COD"/>
    <d v="2018-11-06T00:00:00"/>
    <x v="9"/>
    <x v="5"/>
    <s v="Kohima"/>
    <x v="0"/>
    <n v="11"/>
    <s v="Nov"/>
    <x v="4"/>
    <n v="0.2"/>
    <s v="Q4"/>
    <s v="Tuesday"/>
  </r>
  <r>
    <s v="B-25883"/>
    <n v="10"/>
    <n v="-2"/>
    <n v="2"/>
    <x v="2"/>
    <x v="12"/>
    <s v="COD"/>
    <d v="2018-11-27T00:00:00"/>
    <x v="33"/>
    <x v="7"/>
    <s v="Surat"/>
    <x v="0"/>
    <n v="11"/>
    <s v="Nov"/>
    <x v="4"/>
    <n v="-0.2"/>
    <s v="Q4"/>
    <s v="Tuesday"/>
  </r>
  <r>
    <s v="B-25768"/>
    <n v="1582"/>
    <n v="-443"/>
    <n v="6"/>
    <x v="2"/>
    <x v="5"/>
    <s v="EMI"/>
    <d v="2018-09-01T00:00:00"/>
    <x v="335"/>
    <x v="3"/>
    <s v="Bangalore"/>
    <x v="0"/>
    <n v="9"/>
    <s v="Sep"/>
    <x v="8"/>
    <n v="-0.28002528445006319"/>
    <s v="Q3"/>
    <s v="Saturday"/>
  </r>
  <r>
    <s v="B-25953"/>
    <n v="1218"/>
    <n v="352"/>
    <n v="9"/>
    <x v="1"/>
    <x v="2"/>
    <s v="EMI"/>
    <d v="2018-01-14T00:00:00"/>
    <x v="93"/>
    <x v="9"/>
    <s v="Hyderabad"/>
    <x v="0"/>
    <n v="1"/>
    <s v="Jan"/>
    <x v="2"/>
    <n v="0.28899835796387519"/>
    <s v="Q1"/>
    <s v="Sunday"/>
  </r>
  <r>
    <s v="B-25755"/>
    <n v="321"/>
    <n v="315"/>
    <n v="5"/>
    <x v="2"/>
    <x v="6"/>
    <s v="UPI"/>
    <d v="2018-08-19T00:00:00"/>
    <x v="40"/>
    <x v="10"/>
    <s v="Thiruvananthapuram"/>
    <x v="0"/>
    <n v="8"/>
    <s v="Aug"/>
    <x v="6"/>
    <n v="0.98130841121495327"/>
    <s v="Q3"/>
    <s v="Sunday"/>
  </r>
  <r>
    <s v="B-26057"/>
    <n v="736"/>
    <n v="346"/>
    <n v="5"/>
    <x v="0"/>
    <x v="3"/>
    <s v="COD"/>
    <d v="2018-03-10T00:00:00"/>
    <x v="152"/>
    <x v="10"/>
    <s v="Thiruvananthapuram"/>
    <x v="0"/>
    <n v="3"/>
    <s v="Mar"/>
    <x v="1"/>
    <n v="0.47010869565217389"/>
    <s v="Q1"/>
    <s v="Saturday"/>
  </r>
  <r>
    <s v="B-26055"/>
    <n v="1218"/>
    <n v="-420"/>
    <n v="8"/>
    <x v="1"/>
    <x v="2"/>
    <s v="COD"/>
    <d v="2018-03-10T00:00:00"/>
    <x v="1"/>
    <x v="1"/>
    <s v="Mathura"/>
    <x v="0"/>
    <n v="3"/>
    <s v="Mar"/>
    <x v="1"/>
    <n v="-0.34482758620689657"/>
    <s v="Q1"/>
    <s v="Saturday"/>
  </r>
  <r>
    <s v="B-25855"/>
    <n v="1027"/>
    <n v="441"/>
    <n v="8"/>
    <x v="2"/>
    <x v="6"/>
    <s v="COD"/>
    <d v="2018-11-08T00:00:00"/>
    <x v="124"/>
    <x v="0"/>
    <s v="Bhopal"/>
    <x v="0"/>
    <n v="11"/>
    <s v="Nov"/>
    <x v="4"/>
    <n v="0.42940603700097368"/>
    <s v="Q4"/>
    <s v="Thursday"/>
  </r>
  <r>
    <s v="B-25989"/>
    <n v="10"/>
    <n v="5"/>
    <n v="1"/>
    <x v="2"/>
    <x v="11"/>
    <s v="COD"/>
    <d v="2018-02-01T00:00:00"/>
    <x v="67"/>
    <x v="8"/>
    <s v="Delhi"/>
    <x v="0"/>
    <n v="2"/>
    <s v="Feb"/>
    <x v="10"/>
    <n v="0.5"/>
    <s v="Q1"/>
    <s v="Thursday"/>
  </r>
  <r>
    <s v="B-26099"/>
    <n v="2366"/>
    <n v="552"/>
    <n v="5"/>
    <x v="2"/>
    <x v="5"/>
    <s v="UPI"/>
    <d v="2018-03-30T00:00:00"/>
    <x v="300"/>
    <x v="2"/>
    <s v="Mumbai"/>
    <x v="0"/>
    <n v="3"/>
    <s v="Mar"/>
    <x v="1"/>
    <n v="0.23330515638207946"/>
    <s v="Q1"/>
    <s v="Friday"/>
  </r>
  <r>
    <s v="B-25652"/>
    <n v="9"/>
    <n v="-6"/>
    <n v="2"/>
    <x v="2"/>
    <x v="7"/>
    <s v="COD"/>
    <d v="2018-05-08T00:00:00"/>
    <x v="97"/>
    <x v="16"/>
    <s v="Goa"/>
    <x v="0"/>
    <n v="5"/>
    <s v="May"/>
    <x v="7"/>
    <n v="-0.66666666666666663"/>
    <s v="Q2"/>
    <s v="Tuesday"/>
  </r>
  <r>
    <s v="B-25723"/>
    <n v="16"/>
    <n v="-12"/>
    <n v="2"/>
    <x v="2"/>
    <x v="11"/>
    <s v="UPI"/>
    <d v="2018-07-18T00:00:00"/>
    <x v="39"/>
    <x v="2"/>
    <s v="Mumbai"/>
    <x v="0"/>
    <n v="7"/>
    <s v="Jul"/>
    <x v="9"/>
    <n v="-0.75"/>
    <s v="Q3"/>
    <s v="Wednesday"/>
  </r>
  <r>
    <s v="B-26099"/>
    <n v="9"/>
    <n v="3"/>
    <n v="1"/>
    <x v="2"/>
    <x v="9"/>
    <s v="COD"/>
    <d v="2018-03-30T00:00:00"/>
    <x v="300"/>
    <x v="2"/>
    <s v="Mumbai"/>
    <x v="0"/>
    <n v="3"/>
    <s v="Mar"/>
    <x v="1"/>
    <n v="0.33333333333333331"/>
    <s v="Q1"/>
    <s v="Friday"/>
  </r>
  <r>
    <s v="B-25629"/>
    <n v="1560"/>
    <n v="421"/>
    <n v="3"/>
    <x v="2"/>
    <x v="5"/>
    <s v="COD"/>
    <d v="2018-04-24T00:00:00"/>
    <x v="229"/>
    <x v="10"/>
    <s v="Thiruvananthapuram"/>
    <x v="0"/>
    <n v="4"/>
    <s v="Apr"/>
    <x v="3"/>
    <n v="0.26987179487179486"/>
    <s v="Q2"/>
    <s v="Tuesday"/>
  </r>
  <r>
    <s v="B-25877"/>
    <n v="1137"/>
    <n v="568"/>
    <n v="2"/>
    <x v="2"/>
    <x v="5"/>
    <s v="EMI"/>
    <d v="2018-11-24T00:00:00"/>
    <x v="144"/>
    <x v="7"/>
    <s v="Surat"/>
    <x v="0"/>
    <n v="11"/>
    <s v="Nov"/>
    <x v="4"/>
    <n v="0.49956024626209322"/>
    <s v="Q4"/>
    <s v="Saturday"/>
  </r>
  <r>
    <s v="B-25767"/>
    <n v="9"/>
    <n v="-9"/>
    <n v="2"/>
    <x v="2"/>
    <x v="8"/>
    <s v="COD"/>
    <d v="2018-08-31T00:00:00"/>
    <x v="202"/>
    <x v="17"/>
    <s v="Kolkata"/>
    <x v="0"/>
    <n v="8"/>
    <s v="Aug"/>
    <x v="6"/>
    <n v="-1"/>
    <s v="Q3"/>
    <s v="Friday"/>
  </r>
  <r>
    <s v="B-25735"/>
    <n v="15"/>
    <n v="-7"/>
    <n v="1"/>
    <x v="2"/>
    <x v="7"/>
    <s v="UPI"/>
    <d v="2018-07-30T00:00:00"/>
    <x v="19"/>
    <x v="1"/>
    <s v="Lucknow"/>
    <x v="0"/>
    <n v="7"/>
    <s v="Jul"/>
    <x v="9"/>
    <n v="-0.46666666666666667"/>
    <s v="Q3"/>
    <s v="Monday"/>
  </r>
  <r>
    <s v="B-26097"/>
    <n v="14"/>
    <n v="5"/>
    <n v="1"/>
    <x v="2"/>
    <x v="7"/>
    <s v="UPI"/>
    <d v="2018-03-28T00:00:00"/>
    <x v="35"/>
    <x v="3"/>
    <s v="Bangalore"/>
    <x v="0"/>
    <n v="3"/>
    <s v="Mar"/>
    <x v="1"/>
    <n v="0.35714285714285715"/>
    <s v="Q1"/>
    <s v="Wednesday"/>
  </r>
  <r>
    <s v="B-26070"/>
    <n v="14"/>
    <n v="7"/>
    <n v="2"/>
    <x v="2"/>
    <x v="7"/>
    <s v="UPI"/>
    <d v="2018-03-18T00:00:00"/>
    <x v="21"/>
    <x v="3"/>
    <s v="Bangalore"/>
    <x v="0"/>
    <n v="3"/>
    <s v="Mar"/>
    <x v="1"/>
    <n v="0.5"/>
    <s v="Q1"/>
    <s v="Sunday"/>
  </r>
  <r>
    <s v="B-25752"/>
    <n v="8"/>
    <n v="-2"/>
    <n v="2"/>
    <x v="2"/>
    <x v="7"/>
    <s v="COD"/>
    <d v="2018-08-14T00:00:00"/>
    <x v="89"/>
    <x v="0"/>
    <s v="Indore"/>
    <x v="0"/>
    <n v="8"/>
    <s v="Aug"/>
    <x v="6"/>
    <n v="-0.25"/>
    <s v="Q3"/>
    <s v="Tuesday"/>
  </r>
  <r>
    <s v="B-25656"/>
    <n v="1389"/>
    <n v="680"/>
    <n v="7"/>
    <x v="2"/>
    <x v="6"/>
    <s v="COD"/>
    <d v="2018-05-11T00:00:00"/>
    <x v="85"/>
    <x v="2"/>
    <s v="Pune"/>
    <x v="0"/>
    <n v="5"/>
    <s v="May"/>
    <x v="7"/>
    <n v="0.48956083513318932"/>
    <s v="Q2"/>
    <s v="Friday"/>
  </r>
  <r>
    <s v="B-25748"/>
    <n v="8"/>
    <n v="-1"/>
    <n v="2"/>
    <x v="2"/>
    <x v="12"/>
    <s v="COD"/>
    <d v="2018-08-12T00:00:00"/>
    <x v="223"/>
    <x v="6"/>
    <s v="Jaipur"/>
    <x v="0"/>
    <n v="8"/>
    <s v="Aug"/>
    <x v="6"/>
    <n v="-0.125"/>
    <s v="Q3"/>
    <s v="Sunday"/>
  </r>
  <r>
    <s v="B-25758"/>
    <n v="8"/>
    <n v="-2"/>
    <n v="1"/>
    <x v="2"/>
    <x v="11"/>
    <s v="COD"/>
    <d v="2018-08-22T00:00:00"/>
    <x v="141"/>
    <x v="11"/>
    <s v="Simla"/>
    <x v="0"/>
    <n v="8"/>
    <s v="Aug"/>
    <x v="6"/>
    <n v="-0.25"/>
    <s v="Q3"/>
    <s v="Wednesday"/>
  </r>
  <r>
    <s v="B-25950"/>
    <n v="13"/>
    <n v="4"/>
    <n v="1"/>
    <x v="2"/>
    <x v="12"/>
    <s v="UPI"/>
    <d v="2018-01-13T00:00:00"/>
    <x v="21"/>
    <x v="0"/>
    <s v="Indore"/>
    <x v="0"/>
    <n v="1"/>
    <s v="Jan"/>
    <x v="2"/>
    <n v="0.30769230769230771"/>
    <s v="Q1"/>
    <s v="Saturday"/>
  </r>
  <r>
    <s v="B-25707"/>
    <n v="8"/>
    <n v="-6"/>
    <n v="1"/>
    <x v="2"/>
    <x v="11"/>
    <s v="COD"/>
    <d v="2018-07-01T00:00:00"/>
    <x v="170"/>
    <x v="2"/>
    <s v="Mumbai"/>
    <x v="0"/>
    <n v="7"/>
    <s v="Jul"/>
    <x v="9"/>
    <n v="-0.75"/>
    <s v="Q3"/>
    <s v="Sunday"/>
  </r>
  <r>
    <s v="B-25909"/>
    <n v="12"/>
    <n v="2"/>
    <n v="2"/>
    <x v="2"/>
    <x v="9"/>
    <s v="Credit Card"/>
    <d v="2018-12-13T00:00:00"/>
    <x v="44"/>
    <x v="2"/>
    <s v="Pune"/>
    <x v="0"/>
    <n v="12"/>
    <s v="Dec"/>
    <x v="5"/>
    <n v="0.16666666666666666"/>
    <s v="Q4"/>
    <s v="Thursday"/>
  </r>
  <r>
    <s v="B-25955"/>
    <n v="1716"/>
    <n v="309"/>
    <n v="7"/>
    <x v="0"/>
    <x v="13"/>
    <s v="COD"/>
    <d v="2018-01-16T00:00:00"/>
    <x v="2"/>
    <x v="2"/>
    <s v="Pune"/>
    <x v="0"/>
    <n v="1"/>
    <s v="Jan"/>
    <x v="2"/>
    <n v="0.18006993006993008"/>
    <s v="Q1"/>
    <s v="Tuesday"/>
  </r>
  <r>
    <s v="B-26023"/>
    <n v="1117"/>
    <n v="447"/>
    <n v="10"/>
    <x v="1"/>
    <x v="2"/>
    <s v="EMI"/>
    <d v="2018-02-19T00:00:00"/>
    <x v="88"/>
    <x v="15"/>
    <s v="Chandigarh"/>
    <x v="0"/>
    <n v="2"/>
    <s v="Feb"/>
    <x v="10"/>
    <n v="0.40017905102954343"/>
    <s v="Q1"/>
    <s v="Monday"/>
  </r>
  <r>
    <s v="B-25655"/>
    <n v="9"/>
    <n v="-6"/>
    <n v="2"/>
    <x v="2"/>
    <x v="9"/>
    <s v="Credit Card"/>
    <d v="2018-05-11T00:00:00"/>
    <x v="15"/>
    <x v="0"/>
    <s v="Indore"/>
    <x v="0"/>
    <n v="5"/>
    <s v="May"/>
    <x v="7"/>
    <n v="-0.66666666666666663"/>
    <s v="Q2"/>
    <s v="Friday"/>
  </r>
  <r>
    <s v="B-25686"/>
    <n v="332"/>
    <n v="503"/>
    <n v="3"/>
    <x v="0"/>
    <x v="3"/>
    <s v="COD"/>
    <d v="2018-06-11T00:00:00"/>
    <x v="28"/>
    <x v="11"/>
    <s v="Simla"/>
    <x v="0"/>
    <n v="6"/>
    <s v="Jun"/>
    <x v="0"/>
    <n v="1.5150602409638554"/>
    <s v="Q2"/>
    <s v="Monday"/>
  </r>
  <r>
    <s v="B-25655"/>
    <n v="7"/>
    <n v="-4"/>
    <n v="3"/>
    <x v="2"/>
    <x v="7"/>
    <s v="COD"/>
    <d v="2018-05-11T00:00:00"/>
    <x v="15"/>
    <x v="0"/>
    <s v="Indore"/>
    <x v="0"/>
    <n v="5"/>
    <s v="May"/>
    <x v="7"/>
    <n v="-0.5714285714285714"/>
    <s v="Q2"/>
    <s v="Friday"/>
  </r>
  <r>
    <s v="B-25601"/>
    <n v="8"/>
    <n v="-2"/>
    <n v="3"/>
    <x v="2"/>
    <x v="7"/>
    <s v="Credit Card"/>
    <d v="2018-04-01T00:00:00"/>
    <x v="234"/>
    <x v="7"/>
    <s v="Ahmedabad"/>
    <x v="0"/>
    <n v="4"/>
    <s v="Apr"/>
    <x v="3"/>
    <n v="-0.25"/>
    <s v="Q2"/>
    <s v="Sunday"/>
  </r>
  <r>
    <s v="B-25862"/>
    <n v="2061"/>
    <n v="701"/>
    <n v="5"/>
    <x v="1"/>
    <x v="2"/>
    <s v="UPI"/>
    <d v="2018-11-15T00:00:00"/>
    <x v="263"/>
    <x v="12"/>
    <s v="Patna"/>
    <x v="0"/>
    <n v="11"/>
    <s v="Nov"/>
    <x v="4"/>
    <n v="0.34012615235322657"/>
    <s v="Q4"/>
    <s v="Thursday"/>
  </r>
  <r>
    <s v="B-25626"/>
    <n v="1103"/>
    <n v="276"/>
    <n v="3"/>
    <x v="1"/>
    <x v="1"/>
    <s v="EMI"/>
    <d v="2018-04-23T00:00:00"/>
    <x v="300"/>
    <x v="2"/>
    <s v="Mumbai"/>
    <x v="0"/>
    <n v="4"/>
    <s v="Apr"/>
    <x v="3"/>
    <n v="0.25022665457842247"/>
    <s v="Q2"/>
    <s v="Monday"/>
  </r>
  <r>
    <s v="B-25823"/>
    <n v="2103"/>
    <n v="322"/>
    <n v="8"/>
    <x v="0"/>
    <x v="0"/>
    <s v="UPI"/>
    <d v="2018-10-18T00:00:00"/>
    <x v="115"/>
    <x v="2"/>
    <s v="Mumbai"/>
    <x v="0"/>
    <n v="10"/>
    <s v="Oct"/>
    <x v="11"/>
    <n v="0.15311459819305753"/>
    <s v="Q4"/>
    <s v="Thursday"/>
  </r>
  <r>
    <s v="B-25881"/>
    <n v="2115"/>
    <n v="23"/>
    <n v="5"/>
    <x v="1"/>
    <x v="1"/>
    <s v="COD"/>
    <d v="2018-11-25T00:00:00"/>
    <x v="5"/>
    <x v="1"/>
    <s v="Mathura"/>
    <x v="0"/>
    <n v="11"/>
    <s v="Nov"/>
    <x v="4"/>
    <n v="1.0874704491725768E-2"/>
    <s v="Q4"/>
    <s v="Sunday"/>
  </r>
  <r>
    <s v="B-25910"/>
    <n v="850"/>
    <n v="-289"/>
    <n v="5"/>
    <x v="0"/>
    <x v="0"/>
    <s v="COD"/>
    <d v="2018-12-14T00:00:00"/>
    <x v="20"/>
    <x v="8"/>
    <s v="Delhi"/>
    <x v="0"/>
    <n v="12"/>
    <s v="Dec"/>
    <x v="5"/>
    <n v="-0.34"/>
    <s v="Q4"/>
    <s v="Friday"/>
  </r>
  <r>
    <s v="B-25830"/>
    <n v="1063"/>
    <n v="64"/>
    <n v="7"/>
    <x v="0"/>
    <x v="4"/>
    <s v="EMI"/>
    <d v="2018-10-26T00:00:00"/>
    <x v="25"/>
    <x v="11"/>
    <s v="Simla"/>
    <x v="0"/>
    <n v="10"/>
    <s v="Oct"/>
    <x v="11"/>
    <n v="6.0206961429915336E-2"/>
    <s v="Q4"/>
    <s v="Friday"/>
  </r>
  <r>
    <s v="B-25978"/>
    <n v="1063"/>
    <n v="-175"/>
    <n v="4"/>
    <x v="0"/>
    <x v="0"/>
    <s v="EMI"/>
    <d v="2018-01-27T00:00:00"/>
    <x v="309"/>
    <x v="2"/>
    <s v="Mumbai"/>
    <x v="0"/>
    <n v="1"/>
    <s v="Jan"/>
    <x v="2"/>
    <n v="-0.16462841015992474"/>
    <s v="Q1"/>
    <s v="Saturday"/>
  </r>
  <r>
    <s v="B-25997"/>
    <n v="2292"/>
    <n v="127"/>
    <n v="7"/>
    <x v="1"/>
    <x v="2"/>
    <s v="COD"/>
    <d v="2018-02-04T00:00:00"/>
    <x v="190"/>
    <x v="2"/>
    <s v="Pune"/>
    <x v="0"/>
    <n v="2"/>
    <s v="Feb"/>
    <x v="10"/>
    <n v="5.5410122164048864E-2"/>
    <s v="Q1"/>
    <s v="Sunday"/>
  </r>
  <r>
    <s v="B-25661"/>
    <n v="7"/>
    <n v="-1"/>
    <n v="2"/>
    <x v="2"/>
    <x v="7"/>
    <s v="Credit Card"/>
    <d v="2018-05-17T00:00:00"/>
    <x v="206"/>
    <x v="4"/>
    <s v="Kashmir"/>
    <x v="0"/>
    <n v="5"/>
    <s v="May"/>
    <x v="7"/>
    <n v="-0.14285714285714285"/>
    <s v="Q2"/>
    <s v="Thursday"/>
  </r>
  <r>
    <s v="B-25969"/>
    <n v="2452"/>
    <n v="191"/>
    <n v="7"/>
    <x v="1"/>
    <x v="2"/>
    <s v="UPI"/>
    <d v="2018-01-21T00:00:00"/>
    <x v="289"/>
    <x v="7"/>
    <s v="Surat"/>
    <x v="0"/>
    <n v="1"/>
    <s v="Jan"/>
    <x v="2"/>
    <n v="7.7895595432300166E-2"/>
    <s v="Q1"/>
    <s v="Sunday"/>
  </r>
  <r>
    <s v="B-25858"/>
    <n v="2457"/>
    <n v="665"/>
    <n v="11"/>
    <x v="0"/>
    <x v="0"/>
    <s v="EMI"/>
    <d v="2018-11-13T00:00:00"/>
    <x v="137"/>
    <x v="2"/>
    <s v="Mumbai"/>
    <x v="0"/>
    <n v="11"/>
    <s v="Nov"/>
    <x v="4"/>
    <n v="0.27065527065527067"/>
    <s v="Q4"/>
    <s v="Tuesday"/>
  </r>
  <r>
    <s v="B-25697"/>
    <n v="4"/>
    <n v="-3"/>
    <n v="1"/>
    <x v="2"/>
    <x v="9"/>
    <s v="Credit Card"/>
    <d v="2018-06-22T00:00:00"/>
    <x v="66"/>
    <x v="4"/>
    <s v="Kashmir"/>
    <x v="0"/>
    <n v="6"/>
    <s v="Jun"/>
    <x v="0"/>
    <n v="-0.75"/>
    <s v="Q2"/>
    <s v="Friday"/>
  </r>
  <r>
    <s v="B-25798"/>
    <n v="2830"/>
    <n v="-1981"/>
    <n v="13"/>
    <x v="1"/>
    <x v="2"/>
    <s v="EMI"/>
    <d v="2018-10-01T00:00:00"/>
    <x v="153"/>
    <x v="9"/>
    <s v="Hyderabad"/>
    <x v="0"/>
    <n v="10"/>
    <s v="Oct"/>
    <x v="11"/>
    <n v="-0.7"/>
    <s v="Q4"/>
    <s v="Monday"/>
  </r>
  <r>
    <s v="B-25873"/>
    <n v="7"/>
    <n v="1"/>
    <n v="1"/>
    <x v="2"/>
    <x v="7"/>
    <s v="COD"/>
    <d v="2018-11-23T00:00:00"/>
    <x v="136"/>
    <x v="0"/>
    <s v="Indore"/>
    <x v="0"/>
    <n v="11"/>
    <s v="Nov"/>
    <x v="4"/>
    <n v="0.14285714285714285"/>
    <s v="Q4"/>
    <s v="Friday"/>
  </r>
  <r>
    <s v="B-25740"/>
    <n v="7"/>
    <n v="0"/>
    <n v="2"/>
    <x v="2"/>
    <x v="9"/>
    <s v="COD"/>
    <d v="2018-08-03T00:00:00"/>
    <x v="291"/>
    <x v="2"/>
    <s v="Mumbai"/>
    <x v="0"/>
    <n v="8"/>
    <s v="Aug"/>
    <x v="6"/>
    <n v="0"/>
    <s v="Q3"/>
    <s v="Friday"/>
  </r>
  <r>
    <s v="B-25700"/>
    <n v="7"/>
    <n v="-3"/>
    <n v="2"/>
    <x v="2"/>
    <x v="7"/>
    <s v="COD"/>
    <d v="2018-06-25T00:00:00"/>
    <x v="192"/>
    <x v="2"/>
    <s v="Mumbai"/>
    <x v="0"/>
    <n v="6"/>
    <s v="Jun"/>
    <x v="0"/>
    <n v="-0.42857142857142855"/>
    <s v="Q2"/>
    <s v="Monday"/>
  </r>
  <r>
    <s v="B-25757"/>
    <n v="3151"/>
    <n v="-35"/>
    <n v="7"/>
    <x v="2"/>
    <x v="5"/>
    <s v="EMI"/>
    <d v="2018-08-21T00:00:00"/>
    <x v="11"/>
    <x v="0"/>
    <s v="Indore"/>
    <x v="0"/>
    <n v="8"/>
    <s v="Aug"/>
    <x v="6"/>
    <n v="-1.1107584893684545E-2"/>
    <s v="Q3"/>
    <s v="Tuesday"/>
  </r>
  <r>
    <s v="B-25973"/>
    <n v="4141"/>
    <n v="1698"/>
    <n v="13"/>
    <x v="0"/>
    <x v="3"/>
    <s v="COD"/>
    <d v="2018-01-24T00:00:00"/>
    <x v="16"/>
    <x v="1"/>
    <s v="Mathura"/>
    <x v="0"/>
    <n v="1"/>
    <s v="Jan"/>
    <x v="2"/>
    <n v="0.41004588263704417"/>
    <s v="Q1"/>
    <s v="Wednesday"/>
  </r>
  <r>
    <s v="B-25698"/>
    <n v="7"/>
    <n v="-2"/>
    <n v="1"/>
    <x v="2"/>
    <x v="7"/>
    <s v="COD"/>
    <d v="2018-06-23T00:00:00"/>
    <x v="133"/>
    <x v="14"/>
    <s v="Chennai"/>
    <x v="0"/>
    <n v="6"/>
    <s v="Jun"/>
    <x v="0"/>
    <n v="-0.2857142857142857"/>
    <s v="Q2"/>
    <s v="Saturday"/>
  </r>
  <r>
    <s v="B-25993"/>
    <n v="4363"/>
    <n v="305"/>
    <n v="5"/>
    <x v="1"/>
    <x v="10"/>
    <s v="EMI"/>
    <d v="2018-02-03T00:00:00"/>
    <x v="14"/>
    <x v="8"/>
    <s v="Delhi"/>
    <x v="0"/>
    <n v="2"/>
    <s v="Feb"/>
    <x v="10"/>
    <n v="6.9906027962411188E-2"/>
    <s v="Q1"/>
    <s v="Saturda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9619548-5C50-4310-8EC2-3A993F72F2AB}"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rowHeaderCaption="State">
  <location ref="H1:I20" firstHeaderRow="1" firstDataRow="1" firstDataCol="1"/>
  <pivotFields count="18">
    <pivotField showAll="0"/>
    <pivotField dataField="1" numFmtId="164" showAll="0"/>
    <pivotField numFmtId="164" showAll="0"/>
    <pivotField numFmtId="1" showAll="0"/>
    <pivotField showAll="0">
      <items count="4">
        <item x="2"/>
        <item x="0"/>
        <item x="1"/>
        <item t="default"/>
      </items>
    </pivotField>
    <pivotField showAll="0"/>
    <pivotField showAll="0"/>
    <pivotField numFmtId="165" showAll="0"/>
    <pivotField showAll="0"/>
    <pivotField axis="axisRow" showAll="0" sortType="descending">
      <items count="20">
        <item x="9"/>
        <item x="12"/>
        <item x="8"/>
        <item x="16"/>
        <item x="7"/>
        <item x="15"/>
        <item x="11"/>
        <item x="4"/>
        <item x="3"/>
        <item x="10"/>
        <item x="0"/>
        <item x="2"/>
        <item x="5"/>
        <item x="13"/>
        <item x="6"/>
        <item x="18"/>
        <item x="14"/>
        <item x="1"/>
        <item x="17"/>
        <item t="default"/>
      </items>
      <autoSortScope>
        <pivotArea dataOnly="0" outline="0" fieldPosition="0">
          <references count="1">
            <reference field="4294967294" count="1" selected="0">
              <x v="0"/>
            </reference>
          </references>
        </pivotArea>
      </autoSortScope>
    </pivotField>
    <pivotField showAll="0"/>
    <pivotField numFmtId="1" showAll="0">
      <items count="2">
        <item x="0"/>
        <item t="default"/>
      </items>
    </pivotField>
    <pivotField numFmtId="1" showAll="0"/>
    <pivotField showAll="0"/>
    <pivotField showAll="0"/>
    <pivotField numFmtId="166" showAll="0"/>
    <pivotField showAll="0"/>
    <pivotField showAll="0"/>
  </pivotFields>
  <rowFields count="1">
    <field x="9"/>
  </rowFields>
  <rowItems count="19">
    <i>
      <x v="11"/>
    </i>
    <i>
      <x v="10"/>
    </i>
    <i>
      <x v="17"/>
    </i>
    <i>
      <x v="2"/>
    </i>
    <i>
      <x v="14"/>
    </i>
    <i>
      <x v="4"/>
    </i>
    <i>
      <x v="13"/>
    </i>
    <i>
      <x v="18"/>
    </i>
    <i>
      <x v="9"/>
    </i>
    <i>
      <x v="1"/>
    </i>
    <i>
      <x/>
    </i>
    <i>
      <x v="8"/>
    </i>
    <i>
      <x v="12"/>
    </i>
    <i>
      <x v="7"/>
    </i>
    <i>
      <x v="5"/>
    </i>
    <i>
      <x v="6"/>
    </i>
    <i>
      <x v="3"/>
    </i>
    <i>
      <x v="16"/>
    </i>
    <i>
      <x v="15"/>
    </i>
  </rowItems>
  <colItems count="1">
    <i/>
  </colItems>
  <dataFields count="1">
    <dataField name="Revenue by State" fld="1" baseField="9" baseItem="11" numFmtId="164"/>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C9D5889-4CEF-4A85-83F8-2108F7848CB0}"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rowHeaderCaption="Category">
  <location ref="E1:F4" firstHeaderRow="1" firstDataRow="1" firstDataCol="1"/>
  <pivotFields count="18">
    <pivotField showAll="0"/>
    <pivotField numFmtId="164" showAll="0"/>
    <pivotField dataField="1" numFmtId="164" showAll="0"/>
    <pivotField numFmtId="1" showAll="0"/>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numFmtId="165" showAll="0"/>
    <pivotField showAll="0"/>
    <pivotField showAll="0">
      <items count="20">
        <item x="9"/>
        <item x="12"/>
        <item x="8"/>
        <item x="16"/>
        <item x="7"/>
        <item x="15"/>
        <item x="11"/>
        <item x="4"/>
        <item x="3"/>
        <item x="10"/>
        <item x="0"/>
        <item x="2"/>
        <item x="5"/>
        <item x="13"/>
        <item x="6"/>
        <item x="18"/>
        <item x="14"/>
        <item x="1"/>
        <item x="17"/>
        <item t="default"/>
      </items>
    </pivotField>
    <pivotField showAll="0"/>
    <pivotField numFmtId="1" showAll="0">
      <items count="2">
        <item x="0"/>
        <item t="default"/>
      </items>
    </pivotField>
    <pivotField numFmtId="1" showAll="0"/>
    <pivotField showAll="0"/>
    <pivotField showAll="0"/>
    <pivotField numFmtId="166" showAll="0"/>
    <pivotField showAll="0"/>
    <pivotField showAll="0"/>
  </pivotFields>
  <rowFields count="1">
    <field x="4"/>
  </rowFields>
  <rowItems count="3">
    <i>
      <x/>
    </i>
    <i>
      <x v="1"/>
    </i>
    <i>
      <x v="2"/>
    </i>
  </rowItems>
  <colItems count="1">
    <i/>
  </colItems>
  <dataFields count="1">
    <dataField name="Profit by Category" fld="2" baseField="4" baseItem="0" numFmtId="164"/>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5DAAD3-D15E-4FD8-AF30-AE11CE39EA31}"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rowHeaderCaption="Year-Month">
  <location ref="A1:B13" firstHeaderRow="1" firstDataRow="1" firstDataCol="1"/>
  <pivotFields count="18">
    <pivotField showAll="0"/>
    <pivotField dataField="1" numFmtId="164" showAll="0"/>
    <pivotField numFmtId="164" showAll="0"/>
    <pivotField numFmtId="1" showAll="0"/>
    <pivotField showAll="0">
      <items count="4">
        <item x="2"/>
        <item x="0"/>
        <item x="1"/>
        <item t="default"/>
      </items>
    </pivotField>
    <pivotField showAll="0"/>
    <pivotField showAll="0"/>
    <pivotField numFmtId="165" showAll="0"/>
    <pivotField showAll="0"/>
    <pivotField showAll="0">
      <items count="20">
        <item x="9"/>
        <item x="12"/>
        <item x="8"/>
        <item x="16"/>
        <item x="7"/>
        <item x="15"/>
        <item x="11"/>
        <item x="4"/>
        <item x="3"/>
        <item x="10"/>
        <item x="0"/>
        <item x="2"/>
        <item x="5"/>
        <item x="13"/>
        <item x="6"/>
        <item x="18"/>
        <item x="14"/>
        <item x="1"/>
        <item x="17"/>
        <item t="default"/>
      </items>
    </pivotField>
    <pivotField showAll="0"/>
    <pivotField numFmtId="1" showAll="0">
      <items count="2">
        <item x="0"/>
        <item t="default"/>
      </items>
    </pivotField>
    <pivotField numFmtId="1" showAll="0"/>
    <pivotField showAll="0"/>
    <pivotField axis="axisRow" showAll="0">
      <items count="13">
        <item x="2"/>
        <item x="10"/>
        <item x="1"/>
        <item x="3"/>
        <item x="7"/>
        <item x="0"/>
        <item x="9"/>
        <item x="6"/>
        <item x="8"/>
        <item x="11"/>
        <item x="4"/>
        <item x="5"/>
        <item t="default"/>
      </items>
    </pivotField>
    <pivotField numFmtId="166" showAll="0"/>
    <pivotField showAll="0"/>
    <pivotField showAll="0"/>
  </pivotFields>
  <rowFields count="1">
    <field x="14"/>
  </rowFields>
  <rowItems count="12">
    <i>
      <x/>
    </i>
    <i>
      <x v="1"/>
    </i>
    <i>
      <x v="2"/>
    </i>
    <i>
      <x v="3"/>
    </i>
    <i>
      <x v="4"/>
    </i>
    <i>
      <x v="5"/>
    </i>
    <i>
      <x v="6"/>
    </i>
    <i>
      <x v="7"/>
    </i>
    <i>
      <x v="8"/>
    </i>
    <i>
      <x v="9"/>
    </i>
    <i>
      <x v="10"/>
    </i>
    <i>
      <x v="11"/>
    </i>
  </rowItems>
  <colItems count="1">
    <i/>
  </colItems>
  <dataFields count="1">
    <dataField name="Monthly Revenue" fld="1" baseField="14" baseItem="0" numFmtId="164"/>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9A2C6BB-3FA7-447F-B73B-D43BFE83BD2C}"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rowHeaderCaption="Product">
  <location ref="K8:L18" firstHeaderRow="1" firstDataRow="1" firstDataCol="1"/>
  <pivotFields count="18">
    <pivotField showAll="0"/>
    <pivotField dataField="1" numFmtId="164" showAll="0"/>
    <pivotField numFmtId="164" showAll="0"/>
    <pivotField numFmtId="1" showAll="0"/>
    <pivotField showAll="0">
      <items count="4">
        <item x="2"/>
        <item x="0"/>
        <item x="1"/>
        <item t="default"/>
      </items>
    </pivotField>
    <pivotField axis="axisRow" showAll="0" measureFilter="1" sortType="descending">
      <items count="18">
        <item x="13"/>
        <item x="2"/>
        <item x="1"/>
        <item x="0"/>
        <item x="15"/>
        <item x="7"/>
        <item x="8"/>
        <item x="12"/>
        <item x="4"/>
        <item x="3"/>
        <item x="6"/>
        <item x="16"/>
        <item x="9"/>
        <item x="11"/>
        <item x="10"/>
        <item x="5"/>
        <item x="14"/>
        <item t="default"/>
      </items>
      <autoSortScope>
        <pivotArea dataOnly="0" outline="0" fieldPosition="0">
          <references count="1">
            <reference field="4294967294" count="1" selected="0">
              <x v="0"/>
            </reference>
          </references>
        </pivotArea>
      </autoSortScope>
    </pivotField>
    <pivotField showAll="0"/>
    <pivotField numFmtId="165" showAll="0"/>
    <pivotField showAll="0"/>
    <pivotField showAll="0">
      <items count="20">
        <item x="9"/>
        <item x="12"/>
        <item x="8"/>
        <item x="16"/>
        <item x="7"/>
        <item x="15"/>
        <item x="11"/>
        <item x="4"/>
        <item x="3"/>
        <item x="10"/>
        <item x="0"/>
        <item x="2"/>
        <item x="5"/>
        <item x="13"/>
        <item x="6"/>
        <item x="18"/>
        <item x="14"/>
        <item x="1"/>
        <item x="17"/>
        <item t="default"/>
      </items>
    </pivotField>
    <pivotField showAll="0"/>
    <pivotField numFmtId="1" showAll="0">
      <items count="2">
        <item x="0"/>
        <item t="default"/>
      </items>
    </pivotField>
    <pivotField numFmtId="1" showAll="0"/>
    <pivotField showAll="0"/>
    <pivotField showAll="0"/>
    <pivotField numFmtId="166" showAll="0"/>
    <pivotField showAll="0"/>
    <pivotField showAll="0"/>
  </pivotFields>
  <rowFields count="1">
    <field x="5"/>
  </rowFields>
  <rowItems count="10">
    <i>
      <x v="9"/>
    </i>
    <i>
      <x v="10"/>
    </i>
    <i>
      <x v="1"/>
    </i>
    <i>
      <x v="8"/>
    </i>
    <i>
      <x v="3"/>
    </i>
    <i>
      <x v="2"/>
    </i>
    <i>
      <x v="15"/>
    </i>
    <i>
      <x v="14"/>
    </i>
    <i>
      <x/>
    </i>
    <i>
      <x v="13"/>
    </i>
  </rowItems>
  <colItems count="1">
    <i/>
  </colItems>
  <dataFields count="1">
    <dataField name="Top 10 Products" fld="1" baseField="5" baseItem="9" numFmtId="164"/>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2C528A0-0B8D-4027-9375-627E76180052}"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rowHeaderCaption="Customer Name">
  <location ref="E8:F18" firstHeaderRow="1" firstDataRow="1" firstDataCol="1"/>
  <pivotFields count="18">
    <pivotField showAll="0"/>
    <pivotField dataField="1" numFmtId="164" showAll="0"/>
    <pivotField numFmtId="164" showAll="0"/>
    <pivotField numFmtId="1" showAll="0"/>
    <pivotField showAll="0">
      <items count="4">
        <item x="2"/>
        <item x="0"/>
        <item x="1"/>
        <item t="default"/>
      </items>
    </pivotField>
    <pivotField showAll="0"/>
    <pivotField showAll="0"/>
    <pivotField numFmtId="165" showAll="0"/>
    <pivotField axis="axisRow" showAll="0" measureFilter="1" sortType="descending">
      <items count="337">
        <item x="237"/>
        <item x="55"/>
        <item x="25"/>
        <item x="193"/>
        <item x="159"/>
        <item x="124"/>
        <item x="273"/>
        <item x="76"/>
        <item x="232"/>
        <item x="64"/>
        <item x="160"/>
        <item x="129"/>
        <item x="84"/>
        <item x="107"/>
        <item x="324"/>
        <item x="240"/>
        <item x="246"/>
        <item x="299"/>
        <item x="29"/>
        <item x="140"/>
        <item x="70"/>
        <item x="133"/>
        <item x="139"/>
        <item x="94"/>
        <item x="263"/>
        <item x="189"/>
        <item x="57"/>
        <item x="250"/>
        <item x="230"/>
        <item x="118"/>
        <item x="276"/>
        <item x="110"/>
        <item x="67"/>
        <item x="138"/>
        <item x="167"/>
        <item x="157"/>
        <item x="212"/>
        <item x="278"/>
        <item x="58"/>
        <item x="71"/>
        <item x="248"/>
        <item x="286"/>
        <item x="311"/>
        <item x="102"/>
        <item x="19"/>
        <item x="257"/>
        <item x="65"/>
        <item x="162"/>
        <item x="68"/>
        <item x="293"/>
        <item x="51"/>
        <item x="202"/>
        <item x="260"/>
        <item x="329"/>
        <item x="247"/>
        <item x="101"/>
        <item x="86"/>
        <item x="164"/>
        <item x="163"/>
        <item x="274"/>
        <item x="121"/>
        <item x="158"/>
        <item x="149"/>
        <item x="234"/>
        <item x="145"/>
        <item x="175"/>
        <item x="0"/>
        <item x="300"/>
        <item x="307"/>
        <item x="277"/>
        <item x="135"/>
        <item x="114"/>
        <item x="111"/>
        <item x="281"/>
        <item x="295"/>
        <item x="325"/>
        <item x="95"/>
        <item x="239"/>
        <item x="144"/>
        <item x="171"/>
        <item x="22"/>
        <item x="320"/>
        <item x="261"/>
        <item x="191"/>
        <item x="41"/>
        <item x="208"/>
        <item x="187"/>
        <item x="194"/>
        <item x="331"/>
        <item x="219"/>
        <item x="136"/>
        <item x="207"/>
        <item x="301"/>
        <item x="10"/>
        <item x="80"/>
        <item x="18"/>
        <item x="209"/>
        <item x="201"/>
        <item x="63"/>
        <item x="12"/>
        <item x="279"/>
        <item x="316"/>
        <item x="1"/>
        <item x="105"/>
        <item x="134"/>
        <item x="75"/>
        <item x="333"/>
        <item x="229"/>
        <item x="34"/>
        <item x="79"/>
        <item x="330"/>
        <item x="303"/>
        <item x="228"/>
        <item x="215"/>
        <item x="106"/>
        <item x="287"/>
        <item x="20"/>
        <item x="243"/>
        <item x="318"/>
        <item x="130"/>
        <item x="245"/>
        <item x="122"/>
        <item x="269"/>
        <item x="69"/>
        <item x="226"/>
        <item x="72"/>
        <item x="197"/>
        <item x="181"/>
        <item x="210"/>
        <item x="127"/>
        <item x="317"/>
        <item x="8"/>
        <item x="109"/>
        <item x="183"/>
        <item x="280"/>
        <item x="199"/>
        <item x="93"/>
        <item x="304"/>
        <item x="9"/>
        <item x="5"/>
        <item x="294"/>
        <item x="16"/>
        <item x="14"/>
        <item x="47"/>
        <item x="62"/>
        <item x="155"/>
        <item x="31"/>
        <item x="218"/>
        <item x="98"/>
        <item x="322"/>
        <item x="177"/>
        <item x="38"/>
        <item x="166"/>
        <item x="42"/>
        <item x="242"/>
        <item x="195"/>
        <item x="36"/>
        <item x="236"/>
        <item x="87"/>
        <item x="198"/>
        <item x="13"/>
        <item x="120"/>
        <item x="17"/>
        <item x="334"/>
        <item x="147"/>
        <item x="200"/>
        <item x="99"/>
        <item x="173"/>
        <item x="222"/>
        <item x="88"/>
        <item x="227"/>
        <item x="113"/>
        <item x="151"/>
        <item x="224"/>
        <item x="174"/>
        <item x="259"/>
        <item x="15"/>
        <item x="186"/>
        <item x="312"/>
        <item x="131"/>
        <item x="271"/>
        <item x="188"/>
        <item x="315"/>
        <item x="223"/>
        <item x="6"/>
        <item x="290"/>
        <item x="50"/>
        <item x="217"/>
        <item x="169"/>
        <item x="148"/>
        <item x="267"/>
        <item x="49"/>
        <item x="309"/>
        <item x="56"/>
        <item x="77"/>
        <item x="265"/>
        <item x="327"/>
        <item x="30"/>
        <item x="24"/>
        <item x="297"/>
        <item x="116"/>
        <item x="90"/>
        <item x="328"/>
        <item x="292"/>
        <item x="28"/>
        <item x="182"/>
        <item x="220"/>
        <item x="262"/>
        <item x="123"/>
        <item x="326"/>
        <item x="81"/>
        <item x="126"/>
        <item x="266"/>
        <item x="176"/>
        <item x="254"/>
        <item x="85"/>
        <item x="100"/>
        <item x="319"/>
        <item x="253"/>
        <item x="283"/>
        <item x="112"/>
        <item x="291"/>
        <item x="241"/>
        <item x="96"/>
        <item x="83"/>
        <item x="221"/>
        <item x="82"/>
        <item x="115"/>
        <item x="54"/>
        <item x="196"/>
        <item x="150"/>
        <item x="296"/>
        <item x="168"/>
        <item x="310"/>
        <item x="178"/>
        <item x="60"/>
        <item x="238"/>
        <item x="146"/>
        <item x="268"/>
        <item x="48"/>
        <item x="244"/>
        <item x="7"/>
        <item x="231"/>
        <item x="275"/>
        <item x="33"/>
        <item x="3"/>
        <item x="165"/>
        <item x="37"/>
        <item x="213"/>
        <item x="43"/>
        <item x="305"/>
        <item x="258"/>
        <item x="152"/>
        <item x="45"/>
        <item x="103"/>
        <item x="26"/>
        <item x="132"/>
        <item x="161"/>
        <item x="153"/>
        <item x="2"/>
        <item x="205"/>
        <item x="211"/>
        <item x="170"/>
        <item x="125"/>
        <item x="40"/>
        <item x="74"/>
        <item x="335"/>
        <item x="289"/>
        <item x="32"/>
        <item x="21"/>
        <item x="141"/>
        <item x="192"/>
        <item x="92"/>
        <item x="298"/>
        <item x="216"/>
        <item x="308"/>
        <item x="264"/>
        <item x="179"/>
        <item x="251"/>
        <item x="23"/>
        <item x="108"/>
        <item x="156"/>
        <item x="180"/>
        <item x="104"/>
        <item x="78"/>
        <item x="313"/>
        <item x="53"/>
        <item x="206"/>
        <item x="282"/>
        <item x="61"/>
        <item x="256"/>
        <item x="46"/>
        <item x="285"/>
        <item x="44"/>
        <item x="214"/>
        <item x="119"/>
        <item x="184"/>
        <item x="203"/>
        <item x="323"/>
        <item x="27"/>
        <item x="255"/>
        <item x="154"/>
        <item x="252"/>
        <item x="235"/>
        <item x="117"/>
        <item x="204"/>
        <item x="288"/>
        <item x="284"/>
        <item x="321"/>
        <item x="73"/>
        <item x="270"/>
        <item x="314"/>
        <item x="128"/>
        <item x="225"/>
        <item x="91"/>
        <item x="172"/>
        <item x="97"/>
        <item x="302"/>
        <item x="306"/>
        <item x="137"/>
        <item x="89"/>
        <item x="233"/>
        <item x="143"/>
        <item x="66"/>
        <item x="52"/>
        <item x="272"/>
        <item x="35"/>
        <item x="332"/>
        <item x="11"/>
        <item x="142"/>
        <item x="4"/>
        <item x="39"/>
        <item x="185"/>
        <item x="249"/>
        <item x="190"/>
        <item x="59"/>
        <item t="default"/>
      </items>
      <autoSortScope>
        <pivotArea dataOnly="0" outline="0" fieldPosition="0">
          <references count="1">
            <reference field="4294967294" count="1" selected="0">
              <x v="0"/>
            </reference>
          </references>
        </pivotArea>
      </autoSortScope>
    </pivotField>
    <pivotField showAll="0">
      <items count="20">
        <item x="9"/>
        <item x="12"/>
        <item x="8"/>
        <item x="16"/>
        <item x="7"/>
        <item x="15"/>
        <item x="11"/>
        <item x="4"/>
        <item x="3"/>
        <item x="10"/>
        <item x="0"/>
        <item x="2"/>
        <item x="5"/>
        <item x="13"/>
        <item x="6"/>
        <item x="18"/>
        <item x="14"/>
        <item x="1"/>
        <item x="17"/>
        <item t="default"/>
      </items>
    </pivotField>
    <pivotField showAll="0"/>
    <pivotField numFmtId="1" showAll="0">
      <items count="2">
        <item x="0"/>
        <item t="default"/>
      </items>
    </pivotField>
    <pivotField numFmtId="1" showAll="0"/>
    <pivotField showAll="0"/>
    <pivotField showAll="0"/>
    <pivotField numFmtId="166" showAll="0"/>
    <pivotField showAll="0"/>
    <pivotField showAll="0"/>
  </pivotFields>
  <rowFields count="1">
    <field x="8"/>
  </rowFields>
  <rowItems count="10">
    <i>
      <x v="102"/>
    </i>
    <i>
      <x v="142"/>
    </i>
    <i>
      <x v="141"/>
    </i>
    <i>
      <x v="259"/>
    </i>
    <i>
      <x v="328"/>
    </i>
    <i>
      <x v="330"/>
    </i>
    <i>
      <x v="139"/>
    </i>
    <i>
      <x v="215"/>
    </i>
    <i>
      <x v="269"/>
    </i>
    <i>
      <x v="5"/>
    </i>
  </rowItems>
  <colItems count="1">
    <i/>
  </colItems>
  <dataFields count="1">
    <dataField name="Revenue by Customer" fld="1" baseField="8" baseItem="102" numFmtId="164"/>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DD8305A1-BB3A-4E56-A6C8-F70672CD8DD0}" sourceName="State">
  <pivotTables>
    <pivotTable tabId="5" name="PivotTable2"/>
    <pivotTable tabId="5" name="PivotTable3"/>
    <pivotTable tabId="5" name="PivotTable6"/>
    <pivotTable tabId="5" name="PivotTable7"/>
    <pivotTable tabId="5" name="PivotTable8"/>
  </pivotTables>
  <data>
    <tabular pivotCacheId="1127651975">
      <items count="19">
        <i x="9" s="1"/>
        <i x="12" s="1"/>
        <i x="8" s="1"/>
        <i x="16" s="1"/>
        <i x="7" s="1"/>
        <i x="15" s="1"/>
        <i x="11" s="1"/>
        <i x="4" s="1"/>
        <i x="3" s="1"/>
        <i x="10" s="1"/>
        <i x="0" s="1"/>
        <i x="2" s="1"/>
        <i x="5" s="1"/>
        <i x="13" s="1"/>
        <i x="6" s="1"/>
        <i x="18" s="1"/>
        <i x="14" s="1"/>
        <i x="1" s="1"/>
        <i x="1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1AACCDB-1E30-4F53-B14F-136CC3AA1C5D}" sourceName="Category">
  <pivotTables>
    <pivotTable tabId="5" name="PivotTable2"/>
    <pivotTable tabId="5" name="PivotTable3"/>
    <pivotTable tabId="5" name="PivotTable6"/>
    <pivotTable tabId="5" name="PivotTable7"/>
    <pivotTable tabId="5" name="PivotTable8"/>
  </pivotTables>
  <data>
    <tabular pivotCacheId="1127651975">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6BEE3CE-1045-48F9-90FC-4DA110265D68}" sourceName="Year">
  <pivotTables>
    <pivotTable tabId="5" name="PivotTable2"/>
    <pivotTable tabId="5" name="PivotTable3"/>
    <pivotTable tabId="5" name="PivotTable6"/>
    <pivotTable tabId="5" name="PivotTable7"/>
    <pivotTable tabId="5" name="PivotTable8"/>
  </pivotTables>
  <data>
    <tabular pivotCacheId="1127651975">
      <items count="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5CAF7432-DEF2-4F88-B9D2-0D8997B92284}" cache="Slicer_State" caption="State" startItem="3" rowHeight="257175"/>
  <slicer name="Category" xr10:uid="{A7FCB47C-F0BB-4FA5-82A2-7832F1BF9476}" cache="Slicer_Category" caption="Category" rowHeight="257175"/>
  <slicer name="Year" xr10:uid="{58524517-4736-460A-A1DC-4078D2F65217}" cache="Slicer_Year" caption="Year"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3ED8425-8EE1-450B-822D-13BB2E4B61ED}" name="Orders" displayName="Orders" ref="A1:E501" totalsRowShown="0">
  <autoFilter ref="A1:E501" xr:uid="{E3ED8425-8EE1-450B-822D-13BB2E4B61ED}"/>
  <tableColumns count="5">
    <tableColumn id="1" xr3:uid="{A4C55B06-55EB-4D36-840D-12D278010DF7}" name="OrderID"/>
    <tableColumn id="2" xr3:uid="{E1CDC50A-E1B4-4E0B-AEFE-B400E319BDFF}" name="OrderDate"/>
    <tableColumn id="3" xr3:uid="{D19582B5-C0DA-41F2-950D-232389C22875}" name="CustomerName"/>
    <tableColumn id="4" xr3:uid="{6D03BBD5-25BC-4D5B-AEB2-7A971B91F119}" name="State"/>
    <tableColumn id="5" xr3:uid="{F452FE3E-B022-4A81-AEE4-3F61CD59AD4F}" name="City"/>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893E2C0-C479-41DC-989A-0DAD6B839CC1}" name="Details" displayName="Details" ref="A1:G1501" totalsRowShown="0">
  <autoFilter ref="A1:G1501" xr:uid="{6893E2C0-C479-41DC-989A-0DAD6B839CC1}"/>
  <tableColumns count="7">
    <tableColumn id="1" xr3:uid="{F96CFB87-9031-4696-A993-560225ADEBF4}" name="OrderID"/>
    <tableColumn id="2" xr3:uid="{C5847EA1-044E-4D93-8E2C-1BC71162B46A}" name="Revenue "/>
    <tableColumn id="3" xr3:uid="{79D81CB4-DEF0-446B-9256-5CA6D5A172B5}" name="Profit"/>
    <tableColumn id="4" xr3:uid="{F3154BAF-D714-47EE-856E-D3D60FF58234}" name="Quantity"/>
    <tableColumn id="5" xr3:uid="{FD94B057-924E-40A8-9529-887FEF9F0F20}" name="Category"/>
    <tableColumn id="6" xr3:uid="{277FCDA6-79B6-461B-A994-ED64257FD893}" name="SubCategory"/>
    <tableColumn id="7" xr3:uid="{017B2B96-95CC-49D0-806E-F4D785D22483}" name="PaymentMode"/>
  </tableColumns>
  <tableStyleInfo name="TableStyleLight2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27E942A-5211-4327-B06A-5DE958FD6EA7}" name="Clean_Data" displayName="Clean_Data" ref="A1:R1501" totalsRowShown="0">
  <autoFilter ref="A1:R1501" xr:uid="{F27E942A-5211-4327-B06A-5DE958FD6EA7}"/>
  <tableColumns count="18">
    <tableColumn id="1" xr3:uid="{7CAE754E-0612-4053-A223-6D777F69B539}" name="OrderID"/>
    <tableColumn id="2" xr3:uid="{AA330081-6B98-4070-843C-540685D204A0}" name="Revenue " dataDxfId="13"/>
    <tableColumn id="3" xr3:uid="{BBDA6260-2B49-486A-8E74-4EDDDC66E879}" name="Profit" dataDxfId="12"/>
    <tableColumn id="4" xr3:uid="{95872FB7-7AEE-4683-AB59-AA536D3DBA27}" name="Quantity" dataDxfId="11"/>
    <tableColumn id="5" xr3:uid="{1EA9A12F-F573-42DC-ABBA-544712132B50}" name="Category"/>
    <tableColumn id="6" xr3:uid="{1630A9FA-1830-4832-A7AD-8B9BCCDF5AA0}" name="SubCategory"/>
    <tableColumn id="7" xr3:uid="{A17707B1-ADEA-44FC-8D1B-D7DFFB5B159F}" name="PaymentMode"/>
    <tableColumn id="8" xr3:uid="{B0C2B1E6-B395-478A-845D-B5D9A42EE55B}" name="OrderDate" dataDxfId="10">
      <calculatedColumnFormula>_xlfn.XLOOKUP(A2,Orders[OrderID],Orders[OrderDate])</calculatedColumnFormula>
    </tableColumn>
    <tableColumn id="9" xr3:uid="{7319E280-972C-4D2E-A12D-49D02E3E1D74}" name="CustomerName" dataDxfId="9">
      <calculatedColumnFormula>_xlfn.XLOOKUP(A2,Orders[OrderID],Orders[CustomerName])</calculatedColumnFormula>
    </tableColumn>
    <tableColumn id="10" xr3:uid="{5DF5BCC3-F0B2-4993-9BE2-BA5107227347}" name="State" dataDxfId="8">
      <calculatedColumnFormula>_xlfn.XLOOKUP(A2,Orders[OrderID],Orders[State])</calculatedColumnFormula>
    </tableColumn>
    <tableColumn id="11" xr3:uid="{30A84245-FA77-47C9-8452-F52A1E281FA0}" name="City" dataDxfId="7">
      <calculatedColumnFormula>_xlfn.XLOOKUP(A2,Orders[OrderID],Orders[City])</calculatedColumnFormula>
    </tableColumn>
    <tableColumn id="12" xr3:uid="{3D6472D8-DFEA-4094-99F1-B171F8E87005}" name="Year" dataDxfId="6">
      <calculatedColumnFormula>YEAR(Clean_Data[[#This Row],[OrderDate]])</calculatedColumnFormula>
    </tableColumn>
    <tableColumn id="13" xr3:uid="{0F9A1B2E-ACD6-40FD-85B8-37D2DF85DF84}" name="MonthNumber" dataDxfId="5">
      <calculatedColumnFormula>MONTH(Clean_Data[[#This Row],[OrderDate]])</calculatedColumnFormula>
    </tableColumn>
    <tableColumn id="14" xr3:uid="{A87746F7-D39F-407B-8FAE-374EB5CF4DDC}" name="MonthName" dataDxfId="4">
      <calculatedColumnFormula>TEXT(Clean_Data[[#This Row],[OrderDate]],"mmm")</calculatedColumnFormula>
    </tableColumn>
    <tableColumn id="15" xr3:uid="{7791E3B5-EED5-45D9-BCE5-1EEC29D1500B}" name="YearMonth" dataDxfId="3">
      <calculatedColumnFormula>TEXT(Clean_Data[[#This Row],[OrderDate]], "yyyy-mm")</calculatedColumnFormula>
    </tableColumn>
    <tableColumn id="16" xr3:uid="{A27CC187-E54F-492F-A101-A1123FE1D237}" name="ProfitMargin" dataDxfId="2">
      <calculatedColumnFormula>Clean_Data[[#This Row],[Profit]]/Clean_Data[[#This Row],[Revenue ]]</calculatedColumnFormula>
    </tableColumn>
    <tableColumn id="17" xr3:uid="{36C23D5D-CD78-4B28-98DC-1518ED595254}" name="Quarter" dataDxfId="1">
      <calculatedColumnFormula>"Q"&amp;ROUNDUP(MONTH(Clean_Data[[#This Row],[OrderDate]])/3,0)</calculatedColumnFormula>
    </tableColumn>
    <tableColumn id="18" xr3:uid="{06FD187F-F850-42ED-9D84-CB09CF1D22BD}" name="DayofWeek" dataDxfId="0">
      <calculatedColumnFormula>TEXT(Clean_Data[[#This Row],[OrderDate]], "dddd")</calculatedColumnFormula>
    </tableColumn>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B4353-253C-43FD-B73A-70A86DF6448C}">
  <dimension ref="A1:E501"/>
  <sheetViews>
    <sheetView workbookViewId="0">
      <selection activeCell="H11" sqref="H11"/>
    </sheetView>
  </sheetViews>
  <sheetFormatPr defaultRowHeight="15" x14ac:dyDescent="0.25"/>
  <cols>
    <col min="1" max="1" width="10.28515625" customWidth="1"/>
    <col min="2" max="2" width="12.5703125" customWidth="1"/>
    <col min="3" max="3" width="17.42578125" customWidth="1"/>
    <col min="4" max="4" width="19.42578125" bestFit="1" customWidth="1"/>
    <col min="5" max="5" width="20" bestFit="1" customWidth="1"/>
  </cols>
  <sheetData>
    <row r="1" spans="1:5" x14ac:dyDescent="0.25">
      <c r="A1" t="s">
        <v>911</v>
      </c>
      <c r="B1" t="s">
        <v>913</v>
      </c>
      <c r="C1" t="s">
        <v>0</v>
      </c>
      <c r="D1" t="s">
        <v>1</v>
      </c>
      <c r="E1" t="s">
        <v>2</v>
      </c>
    </row>
    <row r="2" spans="1:5" x14ac:dyDescent="0.25">
      <c r="A2" t="s">
        <v>3</v>
      </c>
      <c r="B2" s="1">
        <v>43169</v>
      </c>
      <c r="C2" t="s">
        <v>4</v>
      </c>
      <c r="D2" t="s">
        <v>5</v>
      </c>
      <c r="E2" t="s">
        <v>6</v>
      </c>
    </row>
    <row r="3" spans="1:5" x14ac:dyDescent="0.25">
      <c r="A3" t="s">
        <v>7</v>
      </c>
      <c r="B3" s="1">
        <v>43134</v>
      </c>
      <c r="C3" t="s">
        <v>8</v>
      </c>
      <c r="D3" t="s">
        <v>9</v>
      </c>
      <c r="E3" t="s">
        <v>9</v>
      </c>
    </row>
    <row r="4" spans="1:5" x14ac:dyDescent="0.25">
      <c r="A4" t="s">
        <v>10</v>
      </c>
      <c r="B4" s="1">
        <v>43124</v>
      </c>
      <c r="C4" t="s">
        <v>11</v>
      </c>
      <c r="D4" t="s">
        <v>5</v>
      </c>
      <c r="E4" t="s">
        <v>6</v>
      </c>
    </row>
    <row r="5" spans="1:5" x14ac:dyDescent="0.25">
      <c r="A5" t="s">
        <v>12</v>
      </c>
      <c r="B5" s="1">
        <v>43461</v>
      </c>
      <c r="C5" t="s">
        <v>13</v>
      </c>
      <c r="D5" t="s">
        <v>14</v>
      </c>
      <c r="E5" t="s">
        <v>15</v>
      </c>
    </row>
    <row r="6" spans="1:5" x14ac:dyDescent="0.25">
      <c r="A6" t="s">
        <v>16</v>
      </c>
      <c r="B6" s="1">
        <v>43333</v>
      </c>
      <c r="C6" t="s">
        <v>17</v>
      </c>
      <c r="D6" t="s">
        <v>18</v>
      </c>
      <c r="E6" t="s">
        <v>19</v>
      </c>
    </row>
    <row r="7" spans="1:5" x14ac:dyDescent="0.25">
      <c r="A7" t="s">
        <v>20</v>
      </c>
      <c r="B7" s="1">
        <v>43121</v>
      </c>
      <c r="C7" t="s">
        <v>21</v>
      </c>
      <c r="D7" t="s">
        <v>5</v>
      </c>
      <c r="E7" t="s">
        <v>22</v>
      </c>
    </row>
    <row r="8" spans="1:5" x14ac:dyDescent="0.25">
      <c r="A8" t="s">
        <v>23</v>
      </c>
      <c r="B8" s="1">
        <v>43116</v>
      </c>
      <c r="C8" t="s">
        <v>24</v>
      </c>
      <c r="D8" t="s">
        <v>14</v>
      </c>
      <c r="E8" t="s">
        <v>25</v>
      </c>
    </row>
    <row r="9" spans="1:5" x14ac:dyDescent="0.25">
      <c r="A9" t="s">
        <v>26</v>
      </c>
      <c r="B9" s="1">
        <v>43186</v>
      </c>
      <c r="C9" t="s">
        <v>27</v>
      </c>
      <c r="D9" t="s">
        <v>14</v>
      </c>
      <c r="E9" t="s">
        <v>25</v>
      </c>
    </row>
    <row r="10" spans="1:5" x14ac:dyDescent="0.25">
      <c r="A10" t="s">
        <v>28</v>
      </c>
      <c r="B10" s="1">
        <v>43374</v>
      </c>
      <c r="C10" t="s">
        <v>29</v>
      </c>
      <c r="D10" t="s">
        <v>30</v>
      </c>
      <c r="E10" t="s">
        <v>31</v>
      </c>
    </row>
    <row r="11" spans="1:5" x14ac:dyDescent="0.25">
      <c r="A11" t="s">
        <v>32</v>
      </c>
      <c r="B11" s="1">
        <v>43191</v>
      </c>
      <c r="C11" t="s">
        <v>33</v>
      </c>
      <c r="D11" t="s">
        <v>14</v>
      </c>
      <c r="E11" t="s">
        <v>25</v>
      </c>
    </row>
    <row r="12" spans="1:5" x14ac:dyDescent="0.25">
      <c r="A12" t="s">
        <v>34</v>
      </c>
      <c r="B12" s="1">
        <v>43417</v>
      </c>
      <c r="C12" t="s">
        <v>35</v>
      </c>
      <c r="D12" t="s">
        <v>14</v>
      </c>
      <c r="E12" t="s">
        <v>15</v>
      </c>
    </row>
    <row r="13" spans="1:5" x14ac:dyDescent="0.25">
      <c r="A13" t="s">
        <v>36</v>
      </c>
      <c r="B13" s="1">
        <v>43121</v>
      </c>
      <c r="C13" t="s">
        <v>37</v>
      </c>
      <c r="D13" t="s">
        <v>38</v>
      </c>
      <c r="E13" t="s">
        <v>39</v>
      </c>
    </row>
    <row r="14" spans="1:5" x14ac:dyDescent="0.25">
      <c r="A14" t="s">
        <v>40</v>
      </c>
      <c r="B14" s="1">
        <v>43189</v>
      </c>
      <c r="C14" t="s">
        <v>41</v>
      </c>
      <c r="D14" t="s">
        <v>14</v>
      </c>
      <c r="E14" t="s">
        <v>15</v>
      </c>
    </row>
    <row r="15" spans="1:5" x14ac:dyDescent="0.25">
      <c r="A15" t="s">
        <v>42</v>
      </c>
      <c r="B15" s="1">
        <v>43135</v>
      </c>
      <c r="C15" t="s">
        <v>43</v>
      </c>
      <c r="D15" t="s">
        <v>14</v>
      </c>
      <c r="E15" t="s">
        <v>25</v>
      </c>
    </row>
    <row r="16" spans="1:5" x14ac:dyDescent="0.25">
      <c r="A16" t="s">
        <v>44</v>
      </c>
      <c r="B16" s="1">
        <v>43429</v>
      </c>
      <c r="C16" t="s">
        <v>45</v>
      </c>
      <c r="D16" t="s">
        <v>5</v>
      </c>
      <c r="E16" t="s">
        <v>6</v>
      </c>
    </row>
    <row r="17" spans="1:5" x14ac:dyDescent="0.25">
      <c r="A17" t="s">
        <v>46</v>
      </c>
      <c r="B17" s="1">
        <v>43337</v>
      </c>
      <c r="C17" t="s">
        <v>8</v>
      </c>
      <c r="D17" t="s">
        <v>5</v>
      </c>
      <c r="E17" t="s">
        <v>6</v>
      </c>
    </row>
    <row r="18" spans="1:5" x14ac:dyDescent="0.25">
      <c r="A18" t="s">
        <v>47</v>
      </c>
      <c r="B18" s="1">
        <v>43435</v>
      </c>
      <c r="C18" t="s">
        <v>17</v>
      </c>
      <c r="D18" t="s">
        <v>5</v>
      </c>
      <c r="E18" t="s">
        <v>22</v>
      </c>
    </row>
    <row r="19" spans="1:5" x14ac:dyDescent="0.25">
      <c r="A19" t="s">
        <v>48</v>
      </c>
      <c r="B19" s="1">
        <v>43391</v>
      </c>
      <c r="C19" t="s">
        <v>49</v>
      </c>
      <c r="D19" t="s">
        <v>14</v>
      </c>
      <c r="E19" t="s">
        <v>15</v>
      </c>
    </row>
    <row r="20" spans="1:5" x14ac:dyDescent="0.25">
      <c r="A20" t="s">
        <v>50</v>
      </c>
      <c r="B20" s="1">
        <v>43412</v>
      </c>
      <c r="C20" t="s">
        <v>51</v>
      </c>
      <c r="D20" t="s">
        <v>38</v>
      </c>
      <c r="E20" t="s">
        <v>52</v>
      </c>
    </row>
    <row r="21" spans="1:5" x14ac:dyDescent="0.25">
      <c r="A21" t="s">
        <v>53</v>
      </c>
      <c r="B21" s="1">
        <v>43419</v>
      </c>
      <c r="C21" t="s">
        <v>54</v>
      </c>
      <c r="D21" t="s">
        <v>55</v>
      </c>
      <c r="E21" t="s">
        <v>56</v>
      </c>
    </row>
    <row r="22" spans="1:5" x14ac:dyDescent="0.25">
      <c r="A22" t="s">
        <v>57</v>
      </c>
      <c r="B22" s="1">
        <v>43399</v>
      </c>
      <c r="C22" t="s">
        <v>58</v>
      </c>
      <c r="D22" t="s">
        <v>59</v>
      </c>
      <c r="E22" t="s">
        <v>60</v>
      </c>
    </row>
    <row r="23" spans="1:5" x14ac:dyDescent="0.25">
      <c r="A23" t="s">
        <v>61</v>
      </c>
      <c r="B23" s="1">
        <v>43362</v>
      </c>
      <c r="C23" t="s">
        <v>11</v>
      </c>
      <c r="D23" t="s">
        <v>5</v>
      </c>
      <c r="E23" t="s">
        <v>6</v>
      </c>
    </row>
    <row r="24" spans="1:5" x14ac:dyDescent="0.25">
      <c r="A24" t="s">
        <v>62</v>
      </c>
      <c r="B24" s="1">
        <v>43262</v>
      </c>
      <c r="C24" t="s">
        <v>63</v>
      </c>
      <c r="D24" t="s">
        <v>59</v>
      </c>
      <c r="E24" t="s">
        <v>60</v>
      </c>
    </row>
    <row r="25" spans="1:5" x14ac:dyDescent="0.25">
      <c r="A25" t="s">
        <v>64</v>
      </c>
      <c r="B25" s="1">
        <v>43149</v>
      </c>
      <c r="C25" t="s">
        <v>65</v>
      </c>
      <c r="D25" t="s">
        <v>66</v>
      </c>
      <c r="E25" t="s">
        <v>67</v>
      </c>
    </row>
    <row r="26" spans="1:5" x14ac:dyDescent="0.25">
      <c r="A26" t="s">
        <v>68</v>
      </c>
      <c r="B26" s="1">
        <v>43139</v>
      </c>
      <c r="C26" t="s">
        <v>69</v>
      </c>
      <c r="D26" t="s">
        <v>18</v>
      </c>
      <c r="E26" t="s">
        <v>70</v>
      </c>
    </row>
    <row r="27" spans="1:5" x14ac:dyDescent="0.25">
      <c r="A27" t="s">
        <v>71</v>
      </c>
      <c r="B27" s="1">
        <v>43331</v>
      </c>
      <c r="C27" t="s">
        <v>72</v>
      </c>
      <c r="D27" t="s">
        <v>73</v>
      </c>
      <c r="E27" t="s">
        <v>74</v>
      </c>
    </row>
    <row r="28" spans="1:5" x14ac:dyDescent="0.25">
      <c r="A28" t="s">
        <v>75</v>
      </c>
      <c r="B28" s="1">
        <v>43444</v>
      </c>
      <c r="C28" t="s">
        <v>76</v>
      </c>
      <c r="D28" t="s">
        <v>14</v>
      </c>
      <c r="E28" t="s">
        <v>15</v>
      </c>
    </row>
    <row r="29" spans="1:5" x14ac:dyDescent="0.25">
      <c r="A29" t="s">
        <v>77</v>
      </c>
      <c r="B29" s="1">
        <v>43104</v>
      </c>
      <c r="C29" t="s">
        <v>78</v>
      </c>
      <c r="D29" t="s">
        <v>79</v>
      </c>
      <c r="E29" t="s">
        <v>80</v>
      </c>
    </row>
    <row r="30" spans="1:5" x14ac:dyDescent="0.25">
      <c r="A30" t="s">
        <v>81</v>
      </c>
      <c r="B30" s="1">
        <v>43373</v>
      </c>
      <c r="C30" t="s">
        <v>82</v>
      </c>
      <c r="D30" t="s">
        <v>18</v>
      </c>
      <c r="E30" t="s">
        <v>19</v>
      </c>
    </row>
    <row r="31" spans="1:5" x14ac:dyDescent="0.25">
      <c r="A31" t="s">
        <v>83</v>
      </c>
      <c r="B31" s="1">
        <v>43217</v>
      </c>
      <c r="C31" t="s">
        <v>84</v>
      </c>
      <c r="D31" t="s">
        <v>18</v>
      </c>
      <c r="E31" t="s">
        <v>70</v>
      </c>
    </row>
    <row r="32" spans="1:5" x14ac:dyDescent="0.25">
      <c r="A32" t="s">
        <v>85</v>
      </c>
      <c r="B32" s="1">
        <v>43255</v>
      </c>
      <c r="C32" t="s">
        <v>86</v>
      </c>
      <c r="D32" t="s">
        <v>18</v>
      </c>
      <c r="E32" t="s">
        <v>19</v>
      </c>
    </row>
    <row r="33" spans="1:5" x14ac:dyDescent="0.25">
      <c r="A33" t="s">
        <v>87</v>
      </c>
      <c r="B33" s="1">
        <v>43447</v>
      </c>
      <c r="C33" t="s">
        <v>88</v>
      </c>
      <c r="D33" t="s">
        <v>14</v>
      </c>
      <c r="E33" t="s">
        <v>25</v>
      </c>
    </row>
    <row r="34" spans="1:5" x14ac:dyDescent="0.25">
      <c r="A34" t="s">
        <v>89</v>
      </c>
      <c r="B34" s="1">
        <v>43448</v>
      </c>
      <c r="C34" t="s">
        <v>90</v>
      </c>
      <c r="D34" t="s">
        <v>9</v>
      </c>
      <c r="E34" t="s">
        <v>9</v>
      </c>
    </row>
    <row r="35" spans="1:5" x14ac:dyDescent="0.25">
      <c r="A35" t="s">
        <v>91</v>
      </c>
      <c r="B35" s="1">
        <v>43113</v>
      </c>
      <c r="C35" t="s">
        <v>92</v>
      </c>
      <c r="D35" t="s">
        <v>18</v>
      </c>
      <c r="E35" t="s">
        <v>19</v>
      </c>
    </row>
    <row r="36" spans="1:5" x14ac:dyDescent="0.25">
      <c r="A36" t="s">
        <v>93</v>
      </c>
      <c r="B36" s="1">
        <v>43202</v>
      </c>
      <c r="C36" t="s">
        <v>94</v>
      </c>
      <c r="D36" t="s">
        <v>95</v>
      </c>
      <c r="E36" t="s">
        <v>67</v>
      </c>
    </row>
    <row r="37" spans="1:5" x14ac:dyDescent="0.25">
      <c r="A37" t="s">
        <v>96</v>
      </c>
      <c r="B37" s="1">
        <v>43457</v>
      </c>
      <c r="C37" t="s">
        <v>97</v>
      </c>
      <c r="D37" t="s">
        <v>98</v>
      </c>
      <c r="E37" t="s">
        <v>99</v>
      </c>
    </row>
    <row r="38" spans="1:5" x14ac:dyDescent="0.25">
      <c r="A38" t="s">
        <v>100</v>
      </c>
      <c r="B38" s="1">
        <v>43344</v>
      </c>
      <c r="C38" t="s">
        <v>101</v>
      </c>
      <c r="D38" t="s">
        <v>102</v>
      </c>
      <c r="E38" t="s">
        <v>103</v>
      </c>
    </row>
    <row r="39" spans="1:5" x14ac:dyDescent="0.25">
      <c r="A39" t="s">
        <v>104</v>
      </c>
      <c r="B39" s="1">
        <v>43214</v>
      </c>
      <c r="C39" t="s">
        <v>105</v>
      </c>
      <c r="D39" t="s">
        <v>73</v>
      </c>
      <c r="E39" t="s">
        <v>74</v>
      </c>
    </row>
    <row r="40" spans="1:5" x14ac:dyDescent="0.25">
      <c r="A40" t="s">
        <v>106</v>
      </c>
      <c r="B40" s="1">
        <v>43303</v>
      </c>
      <c r="C40" t="s">
        <v>107</v>
      </c>
      <c r="D40" t="s">
        <v>18</v>
      </c>
      <c r="E40" t="s">
        <v>70</v>
      </c>
    </row>
    <row r="41" spans="1:5" x14ac:dyDescent="0.25">
      <c r="A41" t="s">
        <v>108</v>
      </c>
      <c r="B41" s="1">
        <v>43109</v>
      </c>
      <c r="C41" t="s">
        <v>109</v>
      </c>
      <c r="D41" t="s">
        <v>38</v>
      </c>
      <c r="E41" t="s">
        <v>52</v>
      </c>
    </row>
    <row r="42" spans="1:5" x14ac:dyDescent="0.25">
      <c r="A42" t="s">
        <v>110</v>
      </c>
      <c r="B42" s="1">
        <v>43406</v>
      </c>
      <c r="C42" t="s">
        <v>111</v>
      </c>
      <c r="D42" t="s">
        <v>14</v>
      </c>
      <c r="E42" t="s">
        <v>25</v>
      </c>
    </row>
    <row r="43" spans="1:5" x14ac:dyDescent="0.25">
      <c r="A43" t="s">
        <v>112</v>
      </c>
      <c r="B43" s="1">
        <v>43180</v>
      </c>
      <c r="C43" t="s">
        <v>113</v>
      </c>
      <c r="D43" t="s">
        <v>18</v>
      </c>
      <c r="E43" t="s">
        <v>19</v>
      </c>
    </row>
    <row r="44" spans="1:5" x14ac:dyDescent="0.25">
      <c r="A44" t="s">
        <v>114</v>
      </c>
      <c r="B44" s="1">
        <v>43354</v>
      </c>
      <c r="C44" t="s">
        <v>115</v>
      </c>
      <c r="D44" t="s">
        <v>14</v>
      </c>
      <c r="E44" t="s">
        <v>15</v>
      </c>
    </row>
    <row r="45" spans="1:5" x14ac:dyDescent="0.25">
      <c r="A45" t="s">
        <v>116</v>
      </c>
      <c r="B45" s="1">
        <v>43293</v>
      </c>
      <c r="C45" t="s">
        <v>117</v>
      </c>
      <c r="D45" t="s">
        <v>5</v>
      </c>
      <c r="E45" t="s">
        <v>118</v>
      </c>
    </row>
    <row r="46" spans="1:5" x14ac:dyDescent="0.25">
      <c r="A46" t="s">
        <v>119</v>
      </c>
      <c r="B46" s="1">
        <v>43185</v>
      </c>
      <c r="C46" t="s">
        <v>65</v>
      </c>
      <c r="D46" t="s">
        <v>66</v>
      </c>
      <c r="E46" t="s">
        <v>67</v>
      </c>
    </row>
    <row r="47" spans="1:5" x14ac:dyDescent="0.25">
      <c r="A47" t="s">
        <v>120</v>
      </c>
      <c r="B47" s="1">
        <v>43163</v>
      </c>
      <c r="C47" t="s">
        <v>121</v>
      </c>
      <c r="D47" t="s">
        <v>14</v>
      </c>
      <c r="E47" t="s">
        <v>25</v>
      </c>
    </row>
    <row r="48" spans="1:5" x14ac:dyDescent="0.25">
      <c r="A48" t="s">
        <v>122</v>
      </c>
      <c r="B48" s="1">
        <v>43367</v>
      </c>
      <c r="C48" t="s">
        <v>123</v>
      </c>
      <c r="D48" t="s">
        <v>18</v>
      </c>
      <c r="E48" t="s">
        <v>19</v>
      </c>
    </row>
    <row r="49" spans="1:5" x14ac:dyDescent="0.25">
      <c r="A49" t="s">
        <v>124</v>
      </c>
      <c r="B49" s="1">
        <v>43231</v>
      </c>
      <c r="C49" t="s">
        <v>125</v>
      </c>
      <c r="D49" t="s">
        <v>14</v>
      </c>
      <c r="E49" t="s">
        <v>25</v>
      </c>
    </row>
    <row r="50" spans="1:5" x14ac:dyDescent="0.25">
      <c r="A50" t="s">
        <v>126</v>
      </c>
      <c r="B50" s="1">
        <v>43198</v>
      </c>
      <c r="C50" t="s">
        <v>127</v>
      </c>
      <c r="D50" t="s">
        <v>128</v>
      </c>
      <c r="E50" t="s">
        <v>129</v>
      </c>
    </row>
    <row r="51" spans="1:5" x14ac:dyDescent="0.25">
      <c r="A51" t="s">
        <v>130</v>
      </c>
      <c r="B51" s="1">
        <v>43326</v>
      </c>
      <c r="C51" t="s">
        <v>131</v>
      </c>
      <c r="D51" t="s">
        <v>18</v>
      </c>
      <c r="E51" t="s">
        <v>19</v>
      </c>
    </row>
    <row r="52" spans="1:5" x14ac:dyDescent="0.25">
      <c r="A52" t="s">
        <v>132</v>
      </c>
      <c r="B52" s="1">
        <v>43355</v>
      </c>
      <c r="C52" t="s">
        <v>133</v>
      </c>
      <c r="D52" t="s">
        <v>14</v>
      </c>
      <c r="E52" t="s">
        <v>25</v>
      </c>
    </row>
    <row r="53" spans="1:5" x14ac:dyDescent="0.25">
      <c r="A53" t="s">
        <v>134</v>
      </c>
      <c r="B53" s="1">
        <v>43193</v>
      </c>
      <c r="C53" t="s">
        <v>135</v>
      </c>
      <c r="D53" t="s">
        <v>18</v>
      </c>
      <c r="E53" t="s">
        <v>70</v>
      </c>
    </row>
    <row r="54" spans="1:5" x14ac:dyDescent="0.25">
      <c r="A54" t="s">
        <v>136</v>
      </c>
      <c r="B54" s="1">
        <v>43166</v>
      </c>
      <c r="C54" t="s">
        <v>137</v>
      </c>
      <c r="D54" t="s">
        <v>138</v>
      </c>
      <c r="E54" t="s">
        <v>139</v>
      </c>
    </row>
    <row r="55" spans="1:5" x14ac:dyDescent="0.25">
      <c r="A55" t="s">
        <v>140</v>
      </c>
      <c r="B55" s="1">
        <v>43228</v>
      </c>
      <c r="C55" t="s">
        <v>141</v>
      </c>
      <c r="D55" t="s">
        <v>79</v>
      </c>
      <c r="E55" t="s">
        <v>80</v>
      </c>
    </row>
    <row r="56" spans="1:5" x14ac:dyDescent="0.25">
      <c r="A56" t="s">
        <v>142</v>
      </c>
      <c r="B56" s="1">
        <v>43412</v>
      </c>
      <c r="C56" t="s">
        <v>143</v>
      </c>
      <c r="D56" t="s">
        <v>18</v>
      </c>
      <c r="E56" t="s">
        <v>70</v>
      </c>
    </row>
    <row r="57" spans="1:5" x14ac:dyDescent="0.25">
      <c r="A57" t="s">
        <v>144</v>
      </c>
      <c r="B57" s="1">
        <v>43338</v>
      </c>
      <c r="C57" t="s">
        <v>145</v>
      </c>
      <c r="D57" t="s">
        <v>18</v>
      </c>
      <c r="E57" t="s">
        <v>19</v>
      </c>
    </row>
    <row r="58" spans="1:5" x14ac:dyDescent="0.25">
      <c r="A58" t="s">
        <v>146</v>
      </c>
      <c r="B58" s="1">
        <v>43135</v>
      </c>
      <c r="C58" t="s">
        <v>147</v>
      </c>
      <c r="D58" t="s">
        <v>9</v>
      </c>
      <c r="E58" t="s">
        <v>9</v>
      </c>
    </row>
    <row r="59" spans="1:5" x14ac:dyDescent="0.25">
      <c r="A59" t="s">
        <v>148</v>
      </c>
      <c r="B59" s="1">
        <v>43102</v>
      </c>
      <c r="C59" t="s">
        <v>149</v>
      </c>
      <c r="D59" t="s">
        <v>73</v>
      </c>
      <c r="E59" t="s">
        <v>74</v>
      </c>
    </row>
    <row r="60" spans="1:5" x14ac:dyDescent="0.25">
      <c r="A60" t="s">
        <v>150</v>
      </c>
      <c r="B60" s="1">
        <v>43140</v>
      </c>
      <c r="C60" t="s">
        <v>151</v>
      </c>
      <c r="D60" t="s">
        <v>102</v>
      </c>
      <c r="E60" t="s">
        <v>103</v>
      </c>
    </row>
    <row r="61" spans="1:5" x14ac:dyDescent="0.25">
      <c r="A61" t="s">
        <v>152</v>
      </c>
      <c r="B61" s="1">
        <v>43273</v>
      </c>
      <c r="C61" t="s">
        <v>153</v>
      </c>
      <c r="D61" t="s">
        <v>154</v>
      </c>
      <c r="E61" t="s">
        <v>155</v>
      </c>
    </row>
    <row r="62" spans="1:5" x14ac:dyDescent="0.25">
      <c r="A62" t="s">
        <v>156</v>
      </c>
      <c r="B62" s="1">
        <v>43402</v>
      </c>
      <c r="C62" t="s">
        <v>157</v>
      </c>
      <c r="D62" t="s">
        <v>14</v>
      </c>
      <c r="E62" t="s">
        <v>25</v>
      </c>
    </row>
    <row r="63" spans="1:5" x14ac:dyDescent="0.25">
      <c r="A63" t="s">
        <v>158</v>
      </c>
      <c r="B63" s="1">
        <v>43191</v>
      </c>
      <c r="C63" t="s">
        <v>159</v>
      </c>
      <c r="D63" t="s">
        <v>38</v>
      </c>
      <c r="E63" t="s">
        <v>52</v>
      </c>
    </row>
    <row r="64" spans="1:5" x14ac:dyDescent="0.25">
      <c r="A64" t="s">
        <v>160</v>
      </c>
      <c r="B64" s="1">
        <v>43427</v>
      </c>
      <c r="C64" t="s">
        <v>161</v>
      </c>
      <c r="D64" t="s">
        <v>18</v>
      </c>
      <c r="E64" t="s">
        <v>19</v>
      </c>
    </row>
    <row r="65" spans="1:5" x14ac:dyDescent="0.25">
      <c r="A65" t="s">
        <v>162</v>
      </c>
      <c r="B65" s="1">
        <v>43151</v>
      </c>
      <c r="C65" t="s">
        <v>163</v>
      </c>
      <c r="D65" t="s">
        <v>30</v>
      </c>
      <c r="E65" t="s">
        <v>31</v>
      </c>
    </row>
    <row r="66" spans="1:5" x14ac:dyDescent="0.25">
      <c r="A66" t="s">
        <v>164</v>
      </c>
      <c r="B66" s="1">
        <v>43120</v>
      </c>
      <c r="C66" t="s">
        <v>165</v>
      </c>
      <c r="D66" t="s">
        <v>14</v>
      </c>
      <c r="E66" t="s">
        <v>25</v>
      </c>
    </row>
    <row r="67" spans="1:5" x14ac:dyDescent="0.25">
      <c r="A67" t="s">
        <v>166</v>
      </c>
      <c r="B67" s="1">
        <v>43252</v>
      </c>
      <c r="C67" t="s">
        <v>167</v>
      </c>
      <c r="D67" t="s">
        <v>98</v>
      </c>
      <c r="E67" t="s">
        <v>168</v>
      </c>
    </row>
    <row r="68" spans="1:5" x14ac:dyDescent="0.25">
      <c r="A68" t="s">
        <v>169</v>
      </c>
      <c r="B68" s="1">
        <v>43403</v>
      </c>
      <c r="C68" t="s">
        <v>170</v>
      </c>
      <c r="D68" t="s">
        <v>138</v>
      </c>
      <c r="E68" t="s">
        <v>139</v>
      </c>
    </row>
    <row r="69" spans="1:5" x14ac:dyDescent="0.25">
      <c r="A69" t="s">
        <v>171</v>
      </c>
      <c r="B69" s="1">
        <v>43438</v>
      </c>
      <c r="C69" t="s">
        <v>172</v>
      </c>
      <c r="D69" t="s">
        <v>66</v>
      </c>
      <c r="E69" t="s">
        <v>173</v>
      </c>
    </row>
    <row r="70" spans="1:5" x14ac:dyDescent="0.25">
      <c r="A70" t="s">
        <v>174</v>
      </c>
      <c r="B70" s="1">
        <v>43463</v>
      </c>
      <c r="C70" t="s">
        <v>92</v>
      </c>
      <c r="D70" t="s">
        <v>14</v>
      </c>
      <c r="E70" t="s">
        <v>15</v>
      </c>
    </row>
    <row r="71" spans="1:5" x14ac:dyDescent="0.25">
      <c r="A71" t="s">
        <v>175</v>
      </c>
      <c r="B71" s="1">
        <v>43114</v>
      </c>
      <c r="C71" t="s">
        <v>176</v>
      </c>
      <c r="D71" t="s">
        <v>30</v>
      </c>
      <c r="E71" t="s">
        <v>31</v>
      </c>
    </row>
    <row r="72" spans="1:5" x14ac:dyDescent="0.25">
      <c r="A72" t="s">
        <v>177</v>
      </c>
      <c r="B72" s="1">
        <v>43345</v>
      </c>
      <c r="C72" t="s">
        <v>178</v>
      </c>
      <c r="D72" t="s">
        <v>55</v>
      </c>
      <c r="E72" t="s">
        <v>56</v>
      </c>
    </row>
    <row r="73" spans="1:5" x14ac:dyDescent="0.25">
      <c r="A73" t="s">
        <v>179</v>
      </c>
      <c r="B73" s="1">
        <v>43118</v>
      </c>
      <c r="C73" t="s">
        <v>180</v>
      </c>
      <c r="D73" t="s">
        <v>18</v>
      </c>
      <c r="E73" t="s">
        <v>19</v>
      </c>
    </row>
    <row r="74" spans="1:5" x14ac:dyDescent="0.25">
      <c r="A74" t="s">
        <v>181</v>
      </c>
      <c r="B74" s="1">
        <v>43303</v>
      </c>
      <c r="C74" t="s">
        <v>182</v>
      </c>
      <c r="D74" t="s">
        <v>98</v>
      </c>
      <c r="E74" t="s">
        <v>168</v>
      </c>
    </row>
    <row r="75" spans="1:5" x14ac:dyDescent="0.25">
      <c r="A75" t="s">
        <v>183</v>
      </c>
      <c r="B75" s="1">
        <v>43428</v>
      </c>
      <c r="C75" t="s">
        <v>184</v>
      </c>
      <c r="D75" t="s">
        <v>38</v>
      </c>
      <c r="E75" t="s">
        <v>39</v>
      </c>
    </row>
    <row r="76" spans="1:5" x14ac:dyDescent="0.25">
      <c r="A76" t="s">
        <v>185</v>
      </c>
      <c r="B76" s="1">
        <v>43175</v>
      </c>
      <c r="C76" t="s">
        <v>186</v>
      </c>
      <c r="D76" t="s">
        <v>18</v>
      </c>
      <c r="E76" t="s">
        <v>70</v>
      </c>
    </row>
    <row r="77" spans="1:5" x14ac:dyDescent="0.25">
      <c r="A77" t="s">
        <v>187</v>
      </c>
      <c r="B77" s="1">
        <v>43383</v>
      </c>
      <c r="C77" t="s">
        <v>188</v>
      </c>
      <c r="D77" t="s">
        <v>66</v>
      </c>
      <c r="E77" t="s">
        <v>67</v>
      </c>
    </row>
    <row r="78" spans="1:5" x14ac:dyDescent="0.25">
      <c r="A78" t="s">
        <v>189</v>
      </c>
      <c r="B78" s="1">
        <v>43422</v>
      </c>
      <c r="C78" t="s">
        <v>190</v>
      </c>
      <c r="D78" t="s">
        <v>191</v>
      </c>
      <c r="E78" t="s">
        <v>191</v>
      </c>
    </row>
    <row r="79" spans="1:5" x14ac:dyDescent="0.25">
      <c r="A79" t="s">
        <v>192</v>
      </c>
      <c r="B79" s="1">
        <v>43150</v>
      </c>
      <c r="C79" t="s">
        <v>193</v>
      </c>
      <c r="D79" t="s">
        <v>95</v>
      </c>
      <c r="E79" t="s">
        <v>67</v>
      </c>
    </row>
    <row r="80" spans="1:5" x14ac:dyDescent="0.25">
      <c r="A80" t="s">
        <v>194</v>
      </c>
      <c r="B80" s="1">
        <v>43213</v>
      </c>
      <c r="C80" t="s">
        <v>41</v>
      </c>
      <c r="D80" t="s">
        <v>14</v>
      </c>
      <c r="E80" t="s">
        <v>15</v>
      </c>
    </row>
    <row r="81" spans="1:5" x14ac:dyDescent="0.25">
      <c r="A81" t="s">
        <v>195</v>
      </c>
      <c r="B81" s="1">
        <v>43105</v>
      </c>
      <c r="C81" t="s">
        <v>196</v>
      </c>
      <c r="D81" t="s">
        <v>95</v>
      </c>
      <c r="E81" t="s">
        <v>67</v>
      </c>
    </row>
    <row r="82" spans="1:5" x14ac:dyDescent="0.25">
      <c r="A82" t="s">
        <v>197</v>
      </c>
      <c r="B82" s="1">
        <v>43199</v>
      </c>
      <c r="C82" t="s">
        <v>43</v>
      </c>
      <c r="D82" t="s">
        <v>55</v>
      </c>
      <c r="E82" t="s">
        <v>56</v>
      </c>
    </row>
    <row r="83" spans="1:5" x14ac:dyDescent="0.25">
      <c r="A83" t="s">
        <v>198</v>
      </c>
      <c r="B83" s="1">
        <v>43353</v>
      </c>
      <c r="C83" t="s">
        <v>199</v>
      </c>
      <c r="D83" t="s">
        <v>18</v>
      </c>
      <c r="E83" t="s">
        <v>19</v>
      </c>
    </row>
    <row r="84" spans="1:5" x14ac:dyDescent="0.25">
      <c r="A84" t="s">
        <v>200</v>
      </c>
      <c r="B84" s="1">
        <v>43314</v>
      </c>
      <c r="C84" t="s">
        <v>201</v>
      </c>
      <c r="D84" t="s">
        <v>66</v>
      </c>
      <c r="E84" t="s">
        <v>67</v>
      </c>
    </row>
    <row r="85" spans="1:5" x14ac:dyDescent="0.25">
      <c r="A85" t="s">
        <v>202</v>
      </c>
      <c r="B85" s="1">
        <v>43127</v>
      </c>
      <c r="C85" t="s">
        <v>203</v>
      </c>
      <c r="D85" t="s">
        <v>14</v>
      </c>
      <c r="E85" t="s">
        <v>15</v>
      </c>
    </row>
    <row r="86" spans="1:5" x14ac:dyDescent="0.25">
      <c r="A86" t="s">
        <v>204</v>
      </c>
      <c r="B86" s="1">
        <v>43219</v>
      </c>
      <c r="C86" t="s">
        <v>205</v>
      </c>
      <c r="D86" t="s">
        <v>154</v>
      </c>
      <c r="E86" t="s">
        <v>155</v>
      </c>
    </row>
    <row r="87" spans="1:5" x14ac:dyDescent="0.25">
      <c r="A87" t="s">
        <v>206</v>
      </c>
      <c r="B87" s="1">
        <v>43303</v>
      </c>
      <c r="C87" t="s">
        <v>207</v>
      </c>
      <c r="D87" t="s">
        <v>14</v>
      </c>
      <c r="E87" t="s">
        <v>25</v>
      </c>
    </row>
    <row r="88" spans="1:5" x14ac:dyDescent="0.25">
      <c r="A88" t="s">
        <v>208</v>
      </c>
      <c r="B88" s="1">
        <v>43325</v>
      </c>
      <c r="C88" t="s">
        <v>201</v>
      </c>
      <c r="D88" t="s">
        <v>14</v>
      </c>
      <c r="E88" t="s">
        <v>15</v>
      </c>
    </row>
    <row r="89" spans="1:5" x14ac:dyDescent="0.25">
      <c r="A89" t="s">
        <v>209</v>
      </c>
      <c r="B89" s="1">
        <v>43243</v>
      </c>
      <c r="C89" t="s">
        <v>210</v>
      </c>
      <c r="D89" t="s">
        <v>95</v>
      </c>
      <c r="E89" t="s">
        <v>67</v>
      </c>
    </row>
    <row r="90" spans="1:5" x14ac:dyDescent="0.25">
      <c r="A90" t="s">
        <v>211</v>
      </c>
      <c r="B90" s="1">
        <v>43233</v>
      </c>
      <c r="C90" t="s">
        <v>186</v>
      </c>
      <c r="D90" t="s">
        <v>18</v>
      </c>
      <c r="E90" t="s">
        <v>70</v>
      </c>
    </row>
    <row r="91" spans="1:5" x14ac:dyDescent="0.25">
      <c r="A91" t="s">
        <v>212</v>
      </c>
      <c r="B91" s="1">
        <v>43329</v>
      </c>
      <c r="C91" t="s">
        <v>213</v>
      </c>
      <c r="D91" t="s">
        <v>5</v>
      </c>
      <c r="E91" t="s">
        <v>118</v>
      </c>
    </row>
    <row r="92" spans="1:5" x14ac:dyDescent="0.25">
      <c r="A92" t="s">
        <v>214</v>
      </c>
      <c r="B92" s="1">
        <v>43173</v>
      </c>
      <c r="C92" t="s">
        <v>215</v>
      </c>
      <c r="D92" t="s">
        <v>18</v>
      </c>
      <c r="E92" t="s">
        <v>19</v>
      </c>
    </row>
    <row r="93" spans="1:5" x14ac:dyDescent="0.25">
      <c r="A93" t="s">
        <v>216</v>
      </c>
      <c r="B93" s="1">
        <v>43402</v>
      </c>
      <c r="C93" t="s">
        <v>178</v>
      </c>
      <c r="D93" t="s">
        <v>18</v>
      </c>
      <c r="E93" t="s">
        <v>19</v>
      </c>
    </row>
    <row r="94" spans="1:5" x14ac:dyDescent="0.25">
      <c r="A94" t="s">
        <v>217</v>
      </c>
      <c r="B94" s="1">
        <v>43278</v>
      </c>
      <c r="C94" t="s">
        <v>218</v>
      </c>
      <c r="D94" t="s">
        <v>14</v>
      </c>
      <c r="E94" t="s">
        <v>15</v>
      </c>
    </row>
    <row r="95" spans="1:5" x14ac:dyDescent="0.25">
      <c r="A95" t="s">
        <v>219</v>
      </c>
      <c r="B95" s="1">
        <v>43113</v>
      </c>
      <c r="C95" t="s">
        <v>125</v>
      </c>
      <c r="D95" t="s">
        <v>18</v>
      </c>
      <c r="E95" t="s">
        <v>19</v>
      </c>
    </row>
    <row r="96" spans="1:5" x14ac:dyDescent="0.25">
      <c r="A96" t="s">
        <v>220</v>
      </c>
      <c r="B96" s="1">
        <v>43242</v>
      </c>
      <c r="C96" t="s">
        <v>221</v>
      </c>
      <c r="D96" t="s">
        <v>66</v>
      </c>
      <c r="E96" t="s">
        <v>67</v>
      </c>
    </row>
    <row r="97" spans="1:5" x14ac:dyDescent="0.25">
      <c r="A97" t="s">
        <v>222</v>
      </c>
      <c r="B97" s="1">
        <v>43251</v>
      </c>
      <c r="C97" t="s">
        <v>223</v>
      </c>
      <c r="D97" t="s">
        <v>18</v>
      </c>
      <c r="E97" t="s">
        <v>70</v>
      </c>
    </row>
    <row r="98" spans="1:5" x14ac:dyDescent="0.25">
      <c r="A98" t="s">
        <v>224</v>
      </c>
      <c r="B98" s="1">
        <v>43226</v>
      </c>
      <c r="C98" t="s">
        <v>225</v>
      </c>
      <c r="D98" t="s">
        <v>14</v>
      </c>
      <c r="E98" t="s">
        <v>15</v>
      </c>
    </row>
    <row r="99" spans="1:5" x14ac:dyDescent="0.25">
      <c r="A99" t="s">
        <v>226</v>
      </c>
      <c r="B99" s="1">
        <v>43131</v>
      </c>
      <c r="C99" t="s">
        <v>227</v>
      </c>
      <c r="D99" t="s">
        <v>98</v>
      </c>
      <c r="E99" t="s">
        <v>99</v>
      </c>
    </row>
    <row r="100" spans="1:5" x14ac:dyDescent="0.25">
      <c r="A100" t="s">
        <v>228</v>
      </c>
      <c r="B100" s="1">
        <v>43409</v>
      </c>
      <c r="C100" t="s">
        <v>229</v>
      </c>
      <c r="D100" t="s">
        <v>191</v>
      </c>
      <c r="E100" t="s">
        <v>191</v>
      </c>
    </row>
    <row r="101" spans="1:5" x14ac:dyDescent="0.25">
      <c r="A101" t="s">
        <v>230</v>
      </c>
      <c r="B101" s="1">
        <v>43441</v>
      </c>
      <c r="C101" t="s">
        <v>229</v>
      </c>
      <c r="D101" t="s">
        <v>98</v>
      </c>
      <c r="E101" t="s">
        <v>99</v>
      </c>
    </row>
    <row r="102" spans="1:5" x14ac:dyDescent="0.25">
      <c r="A102" t="s">
        <v>231</v>
      </c>
      <c r="B102" s="1">
        <v>43383</v>
      </c>
      <c r="C102" t="s">
        <v>232</v>
      </c>
      <c r="D102" t="s">
        <v>14</v>
      </c>
      <c r="E102" t="s">
        <v>15</v>
      </c>
    </row>
    <row r="103" spans="1:5" x14ac:dyDescent="0.25">
      <c r="A103" t="s">
        <v>233</v>
      </c>
      <c r="B103" s="1">
        <v>43394</v>
      </c>
      <c r="C103" t="s">
        <v>234</v>
      </c>
      <c r="D103" t="s">
        <v>18</v>
      </c>
      <c r="E103" t="s">
        <v>19</v>
      </c>
    </row>
    <row r="104" spans="1:5" x14ac:dyDescent="0.25">
      <c r="A104" t="s">
        <v>235</v>
      </c>
      <c r="B104" s="1">
        <v>43114</v>
      </c>
      <c r="C104" t="s">
        <v>236</v>
      </c>
      <c r="D104" t="s">
        <v>38</v>
      </c>
      <c r="E104" t="s">
        <v>52</v>
      </c>
    </row>
    <row r="105" spans="1:5" x14ac:dyDescent="0.25">
      <c r="A105" t="s">
        <v>237</v>
      </c>
      <c r="B105" s="1">
        <v>43272</v>
      </c>
      <c r="C105" t="s">
        <v>238</v>
      </c>
      <c r="D105" t="s">
        <v>102</v>
      </c>
      <c r="E105" t="s">
        <v>103</v>
      </c>
    </row>
    <row r="106" spans="1:5" x14ac:dyDescent="0.25">
      <c r="A106" t="s">
        <v>239</v>
      </c>
      <c r="B106" s="1">
        <v>43216</v>
      </c>
      <c r="C106" t="s">
        <v>121</v>
      </c>
      <c r="D106" t="s">
        <v>14</v>
      </c>
      <c r="E106" t="s">
        <v>25</v>
      </c>
    </row>
    <row r="107" spans="1:5" x14ac:dyDescent="0.25">
      <c r="A107" t="s">
        <v>240</v>
      </c>
      <c r="B107" s="1">
        <v>43323</v>
      </c>
      <c r="C107" t="s">
        <v>241</v>
      </c>
      <c r="D107" t="s">
        <v>18</v>
      </c>
      <c r="E107" t="s">
        <v>70</v>
      </c>
    </row>
    <row r="108" spans="1:5" x14ac:dyDescent="0.25">
      <c r="A108" t="s">
        <v>242</v>
      </c>
      <c r="B108" s="1">
        <v>43444</v>
      </c>
      <c r="C108" t="s">
        <v>243</v>
      </c>
      <c r="D108" t="s">
        <v>9</v>
      </c>
      <c r="E108" t="s">
        <v>9</v>
      </c>
    </row>
    <row r="109" spans="1:5" x14ac:dyDescent="0.25">
      <c r="A109" t="s">
        <v>244</v>
      </c>
      <c r="B109" s="1">
        <v>43411</v>
      </c>
      <c r="C109" t="s">
        <v>245</v>
      </c>
      <c r="D109" t="s">
        <v>30</v>
      </c>
      <c r="E109" t="s">
        <v>31</v>
      </c>
    </row>
    <row r="110" spans="1:5" x14ac:dyDescent="0.25">
      <c r="A110" t="s">
        <v>246</v>
      </c>
      <c r="B110" s="1">
        <v>43128</v>
      </c>
      <c r="C110" t="s">
        <v>247</v>
      </c>
      <c r="D110" t="s">
        <v>9</v>
      </c>
      <c r="E110" t="s">
        <v>9</v>
      </c>
    </row>
    <row r="111" spans="1:5" x14ac:dyDescent="0.25">
      <c r="A111" t="s">
        <v>248</v>
      </c>
      <c r="B111" s="1">
        <v>43442</v>
      </c>
      <c r="C111" t="s">
        <v>249</v>
      </c>
      <c r="D111" t="s">
        <v>5</v>
      </c>
      <c r="E111" t="s">
        <v>22</v>
      </c>
    </row>
    <row r="112" spans="1:5" x14ac:dyDescent="0.25">
      <c r="A112" t="s">
        <v>250</v>
      </c>
      <c r="B112" s="1">
        <v>43424</v>
      </c>
      <c r="C112" t="s">
        <v>251</v>
      </c>
      <c r="D112" t="s">
        <v>30</v>
      </c>
      <c r="E112" t="s">
        <v>31</v>
      </c>
    </row>
    <row r="113" spans="1:5" x14ac:dyDescent="0.25">
      <c r="A113" t="s">
        <v>252</v>
      </c>
      <c r="B113" s="1">
        <v>43157</v>
      </c>
      <c r="C113" t="s">
        <v>253</v>
      </c>
      <c r="D113" t="s">
        <v>66</v>
      </c>
      <c r="E113" t="s">
        <v>67</v>
      </c>
    </row>
    <row r="114" spans="1:5" x14ac:dyDescent="0.25">
      <c r="A114" t="s">
        <v>254</v>
      </c>
      <c r="B114" s="1">
        <v>43247</v>
      </c>
      <c r="C114" t="s">
        <v>255</v>
      </c>
      <c r="D114" t="s">
        <v>79</v>
      </c>
      <c r="E114" t="s">
        <v>80</v>
      </c>
    </row>
    <row r="115" spans="1:5" x14ac:dyDescent="0.25">
      <c r="A115" t="s">
        <v>256</v>
      </c>
      <c r="B115" s="1">
        <v>43190</v>
      </c>
      <c r="C115" t="s">
        <v>257</v>
      </c>
      <c r="D115" t="s">
        <v>18</v>
      </c>
      <c r="E115" t="s">
        <v>19</v>
      </c>
    </row>
    <row r="116" spans="1:5" x14ac:dyDescent="0.25">
      <c r="A116" t="s">
        <v>258</v>
      </c>
      <c r="B116" s="1">
        <v>43227</v>
      </c>
      <c r="C116" t="s">
        <v>215</v>
      </c>
      <c r="D116" t="s">
        <v>18</v>
      </c>
      <c r="E116" t="s">
        <v>19</v>
      </c>
    </row>
    <row r="117" spans="1:5" x14ac:dyDescent="0.25">
      <c r="A117" t="s">
        <v>259</v>
      </c>
      <c r="B117" s="1">
        <v>43121</v>
      </c>
      <c r="C117" t="s">
        <v>260</v>
      </c>
      <c r="D117" t="s">
        <v>66</v>
      </c>
      <c r="E117" t="s">
        <v>173</v>
      </c>
    </row>
    <row r="118" spans="1:5" x14ac:dyDescent="0.25">
      <c r="A118" t="s">
        <v>261</v>
      </c>
      <c r="B118" s="1">
        <v>43146</v>
      </c>
      <c r="C118" t="s">
        <v>262</v>
      </c>
      <c r="D118" t="s">
        <v>5</v>
      </c>
      <c r="E118" t="s">
        <v>118</v>
      </c>
    </row>
    <row r="119" spans="1:5" x14ac:dyDescent="0.25">
      <c r="A119" t="s">
        <v>263</v>
      </c>
      <c r="B119" s="1">
        <v>43240</v>
      </c>
      <c r="C119" t="s">
        <v>264</v>
      </c>
      <c r="D119" t="s">
        <v>55</v>
      </c>
      <c r="E119" t="s">
        <v>56</v>
      </c>
    </row>
    <row r="120" spans="1:5" x14ac:dyDescent="0.25">
      <c r="A120" t="s">
        <v>265</v>
      </c>
      <c r="B120" s="1">
        <v>43153</v>
      </c>
      <c r="C120" t="s">
        <v>266</v>
      </c>
      <c r="D120" t="s">
        <v>138</v>
      </c>
      <c r="E120" t="s">
        <v>139</v>
      </c>
    </row>
    <row r="121" spans="1:5" x14ac:dyDescent="0.25">
      <c r="A121" t="s">
        <v>267</v>
      </c>
      <c r="B121" s="1">
        <v>43167</v>
      </c>
      <c r="C121" t="s">
        <v>268</v>
      </c>
      <c r="D121" t="s">
        <v>102</v>
      </c>
      <c r="E121" t="s">
        <v>103</v>
      </c>
    </row>
    <row r="122" spans="1:5" x14ac:dyDescent="0.25">
      <c r="A122" t="s">
        <v>269</v>
      </c>
      <c r="B122" s="1">
        <v>43136</v>
      </c>
      <c r="C122" t="s">
        <v>270</v>
      </c>
      <c r="D122" t="s">
        <v>9</v>
      </c>
      <c r="E122" t="s">
        <v>9</v>
      </c>
    </row>
    <row r="123" spans="1:5" x14ac:dyDescent="0.25">
      <c r="A123" t="s">
        <v>271</v>
      </c>
      <c r="B123" s="1">
        <v>43357</v>
      </c>
      <c r="C123" t="s">
        <v>272</v>
      </c>
      <c r="D123" t="s">
        <v>38</v>
      </c>
      <c r="E123" t="s">
        <v>52</v>
      </c>
    </row>
    <row r="124" spans="1:5" x14ac:dyDescent="0.25">
      <c r="A124" t="s">
        <v>273</v>
      </c>
      <c r="B124" s="1">
        <v>43340</v>
      </c>
      <c r="C124" t="s">
        <v>274</v>
      </c>
      <c r="D124" t="s">
        <v>14</v>
      </c>
      <c r="E124" t="s">
        <v>25</v>
      </c>
    </row>
    <row r="125" spans="1:5" x14ac:dyDescent="0.25">
      <c r="A125" t="s">
        <v>275</v>
      </c>
      <c r="B125" s="1">
        <v>43378</v>
      </c>
      <c r="C125" t="s">
        <v>276</v>
      </c>
      <c r="D125" t="s">
        <v>18</v>
      </c>
      <c r="E125" t="s">
        <v>19</v>
      </c>
    </row>
    <row r="126" spans="1:5" x14ac:dyDescent="0.25">
      <c r="A126" t="s">
        <v>277</v>
      </c>
      <c r="B126" s="1">
        <v>43111</v>
      </c>
      <c r="C126" t="s">
        <v>278</v>
      </c>
      <c r="D126" t="s">
        <v>18</v>
      </c>
      <c r="E126" t="s">
        <v>19</v>
      </c>
    </row>
    <row r="127" spans="1:5" x14ac:dyDescent="0.25">
      <c r="A127" t="s">
        <v>279</v>
      </c>
      <c r="B127" s="1">
        <v>43185</v>
      </c>
      <c r="C127" t="s">
        <v>193</v>
      </c>
      <c r="D127" t="s">
        <v>95</v>
      </c>
      <c r="E127" t="s">
        <v>67</v>
      </c>
    </row>
    <row r="128" spans="1:5" x14ac:dyDescent="0.25">
      <c r="A128" t="s">
        <v>280</v>
      </c>
      <c r="B128" s="1">
        <v>43407</v>
      </c>
      <c r="C128" t="s">
        <v>281</v>
      </c>
      <c r="D128" t="s">
        <v>73</v>
      </c>
      <c r="E128" t="s">
        <v>74</v>
      </c>
    </row>
    <row r="129" spans="1:5" x14ac:dyDescent="0.25">
      <c r="A129" t="s">
        <v>282</v>
      </c>
      <c r="B129" s="1">
        <v>43386</v>
      </c>
      <c r="C129" t="s">
        <v>283</v>
      </c>
      <c r="D129" t="s">
        <v>14</v>
      </c>
      <c r="E129" t="s">
        <v>15</v>
      </c>
    </row>
    <row r="130" spans="1:5" x14ac:dyDescent="0.25">
      <c r="A130" t="s">
        <v>284</v>
      </c>
      <c r="B130" s="1">
        <v>43113</v>
      </c>
      <c r="C130" t="s">
        <v>285</v>
      </c>
      <c r="D130" t="s">
        <v>138</v>
      </c>
      <c r="E130" t="s">
        <v>139</v>
      </c>
    </row>
    <row r="131" spans="1:5" x14ac:dyDescent="0.25">
      <c r="A131" t="s">
        <v>286</v>
      </c>
      <c r="B131" s="1">
        <v>43122</v>
      </c>
      <c r="C131" t="s">
        <v>287</v>
      </c>
      <c r="D131" t="s">
        <v>14</v>
      </c>
      <c r="E131" t="s">
        <v>15</v>
      </c>
    </row>
    <row r="132" spans="1:5" x14ac:dyDescent="0.25">
      <c r="A132" t="s">
        <v>288</v>
      </c>
      <c r="B132" s="1">
        <v>43428</v>
      </c>
      <c r="C132" t="s">
        <v>289</v>
      </c>
      <c r="D132" t="s">
        <v>14</v>
      </c>
      <c r="E132" t="s">
        <v>15</v>
      </c>
    </row>
    <row r="133" spans="1:5" x14ac:dyDescent="0.25">
      <c r="A133" t="s">
        <v>290</v>
      </c>
      <c r="B133" s="1">
        <v>43169</v>
      </c>
      <c r="C133" t="s">
        <v>291</v>
      </c>
      <c r="D133" t="s">
        <v>73</v>
      </c>
      <c r="E133" t="s">
        <v>74</v>
      </c>
    </row>
    <row r="134" spans="1:5" x14ac:dyDescent="0.25">
      <c r="A134" t="s">
        <v>292</v>
      </c>
      <c r="B134" s="1">
        <v>43432</v>
      </c>
      <c r="C134" t="s">
        <v>293</v>
      </c>
      <c r="D134" t="s">
        <v>18</v>
      </c>
      <c r="E134" t="s">
        <v>19</v>
      </c>
    </row>
    <row r="135" spans="1:5" x14ac:dyDescent="0.25">
      <c r="A135" t="s">
        <v>294</v>
      </c>
      <c r="B135" s="1">
        <v>43440</v>
      </c>
      <c r="C135" t="s">
        <v>49</v>
      </c>
      <c r="D135" t="s">
        <v>18</v>
      </c>
      <c r="E135" t="s">
        <v>19</v>
      </c>
    </row>
    <row r="136" spans="1:5" x14ac:dyDescent="0.25">
      <c r="A136" t="s">
        <v>295</v>
      </c>
      <c r="B136" s="1">
        <v>43332</v>
      </c>
      <c r="C136" t="s">
        <v>94</v>
      </c>
      <c r="D136" t="s">
        <v>14</v>
      </c>
      <c r="E136" t="s">
        <v>15</v>
      </c>
    </row>
    <row r="137" spans="1:5" x14ac:dyDescent="0.25">
      <c r="A137" t="s">
        <v>296</v>
      </c>
      <c r="B137" s="1">
        <v>43418</v>
      </c>
      <c r="C137" t="s">
        <v>297</v>
      </c>
      <c r="D137" t="s">
        <v>18</v>
      </c>
      <c r="E137" t="s">
        <v>19</v>
      </c>
    </row>
    <row r="138" spans="1:5" x14ac:dyDescent="0.25">
      <c r="A138" t="s">
        <v>298</v>
      </c>
      <c r="B138" s="1">
        <v>43267</v>
      </c>
      <c r="C138" t="s">
        <v>299</v>
      </c>
      <c r="D138" t="s">
        <v>14</v>
      </c>
      <c r="E138" t="s">
        <v>15</v>
      </c>
    </row>
    <row r="139" spans="1:5" x14ac:dyDescent="0.25">
      <c r="A139" t="s">
        <v>300</v>
      </c>
      <c r="B139" s="1">
        <v>43216</v>
      </c>
      <c r="C139" t="s">
        <v>301</v>
      </c>
      <c r="D139" t="s">
        <v>302</v>
      </c>
      <c r="E139" t="s">
        <v>303</v>
      </c>
    </row>
    <row r="140" spans="1:5" x14ac:dyDescent="0.25">
      <c r="A140" t="s">
        <v>304</v>
      </c>
      <c r="B140" s="1">
        <v>43282</v>
      </c>
      <c r="C140" t="s">
        <v>305</v>
      </c>
      <c r="D140" t="s">
        <v>18</v>
      </c>
      <c r="E140" t="s">
        <v>19</v>
      </c>
    </row>
    <row r="141" spans="1:5" x14ac:dyDescent="0.25">
      <c r="A141" t="s">
        <v>306</v>
      </c>
      <c r="B141" s="1">
        <v>43400</v>
      </c>
      <c r="C141" t="s">
        <v>180</v>
      </c>
      <c r="D141" t="s">
        <v>302</v>
      </c>
      <c r="E141" t="s">
        <v>303</v>
      </c>
    </row>
    <row r="142" spans="1:5" x14ac:dyDescent="0.25">
      <c r="A142" t="s">
        <v>307</v>
      </c>
      <c r="B142" s="1">
        <v>43414</v>
      </c>
      <c r="C142" t="s">
        <v>143</v>
      </c>
      <c r="D142" t="s">
        <v>14</v>
      </c>
      <c r="E142" t="s">
        <v>15</v>
      </c>
    </row>
    <row r="143" spans="1:5" x14ac:dyDescent="0.25">
      <c r="A143" t="s">
        <v>308</v>
      </c>
      <c r="B143" s="1">
        <v>43438</v>
      </c>
      <c r="C143" t="s">
        <v>33</v>
      </c>
      <c r="D143" t="s">
        <v>5</v>
      </c>
      <c r="E143" t="s">
        <v>6</v>
      </c>
    </row>
    <row r="144" spans="1:5" x14ac:dyDescent="0.25">
      <c r="A144" t="s">
        <v>309</v>
      </c>
      <c r="B144" s="1">
        <v>43118</v>
      </c>
      <c r="C144" t="s">
        <v>310</v>
      </c>
      <c r="D144" t="s">
        <v>18</v>
      </c>
      <c r="E144" t="s">
        <v>19</v>
      </c>
    </row>
    <row r="145" spans="1:5" x14ac:dyDescent="0.25">
      <c r="A145" t="s">
        <v>311</v>
      </c>
      <c r="B145" s="1">
        <v>43137</v>
      </c>
      <c r="C145" t="s">
        <v>312</v>
      </c>
      <c r="D145" t="s">
        <v>9</v>
      </c>
      <c r="E145" t="s">
        <v>9</v>
      </c>
    </row>
    <row r="146" spans="1:5" x14ac:dyDescent="0.25">
      <c r="A146" t="s">
        <v>313</v>
      </c>
      <c r="B146" s="1">
        <v>43187</v>
      </c>
      <c r="C146" t="s">
        <v>314</v>
      </c>
      <c r="D146" t="s">
        <v>102</v>
      </c>
      <c r="E146" t="s">
        <v>103</v>
      </c>
    </row>
    <row r="147" spans="1:5" x14ac:dyDescent="0.25">
      <c r="A147" t="s">
        <v>315</v>
      </c>
      <c r="B147" s="1">
        <v>43321</v>
      </c>
      <c r="C147" t="s">
        <v>234</v>
      </c>
      <c r="D147" t="s">
        <v>38</v>
      </c>
      <c r="E147" t="s">
        <v>52</v>
      </c>
    </row>
    <row r="148" spans="1:5" x14ac:dyDescent="0.25">
      <c r="A148" t="s">
        <v>316</v>
      </c>
      <c r="B148" s="1">
        <v>43125</v>
      </c>
      <c r="C148" t="s">
        <v>317</v>
      </c>
      <c r="D148" t="s">
        <v>98</v>
      </c>
      <c r="E148" t="s">
        <v>99</v>
      </c>
    </row>
    <row r="149" spans="1:5" x14ac:dyDescent="0.25">
      <c r="A149" t="s">
        <v>318</v>
      </c>
      <c r="B149" s="1">
        <v>43245</v>
      </c>
      <c r="C149" t="s">
        <v>319</v>
      </c>
      <c r="D149" t="s">
        <v>191</v>
      </c>
      <c r="E149" t="s">
        <v>191</v>
      </c>
    </row>
    <row r="150" spans="1:5" x14ac:dyDescent="0.25">
      <c r="A150" t="s">
        <v>320</v>
      </c>
      <c r="B150" s="1">
        <v>43407</v>
      </c>
      <c r="C150" t="s">
        <v>49</v>
      </c>
      <c r="D150" t="s">
        <v>59</v>
      </c>
      <c r="E150" t="s">
        <v>60</v>
      </c>
    </row>
    <row r="151" spans="1:5" x14ac:dyDescent="0.25">
      <c r="A151" t="s">
        <v>321</v>
      </c>
      <c r="B151" s="1">
        <v>43436</v>
      </c>
      <c r="C151" t="s">
        <v>49</v>
      </c>
      <c r="D151" t="s">
        <v>66</v>
      </c>
      <c r="E151" t="s">
        <v>173</v>
      </c>
    </row>
    <row r="152" spans="1:5" x14ac:dyDescent="0.25">
      <c r="A152" t="s">
        <v>322</v>
      </c>
      <c r="B152" s="1">
        <v>43108</v>
      </c>
      <c r="C152" t="s">
        <v>323</v>
      </c>
      <c r="D152" t="s">
        <v>30</v>
      </c>
      <c r="E152" t="s">
        <v>31</v>
      </c>
    </row>
    <row r="153" spans="1:5" x14ac:dyDescent="0.25">
      <c r="A153" t="s">
        <v>324</v>
      </c>
      <c r="B153" s="1">
        <v>43407</v>
      </c>
      <c r="C153" t="s">
        <v>325</v>
      </c>
      <c r="D153" t="s">
        <v>95</v>
      </c>
      <c r="E153" t="s">
        <v>67</v>
      </c>
    </row>
    <row r="154" spans="1:5" x14ac:dyDescent="0.25">
      <c r="A154" t="s">
        <v>326</v>
      </c>
      <c r="B154" s="1">
        <v>43216</v>
      </c>
      <c r="C154" t="s">
        <v>327</v>
      </c>
      <c r="D154" t="s">
        <v>14</v>
      </c>
      <c r="E154" t="s">
        <v>15</v>
      </c>
    </row>
    <row r="155" spans="1:5" x14ac:dyDescent="0.25">
      <c r="A155" t="s">
        <v>328</v>
      </c>
      <c r="B155" s="1">
        <v>43395</v>
      </c>
      <c r="C155" t="s">
        <v>329</v>
      </c>
      <c r="D155" t="s">
        <v>14</v>
      </c>
      <c r="E155" t="s">
        <v>15</v>
      </c>
    </row>
    <row r="156" spans="1:5" x14ac:dyDescent="0.25">
      <c r="A156" t="s">
        <v>330</v>
      </c>
      <c r="B156" s="1">
        <v>43181</v>
      </c>
      <c r="C156" t="s">
        <v>127</v>
      </c>
      <c r="D156" t="s">
        <v>128</v>
      </c>
      <c r="E156" t="s">
        <v>129</v>
      </c>
    </row>
    <row r="157" spans="1:5" x14ac:dyDescent="0.25">
      <c r="A157" t="s">
        <v>331</v>
      </c>
      <c r="B157" s="1">
        <v>43213</v>
      </c>
      <c r="C157" t="s">
        <v>332</v>
      </c>
      <c r="D157" t="s">
        <v>154</v>
      </c>
      <c r="E157" t="s">
        <v>155</v>
      </c>
    </row>
    <row r="158" spans="1:5" x14ac:dyDescent="0.25">
      <c r="A158" t="s">
        <v>333</v>
      </c>
      <c r="B158" s="1">
        <v>43378</v>
      </c>
      <c r="C158" t="s">
        <v>334</v>
      </c>
      <c r="D158" t="s">
        <v>14</v>
      </c>
      <c r="E158" t="s">
        <v>15</v>
      </c>
    </row>
    <row r="159" spans="1:5" x14ac:dyDescent="0.25">
      <c r="A159" t="s">
        <v>335</v>
      </c>
      <c r="B159" s="1">
        <v>43269</v>
      </c>
      <c r="C159" t="s">
        <v>336</v>
      </c>
      <c r="D159" t="s">
        <v>18</v>
      </c>
      <c r="E159" t="s">
        <v>70</v>
      </c>
    </row>
    <row r="160" spans="1:5" x14ac:dyDescent="0.25">
      <c r="A160" t="s">
        <v>337</v>
      </c>
      <c r="B160" s="1">
        <v>43367</v>
      </c>
      <c r="C160" t="s">
        <v>338</v>
      </c>
      <c r="D160" t="s">
        <v>14</v>
      </c>
      <c r="E160" t="s">
        <v>15</v>
      </c>
    </row>
    <row r="161" spans="1:5" x14ac:dyDescent="0.25">
      <c r="A161" t="s">
        <v>339</v>
      </c>
      <c r="B161" s="1">
        <v>43379</v>
      </c>
      <c r="C161" t="s">
        <v>340</v>
      </c>
      <c r="D161" t="s">
        <v>18</v>
      </c>
      <c r="E161" t="s">
        <v>19</v>
      </c>
    </row>
    <row r="162" spans="1:5" x14ac:dyDescent="0.25">
      <c r="A162" t="s">
        <v>341</v>
      </c>
      <c r="B162" s="1">
        <v>43286</v>
      </c>
      <c r="C162" t="s">
        <v>342</v>
      </c>
      <c r="D162" t="s">
        <v>14</v>
      </c>
      <c r="E162" t="s">
        <v>25</v>
      </c>
    </row>
    <row r="163" spans="1:5" x14ac:dyDescent="0.25">
      <c r="A163" t="s">
        <v>343</v>
      </c>
      <c r="B163" s="1">
        <v>43245</v>
      </c>
      <c r="C163" t="s">
        <v>344</v>
      </c>
      <c r="D163" t="s">
        <v>302</v>
      </c>
      <c r="E163" t="s">
        <v>303</v>
      </c>
    </row>
    <row r="164" spans="1:5" x14ac:dyDescent="0.25">
      <c r="A164" t="s">
        <v>345</v>
      </c>
      <c r="B164" s="1">
        <v>43414</v>
      </c>
      <c r="C164" t="s">
        <v>346</v>
      </c>
      <c r="D164" t="s">
        <v>18</v>
      </c>
      <c r="E164" t="s">
        <v>19</v>
      </c>
    </row>
    <row r="165" spans="1:5" x14ac:dyDescent="0.25">
      <c r="A165" t="s">
        <v>347</v>
      </c>
      <c r="B165" s="1">
        <v>43358</v>
      </c>
      <c r="C165" t="s">
        <v>201</v>
      </c>
      <c r="D165" t="s">
        <v>138</v>
      </c>
      <c r="E165" t="s">
        <v>139</v>
      </c>
    </row>
    <row r="166" spans="1:5" x14ac:dyDescent="0.25">
      <c r="A166" t="s">
        <v>348</v>
      </c>
      <c r="B166" s="1">
        <v>43103</v>
      </c>
      <c r="C166" t="s">
        <v>349</v>
      </c>
      <c r="D166" t="s">
        <v>66</v>
      </c>
      <c r="E166" t="s">
        <v>67</v>
      </c>
    </row>
    <row r="167" spans="1:5" x14ac:dyDescent="0.25">
      <c r="A167" t="s">
        <v>350</v>
      </c>
      <c r="B167" s="1">
        <v>43168</v>
      </c>
      <c r="C167" t="s">
        <v>205</v>
      </c>
      <c r="D167" t="s">
        <v>154</v>
      </c>
      <c r="E167" t="s">
        <v>155</v>
      </c>
    </row>
    <row r="168" spans="1:5" x14ac:dyDescent="0.25">
      <c r="A168" t="s">
        <v>351</v>
      </c>
      <c r="B168" s="1">
        <v>43177</v>
      </c>
      <c r="C168" t="s">
        <v>92</v>
      </c>
      <c r="D168" t="s">
        <v>102</v>
      </c>
      <c r="E168" t="s">
        <v>103</v>
      </c>
    </row>
    <row r="169" spans="1:5" x14ac:dyDescent="0.25">
      <c r="A169" t="s">
        <v>352</v>
      </c>
      <c r="B169" s="1">
        <v>43367</v>
      </c>
      <c r="C169" t="s">
        <v>353</v>
      </c>
      <c r="D169" t="s">
        <v>73</v>
      </c>
      <c r="E169" t="s">
        <v>74</v>
      </c>
    </row>
    <row r="170" spans="1:5" x14ac:dyDescent="0.25">
      <c r="A170" t="s">
        <v>354</v>
      </c>
      <c r="B170" s="1">
        <v>43130</v>
      </c>
      <c r="C170" t="s">
        <v>355</v>
      </c>
      <c r="D170" t="s">
        <v>9</v>
      </c>
      <c r="E170" t="s">
        <v>9</v>
      </c>
    </row>
    <row r="171" spans="1:5" x14ac:dyDescent="0.25">
      <c r="A171" t="s">
        <v>356</v>
      </c>
      <c r="B171" s="1">
        <v>43127</v>
      </c>
      <c r="C171" t="s">
        <v>357</v>
      </c>
      <c r="D171" t="s">
        <v>18</v>
      </c>
      <c r="E171" t="s">
        <v>19</v>
      </c>
    </row>
    <row r="172" spans="1:5" x14ac:dyDescent="0.25">
      <c r="A172" t="s">
        <v>358</v>
      </c>
      <c r="B172" s="1">
        <v>43169</v>
      </c>
      <c r="C172" t="s">
        <v>359</v>
      </c>
      <c r="D172" t="s">
        <v>14</v>
      </c>
      <c r="E172" t="s">
        <v>15</v>
      </c>
    </row>
    <row r="173" spans="1:5" x14ac:dyDescent="0.25">
      <c r="A173" t="s">
        <v>360</v>
      </c>
      <c r="B173" s="1">
        <v>43181</v>
      </c>
      <c r="C173" t="s">
        <v>361</v>
      </c>
      <c r="D173" t="s">
        <v>138</v>
      </c>
      <c r="E173" t="s">
        <v>139</v>
      </c>
    </row>
    <row r="174" spans="1:5" x14ac:dyDescent="0.25">
      <c r="A174" t="s">
        <v>362</v>
      </c>
      <c r="B174" s="1">
        <v>43363</v>
      </c>
      <c r="C174" t="s">
        <v>363</v>
      </c>
      <c r="D174" t="s">
        <v>154</v>
      </c>
      <c r="E174" t="s">
        <v>155</v>
      </c>
    </row>
    <row r="175" spans="1:5" x14ac:dyDescent="0.25">
      <c r="A175" t="s">
        <v>364</v>
      </c>
      <c r="B175" s="1">
        <v>43258</v>
      </c>
      <c r="C175" t="s">
        <v>176</v>
      </c>
      <c r="D175" t="s">
        <v>55</v>
      </c>
      <c r="E175" t="s">
        <v>56</v>
      </c>
    </row>
    <row r="176" spans="1:5" x14ac:dyDescent="0.25">
      <c r="A176" t="s">
        <v>365</v>
      </c>
      <c r="B176" s="1">
        <v>43119</v>
      </c>
      <c r="C176" t="s">
        <v>366</v>
      </c>
      <c r="D176" t="s">
        <v>14</v>
      </c>
      <c r="E176" t="s">
        <v>25</v>
      </c>
    </row>
    <row r="177" spans="1:5" x14ac:dyDescent="0.25">
      <c r="A177" t="s">
        <v>367</v>
      </c>
      <c r="B177" s="1">
        <v>43326</v>
      </c>
      <c r="C177" t="s">
        <v>368</v>
      </c>
      <c r="D177" t="s">
        <v>18</v>
      </c>
      <c r="E177" t="s">
        <v>19</v>
      </c>
    </row>
    <row r="178" spans="1:5" x14ac:dyDescent="0.25">
      <c r="A178" t="s">
        <v>369</v>
      </c>
      <c r="B178" s="1">
        <v>43397</v>
      </c>
      <c r="C178" t="s">
        <v>370</v>
      </c>
      <c r="D178" t="s">
        <v>66</v>
      </c>
      <c r="E178" t="s">
        <v>67</v>
      </c>
    </row>
    <row r="179" spans="1:5" x14ac:dyDescent="0.25">
      <c r="A179" t="s">
        <v>371</v>
      </c>
      <c r="B179" s="1">
        <v>43212</v>
      </c>
      <c r="C179" t="s">
        <v>372</v>
      </c>
      <c r="D179" t="s">
        <v>98</v>
      </c>
      <c r="E179" t="s">
        <v>168</v>
      </c>
    </row>
    <row r="180" spans="1:5" x14ac:dyDescent="0.25">
      <c r="A180" t="s">
        <v>373</v>
      </c>
      <c r="B180" s="1">
        <v>43326</v>
      </c>
      <c r="C180" t="s">
        <v>374</v>
      </c>
      <c r="D180" t="s">
        <v>14</v>
      </c>
      <c r="E180" t="s">
        <v>15</v>
      </c>
    </row>
    <row r="181" spans="1:5" x14ac:dyDescent="0.25">
      <c r="A181" t="s">
        <v>375</v>
      </c>
      <c r="B181" s="1">
        <v>43261</v>
      </c>
      <c r="C181" t="s">
        <v>111</v>
      </c>
      <c r="D181" t="s">
        <v>18</v>
      </c>
      <c r="E181" t="s">
        <v>19</v>
      </c>
    </row>
    <row r="182" spans="1:5" x14ac:dyDescent="0.25">
      <c r="A182" t="s">
        <v>376</v>
      </c>
      <c r="B182" s="1">
        <v>43142</v>
      </c>
      <c r="C182" t="s">
        <v>377</v>
      </c>
      <c r="D182" t="s">
        <v>55</v>
      </c>
      <c r="E182" t="s">
        <v>56</v>
      </c>
    </row>
    <row r="183" spans="1:5" x14ac:dyDescent="0.25">
      <c r="A183" t="s">
        <v>378</v>
      </c>
      <c r="B183" s="1">
        <v>43154</v>
      </c>
      <c r="C183" t="s">
        <v>332</v>
      </c>
      <c r="D183" t="s">
        <v>154</v>
      </c>
      <c r="E183" t="s">
        <v>155</v>
      </c>
    </row>
    <row r="184" spans="1:5" x14ac:dyDescent="0.25">
      <c r="A184" t="s">
        <v>379</v>
      </c>
      <c r="B184" s="1">
        <v>43274</v>
      </c>
      <c r="C184" t="s">
        <v>380</v>
      </c>
      <c r="D184" t="s">
        <v>128</v>
      </c>
      <c r="E184" t="s">
        <v>129</v>
      </c>
    </row>
    <row r="185" spans="1:5" x14ac:dyDescent="0.25">
      <c r="A185" t="s">
        <v>381</v>
      </c>
      <c r="B185" s="1">
        <v>43121</v>
      </c>
      <c r="C185" t="s">
        <v>382</v>
      </c>
      <c r="D185" t="s">
        <v>98</v>
      </c>
      <c r="E185" t="s">
        <v>99</v>
      </c>
    </row>
    <row r="186" spans="1:5" x14ac:dyDescent="0.25">
      <c r="A186" t="s">
        <v>383</v>
      </c>
      <c r="B186" s="1">
        <v>43401</v>
      </c>
      <c r="C186" t="s">
        <v>384</v>
      </c>
      <c r="D186" t="s">
        <v>14</v>
      </c>
      <c r="E186" t="s">
        <v>15</v>
      </c>
    </row>
    <row r="187" spans="1:5" x14ac:dyDescent="0.25">
      <c r="A187" t="s">
        <v>385</v>
      </c>
      <c r="B187" s="1">
        <v>43319</v>
      </c>
      <c r="C187" t="s">
        <v>386</v>
      </c>
      <c r="D187" t="s">
        <v>79</v>
      </c>
      <c r="E187" t="s">
        <v>80</v>
      </c>
    </row>
    <row r="188" spans="1:5" x14ac:dyDescent="0.25">
      <c r="A188" t="s">
        <v>387</v>
      </c>
      <c r="B188" s="1">
        <v>43432</v>
      </c>
      <c r="C188" t="s">
        <v>388</v>
      </c>
      <c r="D188" t="s">
        <v>98</v>
      </c>
      <c r="E188" t="s">
        <v>99</v>
      </c>
    </row>
    <row r="189" spans="1:5" x14ac:dyDescent="0.25">
      <c r="A189" t="s">
        <v>389</v>
      </c>
      <c r="B189" s="1">
        <v>43125</v>
      </c>
      <c r="C189" t="s">
        <v>125</v>
      </c>
      <c r="D189" t="s">
        <v>5</v>
      </c>
      <c r="E189" t="s">
        <v>22</v>
      </c>
    </row>
    <row r="190" spans="1:5" x14ac:dyDescent="0.25">
      <c r="A190" t="s">
        <v>390</v>
      </c>
      <c r="B190" s="1">
        <v>43188</v>
      </c>
      <c r="C190" t="s">
        <v>332</v>
      </c>
      <c r="D190" t="s">
        <v>154</v>
      </c>
      <c r="E190" t="s">
        <v>155</v>
      </c>
    </row>
    <row r="191" spans="1:5" x14ac:dyDescent="0.25">
      <c r="A191" t="s">
        <v>391</v>
      </c>
      <c r="B191" s="1">
        <v>43203</v>
      </c>
      <c r="C191" t="s">
        <v>392</v>
      </c>
      <c r="D191" t="s">
        <v>59</v>
      </c>
      <c r="E191" t="s">
        <v>60</v>
      </c>
    </row>
    <row r="192" spans="1:5" x14ac:dyDescent="0.25">
      <c r="A192" t="s">
        <v>393</v>
      </c>
      <c r="B192" s="1">
        <v>43302</v>
      </c>
      <c r="C192" t="s">
        <v>394</v>
      </c>
      <c r="D192" t="s">
        <v>14</v>
      </c>
      <c r="E192" t="s">
        <v>15</v>
      </c>
    </row>
    <row r="193" spans="1:5" x14ac:dyDescent="0.25">
      <c r="A193" t="s">
        <v>395</v>
      </c>
      <c r="B193" s="1">
        <v>43165</v>
      </c>
      <c r="C193" t="s">
        <v>396</v>
      </c>
      <c r="D193" t="s">
        <v>98</v>
      </c>
      <c r="E193" t="s">
        <v>168</v>
      </c>
    </row>
    <row r="194" spans="1:5" x14ac:dyDescent="0.25">
      <c r="A194" t="s">
        <v>397</v>
      </c>
      <c r="B194" s="1">
        <v>43199</v>
      </c>
      <c r="C194" t="s">
        <v>262</v>
      </c>
      <c r="D194" t="s">
        <v>5</v>
      </c>
      <c r="E194" t="s">
        <v>118</v>
      </c>
    </row>
    <row r="195" spans="1:5" x14ac:dyDescent="0.25">
      <c r="A195" t="s">
        <v>398</v>
      </c>
      <c r="B195" s="1">
        <v>43315</v>
      </c>
      <c r="C195" t="s">
        <v>399</v>
      </c>
      <c r="D195" t="s">
        <v>18</v>
      </c>
      <c r="E195" t="s">
        <v>19</v>
      </c>
    </row>
    <row r="196" spans="1:5" x14ac:dyDescent="0.25">
      <c r="A196" t="s">
        <v>400</v>
      </c>
      <c r="B196" s="1">
        <v>43117</v>
      </c>
      <c r="C196" t="s">
        <v>223</v>
      </c>
      <c r="D196" t="s">
        <v>14</v>
      </c>
      <c r="E196" t="s">
        <v>15</v>
      </c>
    </row>
    <row r="197" spans="1:5" x14ac:dyDescent="0.25">
      <c r="A197" t="s">
        <v>401</v>
      </c>
      <c r="B197" s="1">
        <v>43265</v>
      </c>
      <c r="C197" t="s">
        <v>402</v>
      </c>
      <c r="D197" t="s">
        <v>14</v>
      </c>
      <c r="E197" t="s">
        <v>15</v>
      </c>
    </row>
    <row r="198" spans="1:5" x14ac:dyDescent="0.25">
      <c r="A198" t="s">
        <v>403</v>
      </c>
      <c r="B198" s="1">
        <v>43105</v>
      </c>
      <c r="C198" t="s">
        <v>404</v>
      </c>
      <c r="D198" t="s">
        <v>302</v>
      </c>
      <c r="E198" t="s">
        <v>303</v>
      </c>
    </row>
    <row r="199" spans="1:5" x14ac:dyDescent="0.25">
      <c r="A199" t="s">
        <v>405</v>
      </c>
      <c r="B199" s="1">
        <v>43438</v>
      </c>
      <c r="C199" t="s">
        <v>406</v>
      </c>
      <c r="D199" t="s">
        <v>14</v>
      </c>
      <c r="E199" t="s">
        <v>15</v>
      </c>
    </row>
    <row r="200" spans="1:5" x14ac:dyDescent="0.25">
      <c r="A200" t="s">
        <v>407</v>
      </c>
      <c r="B200" s="1">
        <v>43383</v>
      </c>
      <c r="C200" t="s">
        <v>243</v>
      </c>
      <c r="D200" t="s">
        <v>18</v>
      </c>
      <c r="E200" t="s">
        <v>19</v>
      </c>
    </row>
    <row r="201" spans="1:5" x14ac:dyDescent="0.25">
      <c r="A201" t="s">
        <v>408</v>
      </c>
      <c r="B201" s="1">
        <v>43293</v>
      </c>
      <c r="C201" t="s">
        <v>210</v>
      </c>
      <c r="D201" t="s">
        <v>14</v>
      </c>
      <c r="E201" t="s">
        <v>15</v>
      </c>
    </row>
    <row r="202" spans="1:5" x14ac:dyDescent="0.25">
      <c r="A202" t="s">
        <v>409</v>
      </c>
      <c r="B202" s="1">
        <v>43452</v>
      </c>
      <c r="C202" t="s">
        <v>410</v>
      </c>
      <c r="D202" t="s">
        <v>9</v>
      </c>
      <c r="E202" t="s">
        <v>9</v>
      </c>
    </row>
    <row r="203" spans="1:5" x14ac:dyDescent="0.25">
      <c r="A203" t="s">
        <v>411</v>
      </c>
      <c r="B203" s="1">
        <v>43444</v>
      </c>
      <c r="C203" t="s">
        <v>412</v>
      </c>
      <c r="D203" t="s">
        <v>18</v>
      </c>
      <c r="E203" t="s">
        <v>19</v>
      </c>
    </row>
    <row r="204" spans="1:5" x14ac:dyDescent="0.25">
      <c r="A204" t="s">
        <v>413</v>
      </c>
      <c r="B204" s="1">
        <v>43187</v>
      </c>
      <c r="C204" t="s">
        <v>266</v>
      </c>
      <c r="D204" t="s">
        <v>138</v>
      </c>
      <c r="E204" t="s">
        <v>139</v>
      </c>
    </row>
    <row r="205" spans="1:5" x14ac:dyDescent="0.25">
      <c r="A205" t="s">
        <v>414</v>
      </c>
      <c r="B205" s="1">
        <v>43230</v>
      </c>
      <c r="C205" t="s">
        <v>415</v>
      </c>
      <c r="D205" t="s">
        <v>14</v>
      </c>
      <c r="E205" t="s">
        <v>15</v>
      </c>
    </row>
    <row r="206" spans="1:5" x14ac:dyDescent="0.25">
      <c r="A206" t="s">
        <v>416</v>
      </c>
      <c r="B206" s="1">
        <v>43180</v>
      </c>
      <c r="C206" t="s">
        <v>135</v>
      </c>
      <c r="D206" t="s">
        <v>18</v>
      </c>
      <c r="E206" t="s">
        <v>70</v>
      </c>
    </row>
    <row r="207" spans="1:5" x14ac:dyDescent="0.25">
      <c r="A207" t="s">
        <v>417</v>
      </c>
      <c r="B207" s="1">
        <v>43118</v>
      </c>
      <c r="C207" t="s">
        <v>418</v>
      </c>
      <c r="D207" t="s">
        <v>38</v>
      </c>
      <c r="E207" t="s">
        <v>52</v>
      </c>
    </row>
    <row r="208" spans="1:5" x14ac:dyDescent="0.25">
      <c r="A208" t="s">
        <v>419</v>
      </c>
      <c r="B208" s="1">
        <v>43412</v>
      </c>
      <c r="C208" t="s">
        <v>312</v>
      </c>
      <c r="D208" t="s">
        <v>14</v>
      </c>
      <c r="E208" t="s">
        <v>25</v>
      </c>
    </row>
    <row r="209" spans="1:5" x14ac:dyDescent="0.25">
      <c r="A209" t="s">
        <v>420</v>
      </c>
      <c r="B209" s="1">
        <v>43218</v>
      </c>
      <c r="C209" t="s">
        <v>268</v>
      </c>
      <c r="D209" t="s">
        <v>102</v>
      </c>
      <c r="E209" t="s">
        <v>103</v>
      </c>
    </row>
    <row r="210" spans="1:5" x14ac:dyDescent="0.25">
      <c r="A210" t="s">
        <v>421</v>
      </c>
      <c r="B210" s="1">
        <v>43259</v>
      </c>
      <c r="C210" t="s">
        <v>223</v>
      </c>
      <c r="D210" t="s">
        <v>73</v>
      </c>
      <c r="E210" t="s">
        <v>74</v>
      </c>
    </row>
    <row r="211" spans="1:5" x14ac:dyDescent="0.25">
      <c r="A211" t="s">
        <v>422</v>
      </c>
      <c r="B211" s="1">
        <v>43145</v>
      </c>
      <c r="C211" t="s">
        <v>423</v>
      </c>
      <c r="D211" t="s">
        <v>102</v>
      </c>
      <c r="E211" t="s">
        <v>103</v>
      </c>
    </row>
    <row r="212" spans="1:5" x14ac:dyDescent="0.25">
      <c r="A212" t="s">
        <v>424</v>
      </c>
      <c r="B212" s="1">
        <v>43154</v>
      </c>
      <c r="C212" t="s">
        <v>314</v>
      </c>
      <c r="D212" t="s">
        <v>102</v>
      </c>
      <c r="E212" t="s">
        <v>103</v>
      </c>
    </row>
    <row r="213" spans="1:5" x14ac:dyDescent="0.25">
      <c r="A213" t="s">
        <v>425</v>
      </c>
      <c r="B213" s="1">
        <v>43169</v>
      </c>
      <c r="C213" t="s">
        <v>426</v>
      </c>
      <c r="D213" t="s">
        <v>55</v>
      </c>
      <c r="E213" t="s">
        <v>56</v>
      </c>
    </row>
    <row r="214" spans="1:5" x14ac:dyDescent="0.25">
      <c r="A214" t="s">
        <v>427</v>
      </c>
      <c r="B214" s="1">
        <v>43388</v>
      </c>
      <c r="C214" t="s">
        <v>323</v>
      </c>
      <c r="D214" t="s">
        <v>18</v>
      </c>
      <c r="E214" t="s">
        <v>70</v>
      </c>
    </row>
    <row r="215" spans="1:5" x14ac:dyDescent="0.25">
      <c r="A215" t="s">
        <v>428</v>
      </c>
      <c r="B215" s="1">
        <v>43291</v>
      </c>
      <c r="C215" t="s">
        <v>429</v>
      </c>
      <c r="D215" t="s">
        <v>154</v>
      </c>
      <c r="E215" t="s">
        <v>155</v>
      </c>
    </row>
    <row r="216" spans="1:5" x14ac:dyDescent="0.25">
      <c r="A216" t="s">
        <v>430</v>
      </c>
      <c r="B216" s="1">
        <v>43104</v>
      </c>
      <c r="C216" t="s">
        <v>431</v>
      </c>
      <c r="D216" t="s">
        <v>14</v>
      </c>
      <c r="E216" t="s">
        <v>15</v>
      </c>
    </row>
    <row r="217" spans="1:5" x14ac:dyDescent="0.25">
      <c r="A217" t="s">
        <v>432</v>
      </c>
      <c r="B217" s="1">
        <v>43144</v>
      </c>
      <c r="C217" t="s">
        <v>433</v>
      </c>
      <c r="D217" t="s">
        <v>98</v>
      </c>
      <c r="E217" t="s">
        <v>168</v>
      </c>
    </row>
    <row r="218" spans="1:5" x14ac:dyDescent="0.25">
      <c r="A218" t="s">
        <v>434</v>
      </c>
      <c r="B218" s="1">
        <v>43231</v>
      </c>
      <c r="C218" t="s">
        <v>435</v>
      </c>
      <c r="D218" t="s">
        <v>18</v>
      </c>
      <c r="E218" t="s">
        <v>19</v>
      </c>
    </row>
    <row r="219" spans="1:5" x14ac:dyDescent="0.25">
      <c r="A219" t="s">
        <v>436</v>
      </c>
      <c r="B219" s="1">
        <v>43385</v>
      </c>
      <c r="C219" t="s">
        <v>437</v>
      </c>
      <c r="D219" t="s">
        <v>30</v>
      </c>
      <c r="E219" t="s">
        <v>31</v>
      </c>
    </row>
    <row r="220" spans="1:5" x14ac:dyDescent="0.25">
      <c r="A220" t="s">
        <v>438</v>
      </c>
      <c r="B220" s="1">
        <v>43216</v>
      </c>
      <c r="C220" t="s">
        <v>439</v>
      </c>
      <c r="D220" t="s">
        <v>191</v>
      </c>
      <c r="E220" t="s">
        <v>191</v>
      </c>
    </row>
    <row r="221" spans="1:5" x14ac:dyDescent="0.25">
      <c r="A221" t="s">
        <v>440</v>
      </c>
      <c r="B221" s="1">
        <v>43438</v>
      </c>
      <c r="C221" t="s">
        <v>441</v>
      </c>
      <c r="D221" t="s">
        <v>38</v>
      </c>
      <c r="E221" t="s">
        <v>39</v>
      </c>
    </row>
    <row r="222" spans="1:5" x14ac:dyDescent="0.25">
      <c r="A222" t="s">
        <v>442</v>
      </c>
      <c r="B222" s="1">
        <v>43262</v>
      </c>
      <c r="C222" t="s">
        <v>443</v>
      </c>
      <c r="D222" t="s">
        <v>14</v>
      </c>
      <c r="E222" t="s">
        <v>15</v>
      </c>
    </row>
    <row r="223" spans="1:5" x14ac:dyDescent="0.25">
      <c r="A223" t="s">
        <v>444</v>
      </c>
      <c r="B223" s="1">
        <v>43237</v>
      </c>
      <c r="C223" t="s">
        <v>445</v>
      </c>
      <c r="D223" t="s">
        <v>14</v>
      </c>
      <c r="E223" t="s">
        <v>15</v>
      </c>
    </row>
    <row r="224" spans="1:5" x14ac:dyDescent="0.25">
      <c r="A224" t="s">
        <v>446</v>
      </c>
      <c r="B224" s="1">
        <v>43216</v>
      </c>
      <c r="C224" t="s">
        <v>447</v>
      </c>
      <c r="D224" t="s">
        <v>79</v>
      </c>
      <c r="E224" t="s">
        <v>80</v>
      </c>
    </row>
    <row r="225" spans="1:5" x14ac:dyDescent="0.25">
      <c r="A225" t="s">
        <v>448</v>
      </c>
      <c r="B225" s="1">
        <v>43172</v>
      </c>
      <c r="C225" t="s">
        <v>225</v>
      </c>
      <c r="D225" t="s">
        <v>14</v>
      </c>
      <c r="E225" t="s">
        <v>15</v>
      </c>
    </row>
    <row r="226" spans="1:5" x14ac:dyDescent="0.25">
      <c r="A226" t="s">
        <v>449</v>
      </c>
      <c r="B226" s="1">
        <v>43162</v>
      </c>
      <c r="C226" t="s">
        <v>447</v>
      </c>
      <c r="D226" t="s">
        <v>79</v>
      </c>
      <c r="E226" t="s">
        <v>80</v>
      </c>
    </row>
    <row r="227" spans="1:5" x14ac:dyDescent="0.25">
      <c r="A227" t="s">
        <v>450</v>
      </c>
      <c r="B227" s="1">
        <v>43345</v>
      </c>
      <c r="C227" t="s">
        <v>451</v>
      </c>
      <c r="D227" t="s">
        <v>18</v>
      </c>
      <c r="E227" t="s">
        <v>19</v>
      </c>
    </row>
    <row r="228" spans="1:5" x14ac:dyDescent="0.25">
      <c r="A228" t="s">
        <v>452</v>
      </c>
      <c r="B228" s="1">
        <v>43320</v>
      </c>
      <c r="C228" t="s">
        <v>453</v>
      </c>
      <c r="D228" t="s">
        <v>30</v>
      </c>
      <c r="E228" t="s">
        <v>31</v>
      </c>
    </row>
    <row r="229" spans="1:5" x14ac:dyDescent="0.25">
      <c r="A229" t="s">
        <v>454</v>
      </c>
      <c r="B229" s="1">
        <v>43208</v>
      </c>
      <c r="C229" t="s">
        <v>163</v>
      </c>
      <c r="D229" t="s">
        <v>30</v>
      </c>
      <c r="E229" t="s">
        <v>31</v>
      </c>
    </row>
    <row r="230" spans="1:5" x14ac:dyDescent="0.25">
      <c r="A230" t="s">
        <v>455</v>
      </c>
      <c r="B230" s="1">
        <v>43118</v>
      </c>
      <c r="C230" t="s">
        <v>456</v>
      </c>
      <c r="D230" t="s">
        <v>138</v>
      </c>
      <c r="E230" t="s">
        <v>139</v>
      </c>
    </row>
    <row r="231" spans="1:5" x14ac:dyDescent="0.25">
      <c r="A231" t="s">
        <v>457</v>
      </c>
      <c r="B231" s="1">
        <v>43345</v>
      </c>
      <c r="C231" t="s">
        <v>418</v>
      </c>
      <c r="D231" t="s">
        <v>14</v>
      </c>
      <c r="E231" t="s">
        <v>15</v>
      </c>
    </row>
    <row r="232" spans="1:5" x14ac:dyDescent="0.25">
      <c r="A232" t="s">
        <v>458</v>
      </c>
      <c r="B232" s="1">
        <v>43208</v>
      </c>
      <c r="C232" t="s">
        <v>459</v>
      </c>
      <c r="D232" t="s">
        <v>38</v>
      </c>
      <c r="E232" t="s">
        <v>52</v>
      </c>
    </row>
    <row r="233" spans="1:5" x14ac:dyDescent="0.25">
      <c r="A233" t="s">
        <v>460</v>
      </c>
      <c r="B233" s="1">
        <v>43262</v>
      </c>
      <c r="C233" t="s">
        <v>461</v>
      </c>
      <c r="D233" t="s">
        <v>18</v>
      </c>
      <c r="E233" t="s">
        <v>19</v>
      </c>
    </row>
    <row r="234" spans="1:5" x14ac:dyDescent="0.25">
      <c r="A234" t="s">
        <v>462</v>
      </c>
      <c r="B234" s="1">
        <v>43398</v>
      </c>
      <c r="C234" t="s">
        <v>463</v>
      </c>
      <c r="D234" t="s">
        <v>95</v>
      </c>
      <c r="E234" t="s">
        <v>67</v>
      </c>
    </row>
    <row r="235" spans="1:5" x14ac:dyDescent="0.25">
      <c r="A235" t="s">
        <v>464</v>
      </c>
      <c r="B235" s="1">
        <v>43154</v>
      </c>
      <c r="C235" t="s">
        <v>41</v>
      </c>
      <c r="D235" t="s">
        <v>14</v>
      </c>
      <c r="E235" t="s">
        <v>15</v>
      </c>
    </row>
    <row r="236" spans="1:5" x14ac:dyDescent="0.25">
      <c r="A236" t="s">
        <v>465</v>
      </c>
      <c r="B236" s="1">
        <v>43290</v>
      </c>
      <c r="C236" t="s">
        <v>466</v>
      </c>
      <c r="D236" t="s">
        <v>102</v>
      </c>
      <c r="E236" t="s">
        <v>103</v>
      </c>
    </row>
    <row r="237" spans="1:5" x14ac:dyDescent="0.25">
      <c r="A237" t="s">
        <v>467</v>
      </c>
      <c r="B237" s="1">
        <v>43132</v>
      </c>
      <c r="C237" t="s">
        <v>210</v>
      </c>
      <c r="D237" t="s">
        <v>9</v>
      </c>
      <c r="E237" t="s">
        <v>9</v>
      </c>
    </row>
    <row r="238" spans="1:5" x14ac:dyDescent="0.25">
      <c r="A238" t="s">
        <v>468</v>
      </c>
      <c r="B238" s="1">
        <v>43408</v>
      </c>
      <c r="C238" t="s">
        <v>469</v>
      </c>
      <c r="D238" t="s">
        <v>302</v>
      </c>
      <c r="E238" t="s">
        <v>303</v>
      </c>
    </row>
    <row r="239" spans="1:5" x14ac:dyDescent="0.25">
      <c r="A239" t="s">
        <v>470</v>
      </c>
      <c r="B239" s="1">
        <v>43410</v>
      </c>
      <c r="C239" t="s">
        <v>471</v>
      </c>
      <c r="D239" t="s">
        <v>79</v>
      </c>
      <c r="E239" t="s">
        <v>80</v>
      </c>
    </row>
    <row r="240" spans="1:5" x14ac:dyDescent="0.25">
      <c r="A240" t="s">
        <v>472</v>
      </c>
      <c r="B240" s="1">
        <v>43358</v>
      </c>
      <c r="C240" t="s">
        <v>473</v>
      </c>
      <c r="D240" t="s">
        <v>14</v>
      </c>
      <c r="E240" t="s">
        <v>15</v>
      </c>
    </row>
    <row r="241" spans="1:5" x14ac:dyDescent="0.25">
      <c r="A241" t="s">
        <v>474</v>
      </c>
      <c r="B241" s="1">
        <v>43210</v>
      </c>
      <c r="C241" t="s">
        <v>475</v>
      </c>
      <c r="D241" t="s">
        <v>18</v>
      </c>
      <c r="E241" t="s">
        <v>70</v>
      </c>
    </row>
    <row r="242" spans="1:5" x14ac:dyDescent="0.25">
      <c r="A242" t="s">
        <v>476</v>
      </c>
      <c r="B242" s="1">
        <v>43135</v>
      </c>
      <c r="C242" t="s">
        <v>477</v>
      </c>
      <c r="D242" t="s">
        <v>9</v>
      </c>
      <c r="E242" t="s">
        <v>9</v>
      </c>
    </row>
    <row r="243" spans="1:5" x14ac:dyDescent="0.25">
      <c r="A243" t="s">
        <v>478</v>
      </c>
      <c r="B243" s="1">
        <v>43254</v>
      </c>
      <c r="C243" t="s">
        <v>479</v>
      </c>
      <c r="D243" t="s">
        <v>102</v>
      </c>
      <c r="E243" t="s">
        <v>103</v>
      </c>
    </row>
    <row r="244" spans="1:5" x14ac:dyDescent="0.25">
      <c r="A244" t="s">
        <v>480</v>
      </c>
      <c r="B244" s="1">
        <v>43303</v>
      </c>
      <c r="C244" t="s">
        <v>481</v>
      </c>
      <c r="D244" t="s">
        <v>18</v>
      </c>
      <c r="E244" t="s">
        <v>19</v>
      </c>
    </row>
    <row r="245" spans="1:5" x14ac:dyDescent="0.25">
      <c r="A245" t="s">
        <v>482</v>
      </c>
      <c r="B245" s="1">
        <v>43145</v>
      </c>
      <c r="C245" t="s">
        <v>127</v>
      </c>
      <c r="D245" t="s">
        <v>128</v>
      </c>
      <c r="E245" t="s">
        <v>129</v>
      </c>
    </row>
    <row r="246" spans="1:5" x14ac:dyDescent="0.25">
      <c r="A246" t="s">
        <v>483</v>
      </c>
      <c r="B246" s="1">
        <v>43336</v>
      </c>
      <c r="C246" t="s">
        <v>63</v>
      </c>
      <c r="D246" t="s">
        <v>191</v>
      </c>
      <c r="E246" t="s">
        <v>191</v>
      </c>
    </row>
    <row r="247" spans="1:5" x14ac:dyDescent="0.25">
      <c r="A247" t="s">
        <v>484</v>
      </c>
      <c r="B247" s="1">
        <v>43378</v>
      </c>
      <c r="C247" t="s">
        <v>485</v>
      </c>
      <c r="D247" t="s">
        <v>102</v>
      </c>
      <c r="E247" t="s">
        <v>103</v>
      </c>
    </row>
    <row r="248" spans="1:5" x14ac:dyDescent="0.25">
      <c r="A248" t="s">
        <v>486</v>
      </c>
      <c r="B248" s="1">
        <v>43330</v>
      </c>
      <c r="C248" t="s">
        <v>487</v>
      </c>
      <c r="D248" t="s">
        <v>55</v>
      </c>
      <c r="E248" t="s">
        <v>56</v>
      </c>
    </row>
    <row r="249" spans="1:5" x14ac:dyDescent="0.25">
      <c r="A249" t="s">
        <v>488</v>
      </c>
      <c r="B249" s="1">
        <v>43147</v>
      </c>
      <c r="C249" t="s">
        <v>43</v>
      </c>
      <c r="D249" t="s">
        <v>55</v>
      </c>
      <c r="E249" t="s">
        <v>56</v>
      </c>
    </row>
    <row r="250" spans="1:5" x14ac:dyDescent="0.25">
      <c r="A250" t="s">
        <v>489</v>
      </c>
      <c r="B250" s="1">
        <v>43217</v>
      </c>
      <c r="C250" t="s">
        <v>396</v>
      </c>
      <c r="D250" t="s">
        <v>98</v>
      </c>
      <c r="E250" t="s">
        <v>168</v>
      </c>
    </row>
    <row r="251" spans="1:5" x14ac:dyDescent="0.25">
      <c r="A251" t="s">
        <v>490</v>
      </c>
      <c r="B251" s="1">
        <v>43365</v>
      </c>
      <c r="C251" t="s">
        <v>487</v>
      </c>
      <c r="D251" t="s">
        <v>5</v>
      </c>
      <c r="E251" t="s">
        <v>118</v>
      </c>
    </row>
    <row r="252" spans="1:5" x14ac:dyDescent="0.25">
      <c r="A252" t="s">
        <v>491</v>
      </c>
      <c r="B252" s="1">
        <v>43179</v>
      </c>
      <c r="C252" t="s">
        <v>445</v>
      </c>
      <c r="D252" t="s">
        <v>14</v>
      </c>
      <c r="E252" t="s">
        <v>15</v>
      </c>
    </row>
    <row r="253" spans="1:5" x14ac:dyDescent="0.25">
      <c r="A253" t="s">
        <v>492</v>
      </c>
      <c r="B253" s="1">
        <v>43140</v>
      </c>
      <c r="C253" t="s">
        <v>312</v>
      </c>
      <c r="D253" t="s">
        <v>154</v>
      </c>
      <c r="E253" t="s">
        <v>155</v>
      </c>
    </row>
    <row r="254" spans="1:5" x14ac:dyDescent="0.25">
      <c r="A254" t="s">
        <v>493</v>
      </c>
      <c r="B254" s="1">
        <v>43185</v>
      </c>
      <c r="C254" t="s">
        <v>392</v>
      </c>
      <c r="D254" t="s">
        <v>59</v>
      </c>
      <c r="E254" t="s">
        <v>60</v>
      </c>
    </row>
    <row r="255" spans="1:5" x14ac:dyDescent="0.25">
      <c r="A255" t="s">
        <v>494</v>
      </c>
      <c r="B255" s="1">
        <v>43207</v>
      </c>
      <c r="C255" t="s">
        <v>495</v>
      </c>
      <c r="D255" t="s">
        <v>79</v>
      </c>
      <c r="E255" t="s">
        <v>80</v>
      </c>
    </row>
    <row r="256" spans="1:5" x14ac:dyDescent="0.25">
      <c r="A256" t="s">
        <v>496</v>
      </c>
      <c r="B256" s="1">
        <v>43130</v>
      </c>
      <c r="C256" t="s">
        <v>410</v>
      </c>
      <c r="D256" t="s">
        <v>9</v>
      </c>
      <c r="E256" t="s">
        <v>9</v>
      </c>
    </row>
    <row r="257" spans="1:5" x14ac:dyDescent="0.25">
      <c r="A257" t="s">
        <v>497</v>
      </c>
      <c r="B257" s="1">
        <v>43343</v>
      </c>
      <c r="C257" t="s">
        <v>498</v>
      </c>
      <c r="D257" t="s">
        <v>138</v>
      </c>
      <c r="E257" t="s">
        <v>139</v>
      </c>
    </row>
    <row r="258" spans="1:5" x14ac:dyDescent="0.25">
      <c r="A258" t="s">
        <v>499</v>
      </c>
      <c r="B258" s="1">
        <v>43131</v>
      </c>
      <c r="C258" t="s">
        <v>500</v>
      </c>
      <c r="D258" t="s">
        <v>9</v>
      </c>
      <c r="E258" t="s">
        <v>9</v>
      </c>
    </row>
    <row r="259" spans="1:5" x14ac:dyDescent="0.25">
      <c r="A259" t="s">
        <v>501</v>
      </c>
      <c r="B259" s="1">
        <v>43404</v>
      </c>
      <c r="C259" t="s">
        <v>502</v>
      </c>
      <c r="D259" t="s">
        <v>102</v>
      </c>
      <c r="E259" t="s">
        <v>103</v>
      </c>
    </row>
    <row r="260" spans="1:5" x14ac:dyDescent="0.25">
      <c r="A260" t="s">
        <v>503</v>
      </c>
      <c r="B260" s="1">
        <v>43239</v>
      </c>
      <c r="C260" t="s">
        <v>113</v>
      </c>
      <c r="D260" t="s">
        <v>18</v>
      </c>
      <c r="E260" t="s">
        <v>19</v>
      </c>
    </row>
    <row r="261" spans="1:5" x14ac:dyDescent="0.25">
      <c r="A261" t="s">
        <v>504</v>
      </c>
      <c r="B261" s="1">
        <v>43152</v>
      </c>
      <c r="C261" t="s">
        <v>27</v>
      </c>
      <c r="D261" t="s">
        <v>14</v>
      </c>
      <c r="E261" t="s">
        <v>25</v>
      </c>
    </row>
    <row r="262" spans="1:5" x14ac:dyDescent="0.25">
      <c r="A262" t="s">
        <v>505</v>
      </c>
      <c r="B262" s="1">
        <v>43113</v>
      </c>
      <c r="C262" t="s">
        <v>506</v>
      </c>
      <c r="D262" t="s">
        <v>38</v>
      </c>
      <c r="E262" t="s">
        <v>52</v>
      </c>
    </row>
    <row r="263" spans="1:5" x14ac:dyDescent="0.25">
      <c r="A263" t="s">
        <v>507</v>
      </c>
      <c r="B263" s="1">
        <v>43439</v>
      </c>
      <c r="C263" t="s">
        <v>386</v>
      </c>
      <c r="D263" t="s">
        <v>14</v>
      </c>
      <c r="E263" t="s">
        <v>15</v>
      </c>
    </row>
    <row r="264" spans="1:5" x14ac:dyDescent="0.25">
      <c r="A264" t="s">
        <v>508</v>
      </c>
      <c r="B264" s="1">
        <v>43141</v>
      </c>
      <c r="C264" t="s">
        <v>509</v>
      </c>
      <c r="D264" t="s">
        <v>5</v>
      </c>
      <c r="E264" t="s">
        <v>118</v>
      </c>
    </row>
    <row r="265" spans="1:5" x14ac:dyDescent="0.25">
      <c r="A265" t="s">
        <v>510</v>
      </c>
      <c r="B265" s="1">
        <v>43428</v>
      </c>
      <c r="C265" t="s">
        <v>511</v>
      </c>
      <c r="D265" t="s">
        <v>66</v>
      </c>
      <c r="E265" t="s">
        <v>173</v>
      </c>
    </row>
    <row r="266" spans="1:5" x14ac:dyDescent="0.25">
      <c r="A266" t="s">
        <v>512</v>
      </c>
      <c r="B266" s="1">
        <v>43453</v>
      </c>
      <c r="C266" t="s">
        <v>513</v>
      </c>
      <c r="D266" t="s">
        <v>66</v>
      </c>
      <c r="E266" t="s">
        <v>173</v>
      </c>
    </row>
    <row r="267" spans="1:5" x14ac:dyDescent="0.25">
      <c r="A267" t="s">
        <v>514</v>
      </c>
      <c r="B267" s="1">
        <v>43367</v>
      </c>
      <c r="C267" t="s">
        <v>515</v>
      </c>
      <c r="D267" t="s">
        <v>302</v>
      </c>
      <c r="E267" t="s">
        <v>303</v>
      </c>
    </row>
    <row r="268" spans="1:5" x14ac:dyDescent="0.25">
      <c r="A268" t="s">
        <v>516</v>
      </c>
      <c r="B268" s="1">
        <v>43139</v>
      </c>
      <c r="C268" t="s">
        <v>241</v>
      </c>
      <c r="D268" t="s">
        <v>9</v>
      </c>
      <c r="E268" t="s">
        <v>9</v>
      </c>
    </row>
    <row r="269" spans="1:5" x14ac:dyDescent="0.25">
      <c r="A269" t="s">
        <v>517</v>
      </c>
      <c r="B269" s="1">
        <v>43221</v>
      </c>
      <c r="C269" t="s">
        <v>518</v>
      </c>
      <c r="D269" t="s">
        <v>18</v>
      </c>
      <c r="E269" t="s">
        <v>19</v>
      </c>
    </row>
    <row r="270" spans="1:5" x14ac:dyDescent="0.25">
      <c r="A270" t="s">
        <v>519</v>
      </c>
      <c r="B270" s="1">
        <v>43402</v>
      </c>
      <c r="C270" t="s">
        <v>520</v>
      </c>
      <c r="D270" t="s">
        <v>14</v>
      </c>
      <c r="E270" t="s">
        <v>15</v>
      </c>
    </row>
    <row r="271" spans="1:5" x14ac:dyDescent="0.25">
      <c r="A271" t="s">
        <v>521</v>
      </c>
      <c r="B271" s="1">
        <v>43202</v>
      </c>
      <c r="C271" t="s">
        <v>65</v>
      </c>
      <c r="D271" t="s">
        <v>66</v>
      </c>
      <c r="E271" t="s">
        <v>67</v>
      </c>
    </row>
    <row r="272" spans="1:5" x14ac:dyDescent="0.25">
      <c r="A272" t="s">
        <v>522</v>
      </c>
      <c r="B272" s="1">
        <v>43383</v>
      </c>
      <c r="C272" t="s">
        <v>523</v>
      </c>
      <c r="D272" t="s">
        <v>18</v>
      </c>
      <c r="E272" t="s">
        <v>19</v>
      </c>
    </row>
    <row r="273" spans="1:5" x14ac:dyDescent="0.25">
      <c r="A273" t="s">
        <v>524</v>
      </c>
      <c r="B273" s="1">
        <v>43407</v>
      </c>
      <c r="C273" t="s">
        <v>525</v>
      </c>
      <c r="D273" t="s">
        <v>14</v>
      </c>
      <c r="E273" t="s">
        <v>15</v>
      </c>
    </row>
    <row r="274" spans="1:5" x14ac:dyDescent="0.25">
      <c r="A274" t="s">
        <v>526</v>
      </c>
      <c r="B274" s="1">
        <v>43150</v>
      </c>
      <c r="C274" t="s">
        <v>527</v>
      </c>
      <c r="D274" t="s">
        <v>191</v>
      </c>
      <c r="E274" t="s">
        <v>191</v>
      </c>
    </row>
    <row r="275" spans="1:5" x14ac:dyDescent="0.25">
      <c r="A275" t="s">
        <v>528</v>
      </c>
      <c r="B275" s="1">
        <v>43349</v>
      </c>
      <c r="C275" t="s">
        <v>223</v>
      </c>
      <c r="D275" t="s">
        <v>73</v>
      </c>
      <c r="E275" t="s">
        <v>74</v>
      </c>
    </row>
    <row r="276" spans="1:5" x14ac:dyDescent="0.25">
      <c r="A276" t="s">
        <v>529</v>
      </c>
      <c r="B276" s="1">
        <v>43428</v>
      </c>
      <c r="C276" t="s">
        <v>530</v>
      </c>
      <c r="D276" t="s">
        <v>5</v>
      </c>
      <c r="E276" t="s">
        <v>22</v>
      </c>
    </row>
    <row r="277" spans="1:5" x14ac:dyDescent="0.25">
      <c r="A277" t="s">
        <v>531</v>
      </c>
      <c r="B277" s="1">
        <v>43236</v>
      </c>
      <c r="C277" t="s">
        <v>92</v>
      </c>
      <c r="D277" t="s">
        <v>102</v>
      </c>
      <c r="E277" t="s">
        <v>103</v>
      </c>
    </row>
    <row r="278" spans="1:5" x14ac:dyDescent="0.25">
      <c r="A278" t="s">
        <v>532</v>
      </c>
      <c r="B278" s="1">
        <v>43456</v>
      </c>
      <c r="C278" t="s">
        <v>533</v>
      </c>
      <c r="D278" t="s">
        <v>18</v>
      </c>
      <c r="E278" t="s">
        <v>19</v>
      </c>
    </row>
    <row r="279" spans="1:5" x14ac:dyDescent="0.25">
      <c r="A279" t="s">
        <v>534</v>
      </c>
      <c r="B279" s="1">
        <v>43122</v>
      </c>
      <c r="C279" t="s">
        <v>255</v>
      </c>
      <c r="D279" t="s">
        <v>18</v>
      </c>
      <c r="E279" t="s">
        <v>19</v>
      </c>
    </row>
    <row r="280" spans="1:5" x14ac:dyDescent="0.25">
      <c r="A280" t="s">
        <v>535</v>
      </c>
      <c r="B280" s="1">
        <v>43174</v>
      </c>
      <c r="C280" t="s">
        <v>141</v>
      </c>
      <c r="D280" t="s">
        <v>79</v>
      </c>
      <c r="E280" t="s">
        <v>80</v>
      </c>
    </row>
    <row r="281" spans="1:5" x14ac:dyDescent="0.25">
      <c r="A281" t="s">
        <v>536</v>
      </c>
      <c r="B281" s="1">
        <v>43421</v>
      </c>
      <c r="C281" t="s">
        <v>196</v>
      </c>
      <c r="D281" t="s">
        <v>302</v>
      </c>
      <c r="E281" t="s">
        <v>303</v>
      </c>
    </row>
    <row r="282" spans="1:5" x14ac:dyDescent="0.25">
      <c r="A282" t="s">
        <v>537</v>
      </c>
      <c r="B282" s="1">
        <v>43279</v>
      </c>
      <c r="C282" t="s">
        <v>538</v>
      </c>
      <c r="D282" t="s">
        <v>18</v>
      </c>
      <c r="E282" t="s">
        <v>19</v>
      </c>
    </row>
    <row r="283" spans="1:5" x14ac:dyDescent="0.25">
      <c r="A283" t="s">
        <v>539</v>
      </c>
      <c r="B283" s="1">
        <v>43237</v>
      </c>
      <c r="C283" t="s">
        <v>540</v>
      </c>
      <c r="D283" t="s">
        <v>154</v>
      </c>
      <c r="E283" t="s">
        <v>155</v>
      </c>
    </row>
    <row r="284" spans="1:5" x14ac:dyDescent="0.25">
      <c r="A284" t="s">
        <v>541</v>
      </c>
      <c r="B284" s="1">
        <v>43324</v>
      </c>
      <c r="C284" t="s">
        <v>542</v>
      </c>
      <c r="D284" t="s">
        <v>98</v>
      </c>
      <c r="E284" t="s">
        <v>168</v>
      </c>
    </row>
    <row r="285" spans="1:5" x14ac:dyDescent="0.25">
      <c r="A285" t="s">
        <v>543</v>
      </c>
      <c r="B285" s="1">
        <v>43342</v>
      </c>
      <c r="C285" t="s">
        <v>115</v>
      </c>
      <c r="D285" t="s">
        <v>98</v>
      </c>
      <c r="E285" t="s">
        <v>168</v>
      </c>
    </row>
    <row r="286" spans="1:5" x14ac:dyDescent="0.25">
      <c r="A286" t="s">
        <v>544</v>
      </c>
      <c r="B286" s="1">
        <v>43419</v>
      </c>
      <c r="C286" t="s">
        <v>545</v>
      </c>
      <c r="D286" t="s">
        <v>5</v>
      </c>
      <c r="E286" t="s">
        <v>118</v>
      </c>
    </row>
    <row r="287" spans="1:5" x14ac:dyDescent="0.25">
      <c r="A287" t="s">
        <v>546</v>
      </c>
      <c r="B287" s="1">
        <v>43170</v>
      </c>
      <c r="C287" t="s">
        <v>547</v>
      </c>
      <c r="D287" t="s">
        <v>66</v>
      </c>
      <c r="E287" t="s">
        <v>67</v>
      </c>
    </row>
    <row r="288" spans="1:5" x14ac:dyDescent="0.25">
      <c r="A288" t="s">
        <v>548</v>
      </c>
      <c r="B288" s="1">
        <v>43381</v>
      </c>
      <c r="C288" t="s">
        <v>549</v>
      </c>
      <c r="D288" t="s">
        <v>55</v>
      </c>
      <c r="E288" t="s">
        <v>56</v>
      </c>
    </row>
    <row r="289" spans="1:5" x14ac:dyDescent="0.25">
      <c r="A289" t="s">
        <v>550</v>
      </c>
      <c r="B289" s="1">
        <v>43443</v>
      </c>
      <c r="C289" t="s">
        <v>346</v>
      </c>
      <c r="D289" t="s">
        <v>66</v>
      </c>
      <c r="E289" t="s">
        <v>173</v>
      </c>
    </row>
    <row r="290" spans="1:5" x14ac:dyDescent="0.25">
      <c r="A290" t="s">
        <v>551</v>
      </c>
      <c r="B290" s="1">
        <v>43184</v>
      </c>
      <c r="C290" t="s">
        <v>552</v>
      </c>
      <c r="D290" t="s">
        <v>73</v>
      </c>
      <c r="E290" t="s">
        <v>74</v>
      </c>
    </row>
    <row r="291" spans="1:5" x14ac:dyDescent="0.25">
      <c r="A291" t="s">
        <v>553</v>
      </c>
      <c r="B291" s="1">
        <v>43228</v>
      </c>
      <c r="C291" t="s">
        <v>554</v>
      </c>
      <c r="D291" t="s">
        <v>191</v>
      </c>
      <c r="E291" t="s">
        <v>191</v>
      </c>
    </row>
    <row r="292" spans="1:5" x14ac:dyDescent="0.25">
      <c r="A292" t="s">
        <v>555</v>
      </c>
      <c r="B292" s="1">
        <v>43140</v>
      </c>
      <c r="C292" t="s">
        <v>556</v>
      </c>
      <c r="D292" t="s">
        <v>128</v>
      </c>
      <c r="E292" t="s">
        <v>129</v>
      </c>
    </row>
    <row r="293" spans="1:5" x14ac:dyDescent="0.25">
      <c r="A293" t="s">
        <v>557</v>
      </c>
      <c r="B293" s="1">
        <v>43374</v>
      </c>
      <c r="C293" t="s">
        <v>558</v>
      </c>
      <c r="D293" t="s">
        <v>38</v>
      </c>
      <c r="E293" t="s">
        <v>52</v>
      </c>
    </row>
    <row r="294" spans="1:5" x14ac:dyDescent="0.25">
      <c r="A294" t="s">
        <v>559</v>
      </c>
      <c r="B294" s="1">
        <v>43465</v>
      </c>
      <c r="C294" t="s">
        <v>223</v>
      </c>
      <c r="D294" t="s">
        <v>5</v>
      </c>
      <c r="E294" t="s">
        <v>118</v>
      </c>
    </row>
    <row r="295" spans="1:5" x14ac:dyDescent="0.25">
      <c r="A295" t="s">
        <v>560</v>
      </c>
      <c r="B295" s="1">
        <v>43131</v>
      </c>
      <c r="C295" t="s">
        <v>561</v>
      </c>
      <c r="D295" t="s">
        <v>18</v>
      </c>
      <c r="E295" t="s">
        <v>19</v>
      </c>
    </row>
    <row r="296" spans="1:5" x14ac:dyDescent="0.25">
      <c r="A296" t="s">
        <v>562</v>
      </c>
      <c r="B296" s="1">
        <v>43134</v>
      </c>
      <c r="C296" t="s">
        <v>563</v>
      </c>
      <c r="D296" t="s">
        <v>9</v>
      </c>
      <c r="E296" t="s">
        <v>9</v>
      </c>
    </row>
    <row r="297" spans="1:5" x14ac:dyDescent="0.25">
      <c r="A297" t="s">
        <v>564</v>
      </c>
      <c r="B297" s="1">
        <v>43210</v>
      </c>
      <c r="C297" t="s">
        <v>27</v>
      </c>
      <c r="D297" t="s">
        <v>14</v>
      </c>
      <c r="E297" t="s">
        <v>25</v>
      </c>
    </row>
    <row r="298" spans="1:5" x14ac:dyDescent="0.25">
      <c r="A298" t="s">
        <v>565</v>
      </c>
      <c r="B298" s="1">
        <v>43288</v>
      </c>
      <c r="C298" t="s">
        <v>566</v>
      </c>
      <c r="D298" t="s">
        <v>98</v>
      </c>
      <c r="E298" t="s">
        <v>168</v>
      </c>
    </row>
    <row r="299" spans="1:5" x14ac:dyDescent="0.25">
      <c r="A299" t="s">
        <v>567</v>
      </c>
      <c r="B299" s="1">
        <v>43125</v>
      </c>
      <c r="C299" t="s">
        <v>568</v>
      </c>
      <c r="D299" t="s">
        <v>66</v>
      </c>
      <c r="E299" t="s">
        <v>173</v>
      </c>
    </row>
    <row r="300" spans="1:5" x14ac:dyDescent="0.25">
      <c r="A300" t="s">
        <v>569</v>
      </c>
      <c r="B300" s="1">
        <v>43175</v>
      </c>
      <c r="C300" t="s">
        <v>570</v>
      </c>
      <c r="D300" t="s">
        <v>98</v>
      </c>
      <c r="E300" t="s">
        <v>168</v>
      </c>
    </row>
    <row r="301" spans="1:5" x14ac:dyDescent="0.25">
      <c r="A301" t="s">
        <v>571</v>
      </c>
      <c r="B301" s="1">
        <v>43297</v>
      </c>
      <c r="C301" t="s">
        <v>572</v>
      </c>
      <c r="D301" t="s">
        <v>95</v>
      </c>
      <c r="E301" t="s">
        <v>67</v>
      </c>
    </row>
    <row r="302" spans="1:5" x14ac:dyDescent="0.25">
      <c r="A302" t="s">
        <v>573</v>
      </c>
      <c r="B302" s="1">
        <v>43419</v>
      </c>
      <c r="C302" t="s">
        <v>574</v>
      </c>
      <c r="D302" t="s">
        <v>73</v>
      </c>
      <c r="E302" t="s">
        <v>74</v>
      </c>
    </row>
    <row r="303" spans="1:5" x14ac:dyDescent="0.25">
      <c r="A303" t="s">
        <v>575</v>
      </c>
      <c r="B303" s="1">
        <v>43134</v>
      </c>
      <c r="C303" t="s">
        <v>576</v>
      </c>
      <c r="D303" t="s">
        <v>18</v>
      </c>
      <c r="E303" t="s">
        <v>19</v>
      </c>
    </row>
    <row r="304" spans="1:5" x14ac:dyDescent="0.25">
      <c r="A304" t="s">
        <v>577</v>
      </c>
      <c r="B304" s="1">
        <v>43313</v>
      </c>
      <c r="C304" t="s">
        <v>312</v>
      </c>
      <c r="D304" t="s">
        <v>18</v>
      </c>
      <c r="E304" t="s">
        <v>19</v>
      </c>
    </row>
    <row r="305" spans="1:5" x14ac:dyDescent="0.25">
      <c r="A305" t="s">
        <v>578</v>
      </c>
      <c r="B305" s="1">
        <v>43160</v>
      </c>
      <c r="C305" t="s">
        <v>301</v>
      </c>
      <c r="D305" t="s">
        <v>302</v>
      </c>
      <c r="E305" t="s">
        <v>303</v>
      </c>
    </row>
    <row r="306" spans="1:5" x14ac:dyDescent="0.25">
      <c r="A306" t="s">
        <v>579</v>
      </c>
      <c r="B306" s="1">
        <v>43127</v>
      </c>
      <c r="C306" t="s">
        <v>473</v>
      </c>
      <c r="D306" t="s">
        <v>38</v>
      </c>
      <c r="E306" t="s">
        <v>39</v>
      </c>
    </row>
    <row r="307" spans="1:5" x14ac:dyDescent="0.25">
      <c r="A307" t="s">
        <v>580</v>
      </c>
      <c r="B307" s="1">
        <v>43446</v>
      </c>
      <c r="C307" t="s">
        <v>581</v>
      </c>
      <c r="D307" t="s">
        <v>9</v>
      </c>
      <c r="E307" t="s">
        <v>9</v>
      </c>
    </row>
    <row r="308" spans="1:5" x14ac:dyDescent="0.25">
      <c r="A308" t="s">
        <v>582</v>
      </c>
      <c r="B308" s="1">
        <v>43107</v>
      </c>
      <c r="C308" t="s">
        <v>583</v>
      </c>
      <c r="D308" t="s">
        <v>79</v>
      </c>
      <c r="E308" t="s">
        <v>80</v>
      </c>
    </row>
    <row r="309" spans="1:5" x14ac:dyDescent="0.25">
      <c r="A309" t="s">
        <v>584</v>
      </c>
      <c r="B309" s="1">
        <v>43367</v>
      </c>
      <c r="C309" t="s">
        <v>547</v>
      </c>
      <c r="D309" t="s">
        <v>59</v>
      </c>
      <c r="E309" t="s">
        <v>60</v>
      </c>
    </row>
    <row r="310" spans="1:5" x14ac:dyDescent="0.25">
      <c r="A310" t="s">
        <v>585</v>
      </c>
      <c r="B310" s="1">
        <v>43158</v>
      </c>
      <c r="C310" t="s">
        <v>586</v>
      </c>
      <c r="D310" t="s">
        <v>95</v>
      </c>
      <c r="E310" t="s">
        <v>67</v>
      </c>
    </row>
    <row r="311" spans="1:5" x14ac:dyDescent="0.25">
      <c r="A311" t="s">
        <v>587</v>
      </c>
      <c r="B311" s="1">
        <v>43269</v>
      </c>
      <c r="C311" t="s">
        <v>588</v>
      </c>
      <c r="D311" t="s">
        <v>138</v>
      </c>
      <c r="E311" t="s">
        <v>139</v>
      </c>
    </row>
    <row r="312" spans="1:5" x14ac:dyDescent="0.25">
      <c r="A312" t="s">
        <v>589</v>
      </c>
      <c r="B312" s="1">
        <v>43118</v>
      </c>
      <c r="C312" t="s">
        <v>223</v>
      </c>
      <c r="D312" t="s">
        <v>30</v>
      </c>
      <c r="E312" t="s">
        <v>31</v>
      </c>
    </row>
    <row r="313" spans="1:5" x14ac:dyDescent="0.25">
      <c r="A313" t="s">
        <v>590</v>
      </c>
      <c r="B313" s="1">
        <v>43154</v>
      </c>
      <c r="C313" t="s">
        <v>257</v>
      </c>
      <c r="D313" t="s">
        <v>18</v>
      </c>
      <c r="E313" t="s">
        <v>19</v>
      </c>
    </row>
    <row r="314" spans="1:5" x14ac:dyDescent="0.25">
      <c r="A314" t="s">
        <v>591</v>
      </c>
      <c r="B314" s="1">
        <v>43459</v>
      </c>
      <c r="C314" t="s">
        <v>592</v>
      </c>
      <c r="D314" t="s">
        <v>66</v>
      </c>
      <c r="E314" t="s">
        <v>173</v>
      </c>
    </row>
    <row r="315" spans="1:5" x14ac:dyDescent="0.25">
      <c r="A315" t="s">
        <v>593</v>
      </c>
      <c r="B315" s="1">
        <v>43110</v>
      </c>
      <c r="C315" t="s">
        <v>594</v>
      </c>
      <c r="D315" t="s">
        <v>14</v>
      </c>
      <c r="E315" t="s">
        <v>25</v>
      </c>
    </row>
    <row r="316" spans="1:5" x14ac:dyDescent="0.25">
      <c r="A316" t="s">
        <v>595</v>
      </c>
      <c r="B316" s="1">
        <v>43300</v>
      </c>
      <c r="C316" t="s">
        <v>111</v>
      </c>
      <c r="D316" t="s">
        <v>18</v>
      </c>
      <c r="E316" t="s">
        <v>19</v>
      </c>
    </row>
    <row r="317" spans="1:5" x14ac:dyDescent="0.25">
      <c r="A317" t="s">
        <v>596</v>
      </c>
      <c r="B317" s="1">
        <v>43150</v>
      </c>
      <c r="C317" t="s">
        <v>392</v>
      </c>
      <c r="D317" t="s">
        <v>59</v>
      </c>
      <c r="E317" t="s">
        <v>60</v>
      </c>
    </row>
    <row r="318" spans="1:5" x14ac:dyDescent="0.25">
      <c r="A318" t="s">
        <v>597</v>
      </c>
      <c r="B318" s="1">
        <v>43269</v>
      </c>
      <c r="C318" t="s">
        <v>598</v>
      </c>
      <c r="D318" t="s">
        <v>98</v>
      </c>
      <c r="E318" t="s">
        <v>168</v>
      </c>
    </row>
    <row r="319" spans="1:5" x14ac:dyDescent="0.25">
      <c r="A319" t="s">
        <v>599</v>
      </c>
      <c r="B319" s="1">
        <v>43241</v>
      </c>
      <c r="C319" t="s">
        <v>600</v>
      </c>
      <c r="D319" t="s">
        <v>73</v>
      </c>
      <c r="E319" t="s">
        <v>74</v>
      </c>
    </row>
    <row r="320" spans="1:5" x14ac:dyDescent="0.25">
      <c r="A320" t="s">
        <v>601</v>
      </c>
      <c r="B320" s="1">
        <v>43139</v>
      </c>
      <c r="C320" t="s">
        <v>602</v>
      </c>
      <c r="D320" t="s">
        <v>98</v>
      </c>
      <c r="E320" t="s">
        <v>168</v>
      </c>
    </row>
    <row r="321" spans="1:5" x14ac:dyDescent="0.25">
      <c r="A321" t="s">
        <v>603</v>
      </c>
      <c r="B321" s="1">
        <v>43201</v>
      </c>
      <c r="C321" t="s">
        <v>552</v>
      </c>
      <c r="D321" t="s">
        <v>73</v>
      </c>
      <c r="E321" t="s">
        <v>74</v>
      </c>
    </row>
    <row r="322" spans="1:5" x14ac:dyDescent="0.25">
      <c r="A322" t="s">
        <v>604</v>
      </c>
      <c r="B322" s="1">
        <v>43444</v>
      </c>
      <c r="C322" t="s">
        <v>605</v>
      </c>
      <c r="D322" t="s">
        <v>38</v>
      </c>
      <c r="E322" t="s">
        <v>39</v>
      </c>
    </row>
    <row r="323" spans="1:5" x14ac:dyDescent="0.25">
      <c r="A323" t="s">
        <v>606</v>
      </c>
      <c r="B323" s="1">
        <v>43212</v>
      </c>
      <c r="C323" t="s">
        <v>266</v>
      </c>
      <c r="D323" t="s">
        <v>138</v>
      </c>
      <c r="E323" t="s">
        <v>139</v>
      </c>
    </row>
    <row r="324" spans="1:5" x14ac:dyDescent="0.25">
      <c r="A324" t="s">
        <v>607</v>
      </c>
      <c r="B324" s="1">
        <v>43289</v>
      </c>
      <c r="C324" t="s">
        <v>608</v>
      </c>
      <c r="D324" t="s">
        <v>138</v>
      </c>
      <c r="E324" t="s">
        <v>139</v>
      </c>
    </row>
    <row r="325" spans="1:5" x14ac:dyDescent="0.25">
      <c r="A325" t="s">
        <v>609</v>
      </c>
      <c r="B325" s="1">
        <v>43186</v>
      </c>
      <c r="C325" t="s">
        <v>163</v>
      </c>
      <c r="D325" t="s">
        <v>30</v>
      </c>
      <c r="E325" t="s">
        <v>31</v>
      </c>
    </row>
    <row r="326" spans="1:5" x14ac:dyDescent="0.25">
      <c r="A326" t="s">
        <v>610</v>
      </c>
      <c r="B326" s="1">
        <v>43193</v>
      </c>
      <c r="C326" t="s">
        <v>433</v>
      </c>
      <c r="D326" t="s">
        <v>98</v>
      </c>
      <c r="E326" t="s">
        <v>168</v>
      </c>
    </row>
    <row r="327" spans="1:5" x14ac:dyDescent="0.25">
      <c r="A327" t="s">
        <v>611</v>
      </c>
      <c r="B327" s="1">
        <v>43396</v>
      </c>
      <c r="C327" t="s">
        <v>111</v>
      </c>
      <c r="D327" t="s">
        <v>18</v>
      </c>
      <c r="E327" t="s">
        <v>19</v>
      </c>
    </row>
    <row r="328" spans="1:5" x14ac:dyDescent="0.25">
      <c r="A328" t="s">
        <v>612</v>
      </c>
      <c r="B328" s="1">
        <v>43402</v>
      </c>
      <c r="C328" t="s">
        <v>613</v>
      </c>
      <c r="D328" t="s">
        <v>38</v>
      </c>
      <c r="E328" t="s">
        <v>52</v>
      </c>
    </row>
    <row r="329" spans="1:5" x14ac:dyDescent="0.25">
      <c r="A329" t="s">
        <v>614</v>
      </c>
      <c r="B329" s="1">
        <v>43150</v>
      </c>
      <c r="C329" t="s">
        <v>615</v>
      </c>
      <c r="D329" t="s">
        <v>302</v>
      </c>
      <c r="E329" t="s">
        <v>303</v>
      </c>
    </row>
    <row r="330" spans="1:5" x14ac:dyDescent="0.25">
      <c r="A330" t="s">
        <v>616</v>
      </c>
      <c r="B330" s="1">
        <v>43382</v>
      </c>
      <c r="C330" t="s">
        <v>617</v>
      </c>
      <c r="D330" t="s">
        <v>73</v>
      </c>
      <c r="E330" t="s">
        <v>74</v>
      </c>
    </row>
    <row r="331" spans="1:5" x14ac:dyDescent="0.25">
      <c r="A331" t="s">
        <v>618</v>
      </c>
      <c r="B331" s="1">
        <v>43445</v>
      </c>
      <c r="C331" t="s">
        <v>619</v>
      </c>
      <c r="D331" t="s">
        <v>9</v>
      </c>
      <c r="E331" t="s">
        <v>9</v>
      </c>
    </row>
    <row r="332" spans="1:5" x14ac:dyDescent="0.25">
      <c r="A332" t="s">
        <v>620</v>
      </c>
      <c r="B332" s="1">
        <v>43113</v>
      </c>
      <c r="C332" t="s">
        <v>621</v>
      </c>
      <c r="D332" t="s">
        <v>14</v>
      </c>
      <c r="E332" t="s">
        <v>25</v>
      </c>
    </row>
    <row r="333" spans="1:5" x14ac:dyDescent="0.25">
      <c r="A333" t="s">
        <v>622</v>
      </c>
      <c r="B333" s="1">
        <v>43186</v>
      </c>
      <c r="C333" t="s">
        <v>475</v>
      </c>
      <c r="D333" t="s">
        <v>18</v>
      </c>
      <c r="E333" t="s">
        <v>70</v>
      </c>
    </row>
    <row r="334" spans="1:5" x14ac:dyDescent="0.25">
      <c r="A334" t="s">
        <v>623</v>
      </c>
      <c r="B334" s="1">
        <v>43113</v>
      </c>
      <c r="C334" t="s">
        <v>624</v>
      </c>
      <c r="D334" t="s">
        <v>14</v>
      </c>
      <c r="E334" t="s">
        <v>15</v>
      </c>
    </row>
    <row r="335" spans="1:5" x14ac:dyDescent="0.25">
      <c r="A335" t="s">
        <v>625</v>
      </c>
      <c r="B335" s="1">
        <v>43138</v>
      </c>
      <c r="C335" t="s">
        <v>626</v>
      </c>
      <c r="D335" t="s">
        <v>9</v>
      </c>
      <c r="E335" t="s">
        <v>9</v>
      </c>
    </row>
    <row r="336" spans="1:5" x14ac:dyDescent="0.25">
      <c r="A336" t="s">
        <v>627</v>
      </c>
      <c r="B336" s="1">
        <v>43345</v>
      </c>
      <c r="C336" t="s">
        <v>628</v>
      </c>
      <c r="D336" t="s">
        <v>5</v>
      </c>
      <c r="E336" t="s">
        <v>118</v>
      </c>
    </row>
    <row r="337" spans="1:5" x14ac:dyDescent="0.25">
      <c r="A337" t="s">
        <v>629</v>
      </c>
      <c r="B337" s="1">
        <v>43235</v>
      </c>
      <c r="C337" t="s">
        <v>630</v>
      </c>
      <c r="D337" t="s">
        <v>138</v>
      </c>
      <c r="E337" t="s">
        <v>139</v>
      </c>
    </row>
    <row r="338" spans="1:5" x14ac:dyDescent="0.25">
      <c r="A338" t="s">
        <v>631</v>
      </c>
      <c r="B338" s="1">
        <v>43462</v>
      </c>
      <c r="C338" t="s">
        <v>632</v>
      </c>
      <c r="D338" t="s">
        <v>102</v>
      </c>
      <c r="E338" t="s">
        <v>103</v>
      </c>
    </row>
    <row r="339" spans="1:5" x14ac:dyDescent="0.25">
      <c r="A339" t="s">
        <v>633</v>
      </c>
      <c r="B339" s="1">
        <v>43431</v>
      </c>
      <c r="C339" t="s">
        <v>634</v>
      </c>
      <c r="D339" t="s">
        <v>38</v>
      </c>
      <c r="E339" t="s">
        <v>39</v>
      </c>
    </row>
    <row r="340" spans="1:5" x14ac:dyDescent="0.25">
      <c r="A340" t="s">
        <v>635</v>
      </c>
      <c r="B340" s="1">
        <v>43112</v>
      </c>
      <c r="C340" t="s">
        <v>636</v>
      </c>
      <c r="D340" t="s">
        <v>30</v>
      </c>
      <c r="E340" t="s">
        <v>31</v>
      </c>
    </row>
    <row r="341" spans="1:5" x14ac:dyDescent="0.25">
      <c r="A341" t="s">
        <v>637</v>
      </c>
      <c r="B341" s="1">
        <v>43175</v>
      </c>
      <c r="C341" t="s">
        <v>435</v>
      </c>
      <c r="D341" t="s">
        <v>18</v>
      </c>
      <c r="E341" t="s">
        <v>19</v>
      </c>
    </row>
    <row r="342" spans="1:5" x14ac:dyDescent="0.25">
      <c r="A342" t="s">
        <v>638</v>
      </c>
      <c r="B342" s="1">
        <v>43183</v>
      </c>
      <c r="C342" t="s">
        <v>43</v>
      </c>
      <c r="D342" t="s">
        <v>55</v>
      </c>
      <c r="E342" t="s">
        <v>56</v>
      </c>
    </row>
    <row r="343" spans="1:5" x14ac:dyDescent="0.25">
      <c r="A343" t="s">
        <v>639</v>
      </c>
      <c r="B343" s="1">
        <v>43301</v>
      </c>
      <c r="C343" t="s">
        <v>640</v>
      </c>
      <c r="D343" t="s">
        <v>79</v>
      </c>
      <c r="E343" t="s">
        <v>80</v>
      </c>
    </row>
    <row r="344" spans="1:5" x14ac:dyDescent="0.25">
      <c r="A344" t="s">
        <v>641</v>
      </c>
      <c r="B344" s="1">
        <v>43214</v>
      </c>
      <c r="C344" t="s">
        <v>253</v>
      </c>
      <c r="D344" t="s">
        <v>66</v>
      </c>
      <c r="E344" t="s">
        <v>67</v>
      </c>
    </row>
    <row r="345" spans="1:5" x14ac:dyDescent="0.25">
      <c r="A345" t="s">
        <v>642</v>
      </c>
      <c r="B345" s="1">
        <v>43248</v>
      </c>
      <c r="C345" t="s">
        <v>643</v>
      </c>
      <c r="D345" t="s">
        <v>38</v>
      </c>
      <c r="E345" t="s">
        <v>52</v>
      </c>
    </row>
    <row r="346" spans="1:5" x14ac:dyDescent="0.25">
      <c r="A346" t="s">
        <v>644</v>
      </c>
      <c r="B346" s="1">
        <v>43268</v>
      </c>
      <c r="C346" t="s">
        <v>645</v>
      </c>
      <c r="D346" t="s">
        <v>18</v>
      </c>
      <c r="E346" t="s">
        <v>19</v>
      </c>
    </row>
    <row r="347" spans="1:5" x14ac:dyDescent="0.25">
      <c r="A347" t="s">
        <v>646</v>
      </c>
      <c r="B347" s="1">
        <v>43134</v>
      </c>
      <c r="C347" t="s">
        <v>51</v>
      </c>
      <c r="D347" t="s">
        <v>98</v>
      </c>
      <c r="E347" t="s">
        <v>99</v>
      </c>
    </row>
    <row r="348" spans="1:5" x14ac:dyDescent="0.25">
      <c r="A348" t="s">
        <v>647</v>
      </c>
      <c r="B348" s="1">
        <v>43341</v>
      </c>
      <c r="C348" t="s">
        <v>648</v>
      </c>
      <c r="D348" t="s">
        <v>18</v>
      </c>
      <c r="E348" t="s">
        <v>70</v>
      </c>
    </row>
    <row r="349" spans="1:5" x14ac:dyDescent="0.25">
      <c r="A349" t="s">
        <v>649</v>
      </c>
      <c r="B349" s="1">
        <v>43438</v>
      </c>
      <c r="C349" t="s">
        <v>199</v>
      </c>
      <c r="D349" t="s">
        <v>98</v>
      </c>
      <c r="E349" t="s">
        <v>99</v>
      </c>
    </row>
    <row r="350" spans="1:5" x14ac:dyDescent="0.25">
      <c r="A350" t="s">
        <v>650</v>
      </c>
      <c r="B350" s="1">
        <v>43185</v>
      </c>
      <c r="C350" t="s">
        <v>527</v>
      </c>
      <c r="D350" t="s">
        <v>191</v>
      </c>
      <c r="E350" t="s">
        <v>191</v>
      </c>
    </row>
    <row r="351" spans="1:5" x14ac:dyDescent="0.25">
      <c r="A351" t="s">
        <v>651</v>
      </c>
      <c r="B351" s="1">
        <v>43356</v>
      </c>
      <c r="C351" t="s">
        <v>652</v>
      </c>
      <c r="D351" t="s">
        <v>30</v>
      </c>
      <c r="E351" t="s">
        <v>31</v>
      </c>
    </row>
    <row r="352" spans="1:5" x14ac:dyDescent="0.25">
      <c r="A352" t="s">
        <v>653</v>
      </c>
      <c r="B352" s="1">
        <v>43260</v>
      </c>
      <c r="C352" t="s">
        <v>654</v>
      </c>
      <c r="D352" t="s">
        <v>14</v>
      </c>
      <c r="E352" t="s">
        <v>15</v>
      </c>
    </row>
    <row r="353" spans="1:5" x14ac:dyDescent="0.25">
      <c r="A353" t="s">
        <v>655</v>
      </c>
      <c r="B353" s="1">
        <v>43315</v>
      </c>
      <c r="C353" t="s">
        <v>656</v>
      </c>
      <c r="D353" t="s">
        <v>95</v>
      </c>
      <c r="E353" t="s">
        <v>67</v>
      </c>
    </row>
    <row r="354" spans="1:5" x14ac:dyDescent="0.25">
      <c r="A354" t="s">
        <v>657</v>
      </c>
      <c r="B354" s="1">
        <v>43307</v>
      </c>
      <c r="C354" t="s">
        <v>658</v>
      </c>
      <c r="D354" t="s">
        <v>138</v>
      </c>
      <c r="E354" t="s">
        <v>139</v>
      </c>
    </row>
    <row r="355" spans="1:5" x14ac:dyDescent="0.25">
      <c r="A355" t="s">
        <v>659</v>
      </c>
      <c r="B355" s="1">
        <v>43224</v>
      </c>
      <c r="C355" t="s">
        <v>547</v>
      </c>
      <c r="D355" t="s">
        <v>66</v>
      </c>
      <c r="E355" t="s">
        <v>67</v>
      </c>
    </row>
    <row r="356" spans="1:5" x14ac:dyDescent="0.25">
      <c r="A356" t="s">
        <v>660</v>
      </c>
      <c r="B356" s="1">
        <v>43155</v>
      </c>
      <c r="C356" t="s">
        <v>63</v>
      </c>
      <c r="D356" t="s">
        <v>55</v>
      </c>
      <c r="E356" t="s">
        <v>56</v>
      </c>
    </row>
    <row r="357" spans="1:5" x14ac:dyDescent="0.25">
      <c r="A357" t="s">
        <v>661</v>
      </c>
      <c r="B357" s="1">
        <v>43276</v>
      </c>
      <c r="C357" t="s">
        <v>662</v>
      </c>
      <c r="D357" t="s">
        <v>14</v>
      </c>
      <c r="E357" t="s">
        <v>15</v>
      </c>
    </row>
    <row r="358" spans="1:5" x14ac:dyDescent="0.25">
      <c r="A358" t="s">
        <v>663</v>
      </c>
      <c r="B358" s="1">
        <v>43145</v>
      </c>
      <c r="C358" t="s">
        <v>361</v>
      </c>
      <c r="D358" t="s">
        <v>138</v>
      </c>
      <c r="E358" t="s">
        <v>139</v>
      </c>
    </row>
    <row r="359" spans="1:5" x14ac:dyDescent="0.25">
      <c r="A359" t="s">
        <v>664</v>
      </c>
      <c r="B359" s="1">
        <v>43280</v>
      </c>
      <c r="C359" t="s">
        <v>665</v>
      </c>
      <c r="D359" t="s">
        <v>14</v>
      </c>
      <c r="E359" t="s">
        <v>15</v>
      </c>
    </row>
    <row r="360" spans="1:5" x14ac:dyDescent="0.25">
      <c r="A360" t="s">
        <v>666</v>
      </c>
      <c r="B360" s="1">
        <v>43383</v>
      </c>
      <c r="C360" t="s">
        <v>667</v>
      </c>
      <c r="D360" t="s">
        <v>14</v>
      </c>
      <c r="E360" t="s">
        <v>15</v>
      </c>
    </row>
    <row r="361" spans="1:5" x14ac:dyDescent="0.25">
      <c r="A361" t="s">
        <v>668</v>
      </c>
      <c r="B361" s="1">
        <v>43389</v>
      </c>
      <c r="C361" t="s">
        <v>268</v>
      </c>
      <c r="D361" t="s">
        <v>138</v>
      </c>
      <c r="E361" t="s">
        <v>139</v>
      </c>
    </row>
    <row r="362" spans="1:5" x14ac:dyDescent="0.25">
      <c r="A362" t="s">
        <v>669</v>
      </c>
      <c r="B362" s="1">
        <v>43428</v>
      </c>
      <c r="C362" t="s">
        <v>342</v>
      </c>
      <c r="D362" t="s">
        <v>98</v>
      </c>
      <c r="E362" t="s">
        <v>99</v>
      </c>
    </row>
    <row r="363" spans="1:5" x14ac:dyDescent="0.25">
      <c r="A363" t="s">
        <v>670</v>
      </c>
      <c r="B363" s="1">
        <v>43244</v>
      </c>
      <c r="C363" t="s">
        <v>287</v>
      </c>
      <c r="D363" t="s">
        <v>59</v>
      </c>
      <c r="E363" t="s">
        <v>60</v>
      </c>
    </row>
    <row r="364" spans="1:5" x14ac:dyDescent="0.25">
      <c r="A364" t="s">
        <v>671</v>
      </c>
      <c r="B364" s="1">
        <v>43374</v>
      </c>
      <c r="C364" t="s">
        <v>672</v>
      </c>
      <c r="D364" t="s">
        <v>14</v>
      </c>
      <c r="E364" t="s">
        <v>25</v>
      </c>
    </row>
    <row r="365" spans="1:5" x14ac:dyDescent="0.25">
      <c r="A365" t="s">
        <v>673</v>
      </c>
      <c r="B365" s="1">
        <v>43101</v>
      </c>
      <c r="C365" t="s">
        <v>674</v>
      </c>
      <c r="D365" t="s">
        <v>55</v>
      </c>
      <c r="E365" t="s">
        <v>56</v>
      </c>
    </row>
    <row r="366" spans="1:5" x14ac:dyDescent="0.25">
      <c r="A366" t="s">
        <v>675</v>
      </c>
      <c r="B366" s="1">
        <v>43148</v>
      </c>
      <c r="C366" t="s">
        <v>552</v>
      </c>
      <c r="D366" t="s">
        <v>73</v>
      </c>
      <c r="E366" t="s">
        <v>74</v>
      </c>
    </row>
    <row r="367" spans="1:5" x14ac:dyDescent="0.25">
      <c r="A367" t="s">
        <v>676</v>
      </c>
      <c r="B367" s="1">
        <v>43175</v>
      </c>
      <c r="C367" t="s">
        <v>677</v>
      </c>
      <c r="D367" t="s">
        <v>14</v>
      </c>
      <c r="E367" t="s">
        <v>15</v>
      </c>
    </row>
    <row r="368" spans="1:5" x14ac:dyDescent="0.25">
      <c r="A368" t="s">
        <v>678</v>
      </c>
      <c r="B368" s="1">
        <v>43430</v>
      </c>
      <c r="C368" t="s">
        <v>679</v>
      </c>
      <c r="D368" t="s">
        <v>66</v>
      </c>
      <c r="E368" t="s">
        <v>173</v>
      </c>
    </row>
    <row r="369" spans="1:5" x14ac:dyDescent="0.25">
      <c r="A369" t="s">
        <v>680</v>
      </c>
      <c r="B369" s="1">
        <v>43438</v>
      </c>
      <c r="C369" t="s">
        <v>681</v>
      </c>
      <c r="D369" t="s">
        <v>18</v>
      </c>
      <c r="E369" t="s">
        <v>19</v>
      </c>
    </row>
    <row r="370" spans="1:5" x14ac:dyDescent="0.25">
      <c r="A370" t="s">
        <v>682</v>
      </c>
      <c r="B370" s="1">
        <v>43389</v>
      </c>
      <c r="C370" t="s">
        <v>683</v>
      </c>
      <c r="D370" t="s">
        <v>98</v>
      </c>
      <c r="E370" t="s">
        <v>168</v>
      </c>
    </row>
    <row r="371" spans="1:5" x14ac:dyDescent="0.25">
      <c r="A371" t="s">
        <v>684</v>
      </c>
      <c r="B371" s="1">
        <v>43437</v>
      </c>
      <c r="C371" t="s">
        <v>229</v>
      </c>
      <c r="D371" t="s">
        <v>38</v>
      </c>
      <c r="E371" t="s">
        <v>39</v>
      </c>
    </row>
    <row r="372" spans="1:5" x14ac:dyDescent="0.25">
      <c r="A372" t="s">
        <v>685</v>
      </c>
      <c r="B372" s="1">
        <v>43425</v>
      </c>
      <c r="C372" t="s">
        <v>686</v>
      </c>
      <c r="D372" t="s">
        <v>38</v>
      </c>
      <c r="E372" t="s">
        <v>39</v>
      </c>
    </row>
    <row r="373" spans="1:5" x14ac:dyDescent="0.25">
      <c r="A373" t="s">
        <v>687</v>
      </c>
      <c r="B373" s="1">
        <v>43216</v>
      </c>
      <c r="C373" t="s">
        <v>688</v>
      </c>
      <c r="D373" t="s">
        <v>18</v>
      </c>
      <c r="E373" t="s">
        <v>19</v>
      </c>
    </row>
    <row r="374" spans="1:5" x14ac:dyDescent="0.25">
      <c r="A374" t="s">
        <v>689</v>
      </c>
      <c r="B374" s="1">
        <v>43205</v>
      </c>
      <c r="C374" t="s">
        <v>527</v>
      </c>
      <c r="D374" t="s">
        <v>191</v>
      </c>
      <c r="E374" t="s">
        <v>191</v>
      </c>
    </row>
    <row r="375" spans="1:5" x14ac:dyDescent="0.25">
      <c r="A375" t="s">
        <v>690</v>
      </c>
      <c r="B375" s="1">
        <v>43123</v>
      </c>
      <c r="C375" t="s">
        <v>691</v>
      </c>
      <c r="D375" t="s">
        <v>98</v>
      </c>
      <c r="E375" t="s">
        <v>99</v>
      </c>
    </row>
    <row r="376" spans="1:5" x14ac:dyDescent="0.25">
      <c r="A376" t="s">
        <v>692</v>
      </c>
      <c r="B376" s="1">
        <v>43378</v>
      </c>
      <c r="C376" t="s">
        <v>196</v>
      </c>
      <c r="D376" t="s">
        <v>14</v>
      </c>
      <c r="E376" t="s">
        <v>15</v>
      </c>
    </row>
    <row r="377" spans="1:5" x14ac:dyDescent="0.25">
      <c r="A377" t="s">
        <v>693</v>
      </c>
      <c r="B377" s="1">
        <v>43419</v>
      </c>
      <c r="C377" t="s">
        <v>487</v>
      </c>
      <c r="D377" t="s">
        <v>128</v>
      </c>
      <c r="E377" t="s">
        <v>129</v>
      </c>
    </row>
    <row r="378" spans="1:5" x14ac:dyDescent="0.25">
      <c r="A378" t="s">
        <v>694</v>
      </c>
      <c r="B378" s="1">
        <v>43181</v>
      </c>
      <c r="C378" t="s">
        <v>695</v>
      </c>
      <c r="D378" t="s">
        <v>154</v>
      </c>
      <c r="E378" t="s">
        <v>155</v>
      </c>
    </row>
    <row r="379" spans="1:5" x14ac:dyDescent="0.25">
      <c r="A379" t="s">
        <v>696</v>
      </c>
      <c r="B379" s="1">
        <v>43380</v>
      </c>
      <c r="C379" t="s">
        <v>697</v>
      </c>
      <c r="D379" t="s">
        <v>5</v>
      </c>
      <c r="E379" t="s">
        <v>118</v>
      </c>
    </row>
    <row r="380" spans="1:5" x14ac:dyDescent="0.25">
      <c r="A380" t="s">
        <v>698</v>
      </c>
      <c r="B380" s="1">
        <v>43310</v>
      </c>
      <c r="C380" t="s">
        <v>251</v>
      </c>
      <c r="D380" t="s">
        <v>18</v>
      </c>
      <c r="E380" t="s">
        <v>19</v>
      </c>
    </row>
    <row r="381" spans="1:5" x14ac:dyDescent="0.25">
      <c r="A381" t="s">
        <v>699</v>
      </c>
      <c r="B381" s="1">
        <v>43428</v>
      </c>
      <c r="C381" t="s">
        <v>700</v>
      </c>
      <c r="D381" t="s">
        <v>98</v>
      </c>
      <c r="E381" t="s">
        <v>99</v>
      </c>
    </row>
    <row r="382" spans="1:5" x14ac:dyDescent="0.25">
      <c r="A382" t="s">
        <v>701</v>
      </c>
      <c r="B382" s="1">
        <v>43104</v>
      </c>
      <c r="C382" t="s">
        <v>702</v>
      </c>
      <c r="D382" t="s">
        <v>18</v>
      </c>
      <c r="E382" t="s">
        <v>19</v>
      </c>
    </row>
    <row r="383" spans="1:5" x14ac:dyDescent="0.25">
      <c r="A383" t="s">
        <v>703</v>
      </c>
      <c r="B383" s="1">
        <v>43451</v>
      </c>
      <c r="C383" t="s">
        <v>704</v>
      </c>
      <c r="D383" t="s">
        <v>9</v>
      </c>
      <c r="E383" t="s">
        <v>9</v>
      </c>
    </row>
    <row r="384" spans="1:5" x14ac:dyDescent="0.25">
      <c r="A384" t="s">
        <v>705</v>
      </c>
      <c r="B384" s="1">
        <v>43450</v>
      </c>
      <c r="C384" t="s">
        <v>706</v>
      </c>
      <c r="D384" t="s">
        <v>9</v>
      </c>
      <c r="E384" t="s">
        <v>9</v>
      </c>
    </row>
    <row r="385" spans="1:5" x14ac:dyDescent="0.25">
      <c r="A385" t="s">
        <v>707</v>
      </c>
      <c r="B385" s="1">
        <v>43393</v>
      </c>
      <c r="C385" t="s">
        <v>708</v>
      </c>
      <c r="D385" t="s">
        <v>18</v>
      </c>
      <c r="E385" t="s">
        <v>19</v>
      </c>
    </row>
    <row r="386" spans="1:5" x14ac:dyDescent="0.25">
      <c r="A386" t="s">
        <v>709</v>
      </c>
      <c r="B386" s="1">
        <v>43287</v>
      </c>
      <c r="C386" t="s">
        <v>451</v>
      </c>
      <c r="D386" t="s">
        <v>18</v>
      </c>
      <c r="E386" t="s">
        <v>70</v>
      </c>
    </row>
    <row r="387" spans="1:5" x14ac:dyDescent="0.25">
      <c r="A387" t="s">
        <v>710</v>
      </c>
      <c r="B387" s="1">
        <v>43419</v>
      </c>
      <c r="C387" t="s">
        <v>711</v>
      </c>
      <c r="D387" t="s">
        <v>14</v>
      </c>
      <c r="E387" t="s">
        <v>15</v>
      </c>
    </row>
    <row r="388" spans="1:5" x14ac:dyDescent="0.25">
      <c r="A388" t="s">
        <v>712</v>
      </c>
      <c r="B388" s="1">
        <v>43455</v>
      </c>
      <c r="C388" t="s">
        <v>439</v>
      </c>
      <c r="D388" t="s">
        <v>14</v>
      </c>
      <c r="E388" t="s">
        <v>15</v>
      </c>
    </row>
    <row r="389" spans="1:5" x14ac:dyDescent="0.25">
      <c r="A389" t="s">
        <v>713</v>
      </c>
      <c r="B389" s="1">
        <v>43164</v>
      </c>
      <c r="C389" t="s">
        <v>84</v>
      </c>
      <c r="D389" t="s">
        <v>18</v>
      </c>
      <c r="E389" t="s">
        <v>70</v>
      </c>
    </row>
    <row r="390" spans="1:5" x14ac:dyDescent="0.25">
      <c r="A390" t="s">
        <v>714</v>
      </c>
      <c r="B390" s="1">
        <v>43458</v>
      </c>
      <c r="C390" t="s">
        <v>715</v>
      </c>
      <c r="D390" t="s">
        <v>5</v>
      </c>
      <c r="E390" t="s">
        <v>22</v>
      </c>
    </row>
    <row r="391" spans="1:5" x14ac:dyDescent="0.25">
      <c r="A391" t="s">
        <v>716</v>
      </c>
      <c r="B391" s="1">
        <v>43275</v>
      </c>
      <c r="C391" t="s">
        <v>717</v>
      </c>
      <c r="D391" t="s">
        <v>5</v>
      </c>
      <c r="E391" t="s">
        <v>118</v>
      </c>
    </row>
    <row r="392" spans="1:5" x14ac:dyDescent="0.25">
      <c r="A392" t="s">
        <v>718</v>
      </c>
      <c r="B392" s="1">
        <v>43311</v>
      </c>
      <c r="C392" t="s">
        <v>719</v>
      </c>
      <c r="D392" t="s">
        <v>5</v>
      </c>
      <c r="E392" t="s">
        <v>118</v>
      </c>
    </row>
    <row r="393" spans="1:5" x14ac:dyDescent="0.25">
      <c r="A393" t="s">
        <v>720</v>
      </c>
      <c r="B393" s="1">
        <v>43277</v>
      </c>
      <c r="C393" t="s">
        <v>721</v>
      </c>
      <c r="D393" t="s">
        <v>18</v>
      </c>
      <c r="E393" t="s">
        <v>19</v>
      </c>
    </row>
    <row r="394" spans="1:5" x14ac:dyDescent="0.25">
      <c r="A394" t="s">
        <v>722</v>
      </c>
      <c r="B394" s="1">
        <v>43186</v>
      </c>
      <c r="C394" t="s">
        <v>459</v>
      </c>
      <c r="D394" t="s">
        <v>38</v>
      </c>
      <c r="E394" t="s">
        <v>52</v>
      </c>
    </row>
    <row r="395" spans="1:5" x14ac:dyDescent="0.25">
      <c r="A395" t="s">
        <v>723</v>
      </c>
      <c r="B395" s="1">
        <v>43182</v>
      </c>
      <c r="C395" t="s">
        <v>262</v>
      </c>
      <c r="D395" t="s">
        <v>5</v>
      </c>
      <c r="E395" t="s">
        <v>118</v>
      </c>
    </row>
    <row r="396" spans="1:5" x14ac:dyDescent="0.25">
      <c r="A396" t="s">
        <v>724</v>
      </c>
      <c r="B396" s="1">
        <v>43387</v>
      </c>
      <c r="C396" t="s">
        <v>725</v>
      </c>
      <c r="D396" t="s">
        <v>18</v>
      </c>
      <c r="E396" t="s">
        <v>19</v>
      </c>
    </row>
    <row r="397" spans="1:5" x14ac:dyDescent="0.25">
      <c r="A397" t="s">
        <v>726</v>
      </c>
      <c r="B397" s="1">
        <v>43407</v>
      </c>
      <c r="C397" t="s">
        <v>727</v>
      </c>
      <c r="D397" t="s">
        <v>66</v>
      </c>
      <c r="E397" t="s">
        <v>67</v>
      </c>
    </row>
    <row r="398" spans="1:5" x14ac:dyDescent="0.25">
      <c r="A398" t="s">
        <v>728</v>
      </c>
      <c r="B398" s="1">
        <v>43143</v>
      </c>
      <c r="C398" t="s">
        <v>159</v>
      </c>
      <c r="D398" t="s">
        <v>38</v>
      </c>
      <c r="E398" t="s">
        <v>52</v>
      </c>
    </row>
    <row r="399" spans="1:5" x14ac:dyDescent="0.25">
      <c r="A399" t="s">
        <v>729</v>
      </c>
      <c r="B399" s="1">
        <v>43214</v>
      </c>
      <c r="C399" t="s">
        <v>586</v>
      </c>
      <c r="D399" t="s">
        <v>95</v>
      </c>
      <c r="E399" t="s">
        <v>67</v>
      </c>
    </row>
    <row r="400" spans="1:5" x14ac:dyDescent="0.25">
      <c r="A400" t="s">
        <v>730</v>
      </c>
      <c r="B400" s="1">
        <v>43196</v>
      </c>
      <c r="C400" t="s">
        <v>423</v>
      </c>
      <c r="D400" t="s">
        <v>102</v>
      </c>
      <c r="E400" t="s">
        <v>103</v>
      </c>
    </row>
    <row r="401" spans="1:5" x14ac:dyDescent="0.25">
      <c r="A401" t="s">
        <v>731</v>
      </c>
      <c r="B401" s="1">
        <v>43322</v>
      </c>
      <c r="C401" t="s">
        <v>213</v>
      </c>
      <c r="D401" t="s">
        <v>14</v>
      </c>
      <c r="E401" t="s">
        <v>25</v>
      </c>
    </row>
    <row r="402" spans="1:5" x14ac:dyDescent="0.25">
      <c r="A402" t="s">
        <v>732</v>
      </c>
      <c r="B402" s="1">
        <v>43139</v>
      </c>
      <c r="C402" t="s">
        <v>733</v>
      </c>
      <c r="D402" t="s">
        <v>138</v>
      </c>
      <c r="E402" t="s">
        <v>139</v>
      </c>
    </row>
    <row r="403" spans="1:5" x14ac:dyDescent="0.25">
      <c r="A403" t="s">
        <v>734</v>
      </c>
      <c r="B403" s="1">
        <v>43407</v>
      </c>
      <c r="C403" t="s">
        <v>735</v>
      </c>
      <c r="D403" t="s">
        <v>18</v>
      </c>
      <c r="E403" t="s">
        <v>19</v>
      </c>
    </row>
    <row r="404" spans="1:5" x14ac:dyDescent="0.25">
      <c r="A404" t="s">
        <v>736</v>
      </c>
      <c r="B404" s="1">
        <v>43423</v>
      </c>
      <c r="C404" t="s">
        <v>737</v>
      </c>
      <c r="D404" t="s">
        <v>79</v>
      </c>
      <c r="E404" t="s">
        <v>80</v>
      </c>
    </row>
    <row r="405" spans="1:5" x14ac:dyDescent="0.25">
      <c r="A405" t="s">
        <v>738</v>
      </c>
      <c r="B405" s="1">
        <v>43175</v>
      </c>
      <c r="C405" t="s">
        <v>125</v>
      </c>
      <c r="D405" t="s">
        <v>14</v>
      </c>
      <c r="E405" t="s">
        <v>25</v>
      </c>
    </row>
    <row r="406" spans="1:5" x14ac:dyDescent="0.25">
      <c r="A406" t="s">
        <v>739</v>
      </c>
      <c r="B406" s="1">
        <v>43419</v>
      </c>
      <c r="C406" t="s">
        <v>740</v>
      </c>
      <c r="D406" t="s">
        <v>18</v>
      </c>
      <c r="E406" t="s">
        <v>19</v>
      </c>
    </row>
    <row r="407" spans="1:5" x14ac:dyDescent="0.25">
      <c r="A407" t="s">
        <v>741</v>
      </c>
      <c r="B407" s="1">
        <v>43156</v>
      </c>
      <c r="C407" t="s">
        <v>105</v>
      </c>
      <c r="D407" t="s">
        <v>73</v>
      </c>
      <c r="E407" t="s">
        <v>74</v>
      </c>
    </row>
    <row r="408" spans="1:5" x14ac:dyDescent="0.25">
      <c r="A408" t="s">
        <v>742</v>
      </c>
      <c r="B408" s="1">
        <v>43454</v>
      </c>
      <c r="C408" t="s">
        <v>743</v>
      </c>
      <c r="D408" t="s">
        <v>38</v>
      </c>
      <c r="E408" t="s">
        <v>39</v>
      </c>
    </row>
    <row r="409" spans="1:5" x14ac:dyDescent="0.25">
      <c r="A409" t="s">
        <v>744</v>
      </c>
      <c r="B409" s="1">
        <v>43186</v>
      </c>
      <c r="C409" t="s">
        <v>495</v>
      </c>
      <c r="D409" t="s">
        <v>79</v>
      </c>
      <c r="E409" t="s">
        <v>80</v>
      </c>
    </row>
    <row r="410" spans="1:5" x14ac:dyDescent="0.25">
      <c r="A410" t="s">
        <v>745</v>
      </c>
      <c r="B410" s="1">
        <v>43131</v>
      </c>
      <c r="C410" t="s">
        <v>746</v>
      </c>
      <c r="D410" t="s">
        <v>9</v>
      </c>
      <c r="E410" t="s">
        <v>9</v>
      </c>
    </row>
    <row r="411" spans="1:5" x14ac:dyDescent="0.25">
      <c r="A411" t="s">
        <v>747</v>
      </c>
      <c r="B411" s="1">
        <v>43445</v>
      </c>
      <c r="C411" t="s">
        <v>748</v>
      </c>
      <c r="D411" t="s">
        <v>9</v>
      </c>
      <c r="E411" t="s">
        <v>9</v>
      </c>
    </row>
    <row r="412" spans="1:5" x14ac:dyDescent="0.25">
      <c r="A412" t="s">
        <v>749</v>
      </c>
      <c r="B412" s="1">
        <v>43145</v>
      </c>
      <c r="C412" t="s">
        <v>695</v>
      </c>
      <c r="D412" t="s">
        <v>154</v>
      </c>
      <c r="E412" t="s">
        <v>155</v>
      </c>
    </row>
    <row r="413" spans="1:5" x14ac:dyDescent="0.25">
      <c r="A413" t="s">
        <v>750</v>
      </c>
      <c r="B413" s="1">
        <v>43220</v>
      </c>
      <c r="C413" t="s">
        <v>359</v>
      </c>
      <c r="D413" t="s">
        <v>14</v>
      </c>
      <c r="E413" t="s">
        <v>15</v>
      </c>
    </row>
    <row r="414" spans="1:5" x14ac:dyDescent="0.25">
      <c r="A414" t="s">
        <v>751</v>
      </c>
      <c r="B414" s="1">
        <v>43255</v>
      </c>
      <c r="C414" t="s">
        <v>752</v>
      </c>
      <c r="D414" t="s">
        <v>14</v>
      </c>
      <c r="E414" t="s">
        <v>15</v>
      </c>
    </row>
    <row r="415" spans="1:5" x14ac:dyDescent="0.25">
      <c r="A415" t="s">
        <v>753</v>
      </c>
      <c r="B415" s="1">
        <v>43299</v>
      </c>
      <c r="C415" t="s">
        <v>754</v>
      </c>
      <c r="D415" t="s">
        <v>14</v>
      </c>
      <c r="E415" t="s">
        <v>15</v>
      </c>
    </row>
    <row r="416" spans="1:5" x14ac:dyDescent="0.25">
      <c r="A416" t="s">
        <v>755</v>
      </c>
      <c r="B416" s="1">
        <v>43195</v>
      </c>
      <c r="C416" t="s">
        <v>361</v>
      </c>
      <c r="D416" t="s">
        <v>138</v>
      </c>
      <c r="E416" t="s">
        <v>139</v>
      </c>
    </row>
    <row r="417" spans="1:5" x14ac:dyDescent="0.25">
      <c r="A417" t="s">
        <v>756</v>
      </c>
      <c r="B417" s="1">
        <v>43367</v>
      </c>
      <c r="C417" t="s">
        <v>229</v>
      </c>
      <c r="D417" t="s">
        <v>14</v>
      </c>
      <c r="E417" t="s">
        <v>15</v>
      </c>
    </row>
    <row r="418" spans="1:5" x14ac:dyDescent="0.25">
      <c r="A418" t="s">
        <v>757</v>
      </c>
      <c r="B418" s="1">
        <v>43255</v>
      </c>
      <c r="C418" t="s">
        <v>473</v>
      </c>
      <c r="D418" t="s">
        <v>18</v>
      </c>
      <c r="E418" t="s">
        <v>19</v>
      </c>
    </row>
    <row r="419" spans="1:5" x14ac:dyDescent="0.25">
      <c r="A419" t="s">
        <v>758</v>
      </c>
      <c r="B419" s="1">
        <v>43104</v>
      </c>
      <c r="C419" t="s">
        <v>759</v>
      </c>
      <c r="D419" t="s">
        <v>14</v>
      </c>
      <c r="E419" t="s">
        <v>15</v>
      </c>
    </row>
    <row r="420" spans="1:5" x14ac:dyDescent="0.25">
      <c r="A420" t="s">
        <v>760</v>
      </c>
      <c r="B420" s="1">
        <v>43104</v>
      </c>
      <c r="C420" t="s">
        <v>761</v>
      </c>
      <c r="D420" t="s">
        <v>18</v>
      </c>
      <c r="E420" t="s">
        <v>19</v>
      </c>
    </row>
    <row r="421" spans="1:5" x14ac:dyDescent="0.25">
      <c r="A421" t="s">
        <v>762</v>
      </c>
      <c r="B421" s="1">
        <v>43133</v>
      </c>
      <c r="C421" t="s">
        <v>763</v>
      </c>
      <c r="D421" t="s">
        <v>9</v>
      </c>
      <c r="E421" t="s">
        <v>9</v>
      </c>
    </row>
    <row r="422" spans="1:5" x14ac:dyDescent="0.25">
      <c r="A422" t="s">
        <v>764</v>
      </c>
      <c r="B422" s="1">
        <v>43205</v>
      </c>
      <c r="C422" t="s">
        <v>615</v>
      </c>
      <c r="D422" t="s">
        <v>302</v>
      </c>
      <c r="E422" t="s">
        <v>303</v>
      </c>
    </row>
    <row r="423" spans="1:5" x14ac:dyDescent="0.25">
      <c r="A423" t="s">
        <v>765</v>
      </c>
      <c r="B423" s="1">
        <v>43153</v>
      </c>
      <c r="C423" t="s">
        <v>475</v>
      </c>
      <c r="D423" t="s">
        <v>18</v>
      </c>
      <c r="E423" t="s">
        <v>70</v>
      </c>
    </row>
    <row r="424" spans="1:5" x14ac:dyDescent="0.25">
      <c r="A424" t="s">
        <v>766</v>
      </c>
      <c r="B424" s="1">
        <v>43374</v>
      </c>
      <c r="C424" t="s">
        <v>767</v>
      </c>
      <c r="D424" t="s">
        <v>18</v>
      </c>
      <c r="E424" t="s">
        <v>70</v>
      </c>
    </row>
    <row r="425" spans="1:5" x14ac:dyDescent="0.25">
      <c r="A425" t="s">
        <v>768</v>
      </c>
      <c r="B425" s="1">
        <v>43402</v>
      </c>
      <c r="C425" t="s">
        <v>769</v>
      </c>
      <c r="D425" t="s">
        <v>18</v>
      </c>
      <c r="E425" t="s">
        <v>19</v>
      </c>
    </row>
    <row r="426" spans="1:5" x14ac:dyDescent="0.25">
      <c r="A426" t="s">
        <v>770</v>
      </c>
      <c r="B426" s="1">
        <v>43181</v>
      </c>
      <c r="C426" t="s">
        <v>433</v>
      </c>
      <c r="D426" t="s">
        <v>98</v>
      </c>
      <c r="E426" t="s">
        <v>168</v>
      </c>
    </row>
    <row r="427" spans="1:5" x14ac:dyDescent="0.25">
      <c r="A427" t="s">
        <v>771</v>
      </c>
      <c r="B427" s="1">
        <v>43105</v>
      </c>
      <c r="C427" t="s">
        <v>772</v>
      </c>
      <c r="D427" t="s">
        <v>66</v>
      </c>
      <c r="E427" t="s">
        <v>67</v>
      </c>
    </row>
    <row r="428" spans="1:5" x14ac:dyDescent="0.25">
      <c r="A428" t="s">
        <v>773</v>
      </c>
      <c r="B428" s="1">
        <v>43105</v>
      </c>
      <c r="C428" t="s">
        <v>431</v>
      </c>
      <c r="D428" t="s">
        <v>59</v>
      </c>
      <c r="E428" t="s">
        <v>60</v>
      </c>
    </row>
    <row r="429" spans="1:5" x14ac:dyDescent="0.25">
      <c r="A429" t="s">
        <v>774</v>
      </c>
      <c r="B429" s="1">
        <v>43292</v>
      </c>
      <c r="C429" t="s">
        <v>115</v>
      </c>
      <c r="D429" t="s">
        <v>128</v>
      </c>
      <c r="E429" t="s">
        <v>129</v>
      </c>
    </row>
    <row r="430" spans="1:5" x14ac:dyDescent="0.25">
      <c r="A430" t="s">
        <v>775</v>
      </c>
      <c r="B430" s="1">
        <v>43315</v>
      </c>
      <c r="C430" t="s">
        <v>776</v>
      </c>
      <c r="D430" t="s">
        <v>14</v>
      </c>
      <c r="E430" t="s">
        <v>15</v>
      </c>
    </row>
    <row r="431" spans="1:5" x14ac:dyDescent="0.25">
      <c r="A431" t="s">
        <v>777</v>
      </c>
      <c r="B431" s="1">
        <v>43339</v>
      </c>
      <c r="C431" t="s">
        <v>778</v>
      </c>
      <c r="D431" t="s">
        <v>38</v>
      </c>
      <c r="E431" t="s">
        <v>52</v>
      </c>
    </row>
    <row r="432" spans="1:5" x14ac:dyDescent="0.25">
      <c r="A432" t="s">
        <v>779</v>
      </c>
      <c r="B432" s="1">
        <v>43426</v>
      </c>
      <c r="C432" t="s">
        <v>636</v>
      </c>
      <c r="D432" t="s">
        <v>14</v>
      </c>
      <c r="E432" t="s">
        <v>15</v>
      </c>
    </row>
    <row r="433" spans="1:5" x14ac:dyDescent="0.25">
      <c r="A433" t="s">
        <v>780</v>
      </c>
      <c r="B433" s="1">
        <v>43428</v>
      </c>
      <c r="C433" t="s">
        <v>123</v>
      </c>
      <c r="D433" t="s">
        <v>18</v>
      </c>
      <c r="E433" t="s">
        <v>19</v>
      </c>
    </row>
    <row r="434" spans="1:5" x14ac:dyDescent="0.25">
      <c r="A434" t="s">
        <v>781</v>
      </c>
      <c r="B434" s="1">
        <v>43464</v>
      </c>
      <c r="C434" t="s">
        <v>782</v>
      </c>
      <c r="D434" t="s">
        <v>18</v>
      </c>
      <c r="E434" t="s">
        <v>19</v>
      </c>
    </row>
    <row r="435" spans="1:5" x14ac:dyDescent="0.25">
      <c r="A435" t="s">
        <v>783</v>
      </c>
      <c r="B435" s="1">
        <v>43180</v>
      </c>
      <c r="C435" t="s">
        <v>159</v>
      </c>
      <c r="D435" t="s">
        <v>38</v>
      </c>
      <c r="E435" t="s">
        <v>52</v>
      </c>
    </row>
    <row r="436" spans="1:5" x14ac:dyDescent="0.25">
      <c r="A436" t="s">
        <v>784</v>
      </c>
      <c r="B436" s="1">
        <v>43213</v>
      </c>
      <c r="C436" t="s">
        <v>257</v>
      </c>
      <c r="D436" t="s">
        <v>18</v>
      </c>
      <c r="E436" t="s">
        <v>19</v>
      </c>
    </row>
    <row r="437" spans="1:5" x14ac:dyDescent="0.25">
      <c r="A437" t="s">
        <v>785</v>
      </c>
      <c r="B437" s="1">
        <v>43106</v>
      </c>
      <c r="C437" t="s">
        <v>786</v>
      </c>
      <c r="D437" t="s">
        <v>191</v>
      </c>
      <c r="E437" t="s">
        <v>191</v>
      </c>
    </row>
    <row r="438" spans="1:5" x14ac:dyDescent="0.25">
      <c r="A438" t="s">
        <v>787</v>
      </c>
      <c r="B438" s="1">
        <v>43163</v>
      </c>
      <c r="C438" t="s">
        <v>688</v>
      </c>
      <c r="D438" t="s">
        <v>18</v>
      </c>
      <c r="E438" t="s">
        <v>19</v>
      </c>
    </row>
    <row r="439" spans="1:5" x14ac:dyDescent="0.25">
      <c r="A439" t="s">
        <v>788</v>
      </c>
      <c r="B439" s="1">
        <v>43176</v>
      </c>
      <c r="C439" t="s">
        <v>630</v>
      </c>
      <c r="D439" t="s">
        <v>138</v>
      </c>
      <c r="E439" t="s">
        <v>139</v>
      </c>
    </row>
    <row r="440" spans="1:5" x14ac:dyDescent="0.25">
      <c r="A440" t="s">
        <v>789</v>
      </c>
      <c r="B440" s="1">
        <v>43151</v>
      </c>
      <c r="C440" t="s">
        <v>495</v>
      </c>
      <c r="D440" t="s">
        <v>79</v>
      </c>
      <c r="E440" t="s">
        <v>80</v>
      </c>
    </row>
    <row r="441" spans="1:5" x14ac:dyDescent="0.25">
      <c r="A441" t="s">
        <v>790</v>
      </c>
      <c r="B441" s="1">
        <v>43119</v>
      </c>
      <c r="C441" t="s">
        <v>791</v>
      </c>
      <c r="D441" t="s">
        <v>14</v>
      </c>
      <c r="E441" t="s">
        <v>15</v>
      </c>
    </row>
    <row r="442" spans="1:5" x14ac:dyDescent="0.25">
      <c r="A442" t="s">
        <v>792</v>
      </c>
      <c r="B442" s="1">
        <v>43460</v>
      </c>
      <c r="C442" t="s">
        <v>793</v>
      </c>
      <c r="D442" t="s">
        <v>38</v>
      </c>
      <c r="E442" t="s">
        <v>39</v>
      </c>
    </row>
    <row r="443" spans="1:5" x14ac:dyDescent="0.25">
      <c r="A443" t="s">
        <v>794</v>
      </c>
      <c r="B443" s="1">
        <v>43420</v>
      </c>
      <c r="C443" t="s">
        <v>509</v>
      </c>
      <c r="D443" t="s">
        <v>59</v>
      </c>
      <c r="E443" t="s">
        <v>60</v>
      </c>
    </row>
    <row r="444" spans="1:5" x14ac:dyDescent="0.25">
      <c r="A444" t="s">
        <v>795</v>
      </c>
      <c r="B444" s="1">
        <v>43196</v>
      </c>
      <c r="C444" t="s">
        <v>695</v>
      </c>
      <c r="D444" t="s">
        <v>154</v>
      </c>
      <c r="E444" t="s">
        <v>155</v>
      </c>
    </row>
    <row r="445" spans="1:5" x14ac:dyDescent="0.25">
      <c r="A445" t="s">
        <v>796</v>
      </c>
      <c r="B445" s="1">
        <v>43351</v>
      </c>
      <c r="C445" t="s">
        <v>797</v>
      </c>
      <c r="D445" t="s">
        <v>95</v>
      </c>
      <c r="E445" t="s">
        <v>67</v>
      </c>
    </row>
    <row r="446" spans="1:5" x14ac:dyDescent="0.25">
      <c r="A446" t="s">
        <v>798</v>
      </c>
      <c r="B446" s="1">
        <v>43135</v>
      </c>
      <c r="C446" t="s">
        <v>799</v>
      </c>
      <c r="D446" t="s">
        <v>98</v>
      </c>
      <c r="E446" t="s">
        <v>99</v>
      </c>
    </row>
    <row r="447" spans="1:5" x14ac:dyDescent="0.25">
      <c r="A447" t="s">
        <v>800</v>
      </c>
      <c r="B447" s="1">
        <v>43174</v>
      </c>
      <c r="C447" t="s">
        <v>554</v>
      </c>
      <c r="D447" t="s">
        <v>191</v>
      </c>
      <c r="E447" t="s">
        <v>191</v>
      </c>
    </row>
    <row r="448" spans="1:5" x14ac:dyDescent="0.25">
      <c r="A448" t="s">
        <v>801</v>
      </c>
      <c r="B448" s="1">
        <v>43298</v>
      </c>
      <c r="C448" t="s">
        <v>802</v>
      </c>
      <c r="D448" t="s">
        <v>59</v>
      </c>
      <c r="E448" t="s">
        <v>60</v>
      </c>
    </row>
    <row r="449" spans="1:5" x14ac:dyDescent="0.25">
      <c r="A449" t="s">
        <v>803</v>
      </c>
      <c r="B449" s="1">
        <v>43352</v>
      </c>
      <c r="C449" t="s">
        <v>804</v>
      </c>
      <c r="D449" t="s">
        <v>14</v>
      </c>
      <c r="E449" t="s">
        <v>15</v>
      </c>
    </row>
    <row r="450" spans="1:5" x14ac:dyDescent="0.25">
      <c r="A450" t="s">
        <v>805</v>
      </c>
      <c r="B450" s="1">
        <v>43153</v>
      </c>
      <c r="C450" t="s">
        <v>372</v>
      </c>
      <c r="D450" t="s">
        <v>98</v>
      </c>
      <c r="E450" t="s">
        <v>168</v>
      </c>
    </row>
    <row r="451" spans="1:5" x14ac:dyDescent="0.25">
      <c r="A451" t="s">
        <v>806</v>
      </c>
      <c r="B451" s="1">
        <v>43281</v>
      </c>
      <c r="C451" t="s">
        <v>227</v>
      </c>
      <c r="D451" t="s">
        <v>18</v>
      </c>
      <c r="E451" t="s">
        <v>19</v>
      </c>
    </row>
    <row r="452" spans="1:5" x14ac:dyDescent="0.25">
      <c r="A452" t="s">
        <v>807</v>
      </c>
      <c r="B452" s="1">
        <v>43214</v>
      </c>
      <c r="C452" t="s">
        <v>63</v>
      </c>
      <c r="D452" t="s">
        <v>55</v>
      </c>
      <c r="E452" t="s">
        <v>56</v>
      </c>
    </row>
    <row r="453" spans="1:5" x14ac:dyDescent="0.25">
      <c r="A453" t="s">
        <v>808</v>
      </c>
      <c r="B453" s="1">
        <v>43309</v>
      </c>
      <c r="C453" t="s">
        <v>809</v>
      </c>
      <c r="D453" t="s">
        <v>14</v>
      </c>
      <c r="E453" t="s">
        <v>15</v>
      </c>
    </row>
    <row r="454" spans="1:5" x14ac:dyDescent="0.25">
      <c r="A454" t="s">
        <v>810</v>
      </c>
      <c r="B454" s="1">
        <v>43223</v>
      </c>
      <c r="C454" t="s">
        <v>291</v>
      </c>
      <c r="D454" t="s">
        <v>73</v>
      </c>
      <c r="E454" t="s">
        <v>74</v>
      </c>
    </row>
    <row r="455" spans="1:5" x14ac:dyDescent="0.25">
      <c r="A455" t="s">
        <v>811</v>
      </c>
      <c r="B455" s="1">
        <v>43366</v>
      </c>
      <c r="C455" t="s">
        <v>812</v>
      </c>
      <c r="D455" t="s">
        <v>55</v>
      </c>
      <c r="E455" t="s">
        <v>56</v>
      </c>
    </row>
    <row r="456" spans="1:5" x14ac:dyDescent="0.25">
      <c r="A456" t="s">
        <v>813</v>
      </c>
      <c r="B456" s="1">
        <v>43282</v>
      </c>
      <c r="C456" t="s">
        <v>814</v>
      </c>
      <c r="D456" t="s">
        <v>18</v>
      </c>
      <c r="E456" t="s">
        <v>19</v>
      </c>
    </row>
    <row r="457" spans="1:5" x14ac:dyDescent="0.25">
      <c r="A457" t="s">
        <v>815</v>
      </c>
      <c r="B457" s="1">
        <v>43449</v>
      </c>
      <c r="C457" t="s">
        <v>816</v>
      </c>
      <c r="D457" t="s">
        <v>18</v>
      </c>
      <c r="E457" t="s">
        <v>70</v>
      </c>
    </row>
    <row r="458" spans="1:5" x14ac:dyDescent="0.25">
      <c r="A458" t="s">
        <v>817</v>
      </c>
      <c r="B458" s="1">
        <v>43350</v>
      </c>
      <c r="C458" t="s">
        <v>818</v>
      </c>
      <c r="D458" t="s">
        <v>66</v>
      </c>
      <c r="E458" t="s">
        <v>67</v>
      </c>
    </row>
    <row r="459" spans="1:5" x14ac:dyDescent="0.25">
      <c r="A459" t="s">
        <v>819</v>
      </c>
      <c r="B459" s="1">
        <v>43159</v>
      </c>
      <c r="C459" t="s">
        <v>820</v>
      </c>
      <c r="D459" t="s">
        <v>59</v>
      </c>
      <c r="E459" t="s">
        <v>60</v>
      </c>
    </row>
    <row r="460" spans="1:5" x14ac:dyDescent="0.25">
      <c r="A460" t="s">
        <v>821</v>
      </c>
      <c r="B460" s="1">
        <v>43383</v>
      </c>
      <c r="C460" t="s">
        <v>241</v>
      </c>
      <c r="D460" t="s">
        <v>79</v>
      </c>
      <c r="E460" t="s">
        <v>80</v>
      </c>
    </row>
    <row r="461" spans="1:5" x14ac:dyDescent="0.25">
      <c r="A461" t="s">
        <v>822</v>
      </c>
      <c r="B461" s="1">
        <v>43391</v>
      </c>
      <c r="C461" t="s">
        <v>823</v>
      </c>
      <c r="D461" t="s">
        <v>102</v>
      </c>
      <c r="E461" t="s">
        <v>103</v>
      </c>
    </row>
    <row r="462" spans="1:5" x14ac:dyDescent="0.25">
      <c r="A462" t="s">
        <v>824</v>
      </c>
      <c r="B462" s="1">
        <v>43180</v>
      </c>
      <c r="C462" t="s">
        <v>825</v>
      </c>
      <c r="D462" t="s">
        <v>14</v>
      </c>
      <c r="E462" t="s">
        <v>25</v>
      </c>
    </row>
    <row r="463" spans="1:5" x14ac:dyDescent="0.25">
      <c r="A463" t="s">
        <v>826</v>
      </c>
      <c r="B463" s="1">
        <v>43358</v>
      </c>
      <c r="C463" t="s">
        <v>357</v>
      </c>
      <c r="D463" t="s">
        <v>18</v>
      </c>
      <c r="E463" t="s">
        <v>19</v>
      </c>
    </row>
    <row r="464" spans="1:5" x14ac:dyDescent="0.25">
      <c r="A464" t="s">
        <v>827</v>
      </c>
      <c r="B464" s="1">
        <v>43163</v>
      </c>
      <c r="C464" t="s">
        <v>327</v>
      </c>
      <c r="D464" t="s">
        <v>14</v>
      </c>
      <c r="E464" t="s">
        <v>15</v>
      </c>
    </row>
    <row r="465" spans="1:5" x14ac:dyDescent="0.25">
      <c r="A465" t="s">
        <v>828</v>
      </c>
      <c r="B465" s="1">
        <v>43266</v>
      </c>
      <c r="C465" t="s">
        <v>829</v>
      </c>
      <c r="D465" t="s">
        <v>18</v>
      </c>
      <c r="E465" t="s">
        <v>19</v>
      </c>
    </row>
    <row r="466" spans="1:5" x14ac:dyDescent="0.25">
      <c r="A466" t="s">
        <v>830</v>
      </c>
      <c r="B466" s="1">
        <v>43282</v>
      </c>
      <c r="C466" t="s">
        <v>831</v>
      </c>
      <c r="D466" t="s">
        <v>191</v>
      </c>
      <c r="E466" t="s">
        <v>191</v>
      </c>
    </row>
    <row r="467" spans="1:5" x14ac:dyDescent="0.25">
      <c r="A467" t="s">
        <v>832</v>
      </c>
      <c r="B467" s="1">
        <v>43312</v>
      </c>
      <c r="C467" t="s">
        <v>833</v>
      </c>
      <c r="D467" t="s">
        <v>14</v>
      </c>
      <c r="E467" t="s">
        <v>15</v>
      </c>
    </row>
    <row r="468" spans="1:5" x14ac:dyDescent="0.25">
      <c r="A468" t="s">
        <v>834</v>
      </c>
      <c r="B468" s="1">
        <v>43296</v>
      </c>
      <c r="C468" t="s">
        <v>835</v>
      </c>
      <c r="D468" t="s">
        <v>66</v>
      </c>
      <c r="E468" t="s">
        <v>67</v>
      </c>
    </row>
    <row r="469" spans="1:5" x14ac:dyDescent="0.25">
      <c r="A469" t="s">
        <v>836</v>
      </c>
      <c r="B469" s="1">
        <v>43445</v>
      </c>
      <c r="C469" t="s">
        <v>837</v>
      </c>
      <c r="D469" t="s">
        <v>18</v>
      </c>
      <c r="E469" t="s">
        <v>70</v>
      </c>
    </row>
    <row r="470" spans="1:5" x14ac:dyDescent="0.25">
      <c r="A470" t="s">
        <v>838</v>
      </c>
      <c r="B470" s="1">
        <v>43293</v>
      </c>
      <c r="C470" t="s">
        <v>645</v>
      </c>
      <c r="D470" t="s">
        <v>18</v>
      </c>
      <c r="E470" t="s">
        <v>19</v>
      </c>
    </row>
    <row r="471" spans="1:5" x14ac:dyDescent="0.25">
      <c r="A471" t="s">
        <v>839</v>
      </c>
      <c r="B471" s="1">
        <v>43144</v>
      </c>
      <c r="C471" t="s">
        <v>135</v>
      </c>
      <c r="D471" t="s">
        <v>18</v>
      </c>
      <c r="E471" t="s">
        <v>70</v>
      </c>
    </row>
    <row r="472" spans="1:5" x14ac:dyDescent="0.25">
      <c r="A472" t="s">
        <v>840</v>
      </c>
      <c r="B472" s="1">
        <v>43161</v>
      </c>
      <c r="C472" t="s">
        <v>439</v>
      </c>
      <c r="D472" t="s">
        <v>191</v>
      </c>
      <c r="E472" t="s">
        <v>191</v>
      </c>
    </row>
    <row r="473" spans="1:5" x14ac:dyDescent="0.25">
      <c r="A473" t="s">
        <v>841</v>
      </c>
      <c r="B473" s="1">
        <v>43225</v>
      </c>
      <c r="C473" t="s">
        <v>842</v>
      </c>
      <c r="D473" t="s">
        <v>95</v>
      </c>
      <c r="E473" t="s">
        <v>67</v>
      </c>
    </row>
    <row r="474" spans="1:5" x14ac:dyDescent="0.25">
      <c r="A474" t="s">
        <v>843</v>
      </c>
      <c r="B474" s="1">
        <v>43234</v>
      </c>
      <c r="C474" t="s">
        <v>570</v>
      </c>
      <c r="D474" t="s">
        <v>98</v>
      </c>
      <c r="E474" t="s">
        <v>168</v>
      </c>
    </row>
    <row r="475" spans="1:5" x14ac:dyDescent="0.25">
      <c r="A475" t="s">
        <v>844</v>
      </c>
      <c r="B475" s="1">
        <v>43248</v>
      </c>
      <c r="C475" t="s">
        <v>845</v>
      </c>
      <c r="D475" t="s">
        <v>30</v>
      </c>
      <c r="E475" t="s">
        <v>31</v>
      </c>
    </row>
    <row r="476" spans="1:5" x14ac:dyDescent="0.25">
      <c r="A476" t="s">
        <v>846</v>
      </c>
      <c r="B476" s="1">
        <v>43212</v>
      </c>
      <c r="C476" t="s">
        <v>314</v>
      </c>
      <c r="D476" t="s">
        <v>102</v>
      </c>
      <c r="E476" t="s">
        <v>103</v>
      </c>
    </row>
    <row r="477" spans="1:5" x14ac:dyDescent="0.25">
      <c r="A477" t="s">
        <v>847</v>
      </c>
      <c r="B477" s="1">
        <v>43432</v>
      </c>
      <c r="C477" t="s">
        <v>848</v>
      </c>
      <c r="D477" t="s">
        <v>14</v>
      </c>
      <c r="E477" t="s">
        <v>15</v>
      </c>
    </row>
    <row r="478" spans="1:5" x14ac:dyDescent="0.25">
      <c r="A478" t="s">
        <v>849</v>
      </c>
      <c r="B478" s="1">
        <v>43217</v>
      </c>
      <c r="C478" t="s">
        <v>137</v>
      </c>
      <c r="D478" t="s">
        <v>138</v>
      </c>
      <c r="E478" t="s">
        <v>139</v>
      </c>
    </row>
    <row r="479" spans="1:5" x14ac:dyDescent="0.25">
      <c r="A479" t="s">
        <v>850</v>
      </c>
      <c r="B479" s="1">
        <v>43405</v>
      </c>
      <c r="C479" t="s">
        <v>851</v>
      </c>
      <c r="D479" t="s">
        <v>14</v>
      </c>
      <c r="E479" t="s">
        <v>15</v>
      </c>
    </row>
    <row r="480" spans="1:5" x14ac:dyDescent="0.25">
      <c r="A480" t="s">
        <v>852</v>
      </c>
      <c r="B480" s="1">
        <v>43127</v>
      </c>
      <c r="C480" t="s">
        <v>227</v>
      </c>
      <c r="D480" t="s">
        <v>98</v>
      </c>
      <c r="E480" t="s">
        <v>99</v>
      </c>
    </row>
    <row r="481" spans="1:5" x14ac:dyDescent="0.25">
      <c r="A481" t="s">
        <v>853</v>
      </c>
      <c r="B481" s="1">
        <v>43144</v>
      </c>
      <c r="C481" t="s">
        <v>825</v>
      </c>
      <c r="D481" t="s">
        <v>14</v>
      </c>
      <c r="E481" t="s">
        <v>25</v>
      </c>
    </row>
    <row r="482" spans="1:5" x14ac:dyDescent="0.25">
      <c r="A482" t="s">
        <v>854</v>
      </c>
      <c r="B482" s="1">
        <v>43151</v>
      </c>
      <c r="C482" t="s">
        <v>459</v>
      </c>
      <c r="D482" t="s">
        <v>38</v>
      </c>
      <c r="E482" t="s">
        <v>52</v>
      </c>
    </row>
    <row r="483" spans="1:5" x14ac:dyDescent="0.25">
      <c r="A483" t="s">
        <v>855</v>
      </c>
      <c r="B483" s="1">
        <v>43178</v>
      </c>
      <c r="C483" t="s">
        <v>540</v>
      </c>
      <c r="D483" t="s">
        <v>154</v>
      </c>
      <c r="E483" t="s">
        <v>155</v>
      </c>
    </row>
    <row r="484" spans="1:5" x14ac:dyDescent="0.25">
      <c r="A484" t="s">
        <v>856</v>
      </c>
      <c r="B484" s="1">
        <v>43221</v>
      </c>
      <c r="C484" t="s">
        <v>426</v>
      </c>
      <c r="D484" t="s">
        <v>55</v>
      </c>
      <c r="E484" t="s">
        <v>56</v>
      </c>
    </row>
    <row r="485" spans="1:5" x14ac:dyDescent="0.25">
      <c r="A485" t="s">
        <v>857</v>
      </c>
      <c r="B485" s="1">
        <v>43253</v>
      </c>
      <c r="C485" t="s">
        <v>538</v>
      </c>
      <c r="D485" t="s">
        <v>138</v>
      </c>
      <c r="E485" t="s">
        <v>139</v>
      </c>
    </row>
    <row r="486" spans="1:5" x14ac:dyDescent="0.25">
      <c r="A486" t="s">
        <v>858</v>
      </c>
      <c r="B486" s="1">
        <v>43335</v>
      </c>
      <c r="C486" t="s">
        <v>382</v>
      </c>
      <c r="D486" t="s">
        <v>302</v>
      </c>
      <c r="E486" t="s">
        <v>303</v>
      </c>
    </row>
    <row r="487" spans="1:5" x14ac:dyDescent="0.25">
      <c r="A487" t="s">
        <v>859</v>
      </c>
      <c r="B487" s="1">
        <v>43171</v>
      </c>
      <c r="C487" t="s">
        <v>842</v>
      </c>
      <c r="D487" t="s">
        <v>95</v>
      </c>
      <c r="E487" t="s">
        <v>67</v>
      </c>
    </row>
    <row r="488" spans="1:5" x14ac:dyDescent="0.25">
      <c r="A488" t="s">
        <v>860</v>
      </c>
      <c r="B488" s="1">
        <v>43215</v>
      </c>
      <c r="C488" t="s">
        <v>820</v>
      </c>
      <c r="D488" t="s">
        <v>59</v>
      </c>
      <c r="E488" t="s">
        <v>60</v>
      </c>
    </row>
    <row r="489" spans="1:5" x14ac:dyDescent="0.25">
      <c r="A489" t="s">
        <v>861</v>
      </c>
      <c r="B489" s="1">
        <v>43181</v>
      </c>
      <c r="C489" t="s">
        <v>423</v>
      </c>
      <c r="D489" t="s">
        <v>102</v>
      </c>
      <c r="E489" t="s">
        <v>103</v>
      </c>
    </row>
    <row r="490" spans="1:5" x14ac:dyDescent="0.25">
      <c r="A490" t="s">
        <v>862</v>
      </c>
      <c r="B490" s="1">
        <v>43248</v>
      </c>
      <c r="C490" t="s">
        <v>180</v>
      </c>
      <c r="D490" t="s">
        <v>14</v>
      </c>
      <c r="E490" t="s">
        <v>25</v>
      </c>
    </row>
    <row r="491" spans="1:5" x14ac:dyDescent="0.25">
      <c r="A491" t="s">
        <v>863</v>
      </c>
      <c r="B491" s="1">
        <v>43121</v>
      </c>
      <c r="C491" t="s">
        <v>864</v>
      </c>
      <c r="D491" t="s">
        <v>138</v>
      </c>
      <c r="E491" t="s">
        <v>139</v>
      </c>
    </row>
    <row r="492" spans="1:5" x14ac:dyDescent="0.25">
      <c r="A492" t="s">
        <v>865</v>
      </c>
      <c r="B492" s="1">
        <v>43308</v>
      </c>
      <c r="C492" t="s">
        <v>866</v>
      </c>
      <c r="D492" t="s">
        <v>102</v>
      </c>
      <c r="E492" t="s">
        <v>103</v>
      </c>
    </row>
    <row r="493" spans="1:5" x14ac:dyDescent="0.25">
      <c r="A493" t="s">
        <v>867</v>
      </c>
      <c r="B493" s="1">
        <v>43402</v>
      </c>
      <c r="C493" t="s">
        <v>868</v>
      </c>
      <c r="D493" t="s">
        <v>30</v>
      </c>
      <c r="E493" t="s">
        <v>31</v>
      </c>
    </row>
    <row r="494" spans="1:5" x14ac:dyDescent="0.25">
      <c r="A494" t="s">
        <v>869</v>
      </c>
      <c r="B494" s="1">
        <v>43358</v>
      </c>
      <c r="C494" t="s">
        <v>870</v>
      </c>
      <c r="D494" t="s">
        <v>98</v>
      </c>
      <c r="E494" t="s">
        <v>168</v>
      </c>
    </row>
    <row r="495" spans="1:5" x14ac:dyDescent="0.25">
      <c r="A495" t="s">
        <v>871</v>
      </c>
      <c r="B495" s="1">
        <v>43129</v>
      </c>
      <c r="C495" t="s">
        <v>872</v>
      </c>
      <c r="D495" t="s">
        <v>9</v>
      </c>
      <c r="E495" t="s">
        <v>9</v>
      </c>
    </row>
    <row r="496" spans="1:5" x14ac:dyDescent="0.25">
      <c r="A496" t="s">
        <v>873</v>
      </c>
      <c r="B496" s="1">
        <v>43364</v>
      </c>
      <c r="C496" t="s">
        <v>874</v>
      </c>
      <c r="D496" t="s">
        <v>128</v>
      </c>
      <c r="E496" t="s">
        <v>129</v>
      </c>
    </row>
    <row r="497" spans="1:5" x14ac:dyDescent="0.25">
      <c r="A497" t="s">
        <v>875</v>
      </c>
      <c r="B497" s="1">
        <v>43315</v>
      </c>
      <c r="C497" t="s">
        <v>876</v>
      </c>
      <c r="D497" t="s">
        <v>191</v>
      </c>
      <c r="E497" t="s">
        <v>191</v>
      </c>
    </row>
    <row r="498" spans="1:5" x14ac:dyDescent="0.25">
      <c r="A498" t="s">
        <v>877</v>
      </c>
      <c r="B498" s="1">
        <v>43185</v>
      </c>
      <c r="C498" t="s">
        <v>615</v>
      </c>
      <c r="D498" t="s">
        <v>302</v>
      </c>
      <c r="E498" t="s">
        <v>303</v>
      </c>
    </row>
    <row r="499" spans="1:5" x14ac:dyDescent="0.25">
      <c r="A499" t="s">
        <v>878</v>
      </c>
      <c r="B499" s="1">
        <v>43282</v>
      </c>
      <c r="C499" t="s">
        <v>681</v>
      </c>
      <c r="D499" t="s">
        <v>14</v>
      </c>
      <c r="E499" t="s">
        <v>15</v>
      </c>
    </row>
    <row r="500" spans="1:5" x14ac:dyDescent="0.25">
      <c r="A500" t="s">
        <v>879</v>
      </c>
      <c r="B500" s="1">
        <v>43334</v>
      </c>
      <c r="C500" t="s">
        <v>312</v>
      </c>
      <c r="D500" t="s">
        <v>59</v>
      </c>
      <c r="E500" t="s">
        <v>60</v>
      </c>
    </row>
    <row r="501" spans="1:5" x14ac:dyDescent="0.25">
      <c r="A501" t="s">
        <v>880</v>
      </c>
      <c r="B501" s="1">
        <v>43187</v>
      </c>
      <c r="C501" t="s">
        <v>372</v>
      </c>
      <c r="D501" t="s">
        <v>98</v>
      </c>
      <c r="E501" t="s">
        <v>168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21F2D-5AE9-4047-9637-E7C29FD3E875}">
  <dimension ref="A1:G1501"/>
  <sheetViews>
    <sheetView workbookViewId="0">
      <selection activeCell="F1498" sqref="F1498"/>
    </sheetView>
  </sheetViews>
  <sheetFormatPr defaultRowHeight="15" x14ac:dyDescent="0.25"/>
  <cols>
    <col min="1" max="1" width="10.28515625" customWidth="1"/>
    <col min="2" max="2" width="11.5703125" customWidth="1"/>
    <col min="3" max="3" width="8.140625" customWidth="1"/>
    <col min="4" max="4" width="10.85546875" customWidth="1"/>
    <col min="5" max="5" width="11.28515625" customWidth="1"/>
    <col min="6" max="6" width="16.42578125" bestFit="1" customWidth="1"/>
    <col min="7" max="7" width="16" customWidth="1"/>
  </cols>
  <sheetData>
    <row r="1" spans="1:7" x14ac:dyDescent="0.25">
      <c r="A1" t="s">
        <v>911</v>
      </c>
      <c r="B1" t="s">
        <v>910</v>
      </c>
      <c r="C1" t="s">
        <v>881</v>
      </c>
      <c r="D1" t="s">
        <v>882</v>
      </c>
      <c r="E1" t="s">
        <v>883</v>
      </c>
      <c r="F1" t="s">
        <v>912</v>
      </c>
      <c r="G1" t="s">
        <v>884</v>
      </c>
    </row>
    <row r="2" spans="1:7" x14ac:dyDescent="0.25">
      <c r="A2" t="s">
        <v>85</v>
      </c>
      <c r="B2">
        <v>1096</v>
      </c>
      <c r="C2">
        <v>658</v>
      </c>
      <c r="D2">
        <v>7</v>
      </c>
      <c r="E2" t="s">
        <v>885</v>
      </c>
      <c r="F2" t="s">
        <v>886</v>
      </c>
      <c r="G2" t="s">
        <v>887</v>
      </c>
    </row>
    <row r="3" spans="1:7" x14ac:dyDescent="0.25">
      <c r="A3" t="s">
        <v>3</v>
      </c>
      <c r="B3">
        <v>5729</v>
      </c>
      <c r="C3">
        <v>64</v>
      </c>
      <c r="D3">
        <v>14</v>
      </c>
      <c r="E3" t="s">
        <v>888</v>
      </c>
      <c r="F3" t="s">
        <v>889</v>
      </c>
      <c r="G3" t="s">
        <v>890</v>
      </c>
    </row>
    <row r="4" spans="1:7" x14ac:dyDescent="0.25">
      <c r="A4" t="s">
        <v>23</v>
      </c>
      <c r="B4">
        <v>2927</v>
      </c>
      <c r="C4">
        <v>146</v>
      </c>
      <c r="D4">
        <v>8</v>
      </c>
      <c r="E4" t="s">
        <v>888</v>
      </c>
      <c r="F4" t="s">
        <v>891</v>
      </c>
      <c r="G4" t="s">
        <v>890</v>
      </c>
    </row>
    <row r="5" spans="1:7" x14ac:dyDescent="0.25">
      <c r="A5" t="s">
        <v>26</v>
      </c>
      <c r="B5">
        <v>2847</v>
      </c>
      <c r="C5">
        <v>712</v>
      </c>
      <c r="D5">
        <v>8</v>
      </c>
      <c r="E5" t="s">
        <v>885</v>
      </c>
      <c r="F5" t="s">
        <v>892</v>
      </c>
      <c r="G5" t="s">
        <v>893</v>
      </c>
    </row>
    <row r="6" spans="1:7" x14ac:dyDescent="0.25">
      <c r="A6" t="s">
        <v>32</v>
      </c>
      <c r="B6">
        <v>2617</v>
      </c>
      <c r="C6">
        <v>1151</v>
      </c>
      <c r="D6">
        <v>4</v>
      </c>
      <c r="E6" t="s">
        <v>885</v>
      </c>
      <c r="F6" t="s">
        <v>894</v>
      </c>
      <c r="G6" t="s">
        <v>893</v>
      </c>
    </row>
    <row r="7" spans="1:7" x14ac:dyDescent="0.25">
      <c r="A7" t="s">
        <v>44</v>
      </c>
      <c r="B7">
        <v>2244</v>
      </c>
      <c r="C7">
        <v>247</v>
      </c>
      <c r="D7">
        <v>4</v>
      </c>
      <c r="E7" t="s">
        <v>895</v>
      </c>
      <c r="F7" t="s">
        <v>896</v>
      </c>
      <c r="G7" t="s">
        <v>893</v>
      </c>
    </row>
    <row r="8" spans="1:7" x14ac:dyDescent="0.25">
      <c r="A8" t="s">
        <v>237</v>
      </c>
      <c r="B8">
        <v>275</v>
      </c>
      <c r="C8">
        <v>-275</v>
      </c>
      <c r="D8">
        <v>4</v>
      </c>
      <c r="E8" t="s">
        <v>895</v>
      </c>
      <c r="F8" t="s">
        <v>897</v>
      </c>
      <c r="G8" t="s">
        <v>887</v>
      </c>
    </row>
    <row r="9" spans="1:7" x14ac:dyDescent="0.25">
      <c r="A9" t="s">
        <v>442</v>
      </c>
      <c r="B9">
        <v>387</v>
      </c>
      <c r="C9">
        <v>-213</v>
      </c>
      <c r="D9">
        <v>5</v>
      </c>
      <c r="E9" t="s">
        <v>895</v>
      </c>
      <c r="F9" t="s">
        <v>897</v>
      </c>
      <c r="G9" t="s">
        <v>898</v>
      </c>
    </row>
    <row r="10" spans="1:7" x14ac:dyDescent="0.25">
      <c r="A10" t="s">
        <v>204</v>
      </c>
      <c r="B10">
        <v>50</v>
      </c>
      <c r="C10">
        <v>-44</v>
      </c>
      <c r="D10">
        <v>2</v>
      </c>
      <c r="E10" t="s">
        <v>895</v>
      </c>
      <c r="F10" t="s">
        <v>899</v>
      </c>
      <c r="G10" t="s">
        <v>898</v>
      </c>
    </row>
    <row r="11" spans="1:7" x14ac:dyDescent="0.25">
      <c r="A11" t="s">
        <v>470</v>
      </c>
      <c r="B11">
        <v>135</v>
      </c>
      <c r="C11">
        <v>-54</v>
      </c>
      <c r="D11">
        <v>5</v>
      </c>
      <c r="E11" t="s">
        <v>895</v>
      </c>
      <c r="F11" t="s">
        <v>900</v>
      </c>
      <c r="G11" t="s">
        <v>887</v>
      </c>
    </row>
    <row r="12" spans="1:7" x14ac:dyDescent="0.25">
      <c r="A12" t="s">
        <v>537</v>
      </c>
      <c r="B12">
        <v>231</v>
      </c>
      <c r="C12">
        <v>-190</v>
      </c>
      <c r="D12">
        <v>9</v>
      </c>
      <c r="E12" t="s">
        <v>895</v>
      </c>
      <c r="F12" t="s">
        <v>899</v>
      </c>
      <c r="G12" t="s">
        <v>887</v>
      </c>
    </row>
    <row r="13" spans="1:7" x14ac:dyDescent="0.25">
      <c r="A13" t="s">
        <v>47</v>
      </c>
      <c r="B13">
        <v>2125</v>
      </c>
      <c r="C13">
        <v>-234</v>
      </c>
      <c r="D13">
        <v>6</v>
      </c>
      <c r="E13" t="s">
        <v>885</v>
      </c>
      <c r="F13" t="s">
        <v>892</v>
      </c>
      <c r="G13" t="s">
        <v>890</v>
      </c>
    </row>
    <row r="14" spans="1:7" x14ac:dyDescent="0.25">
      <c r="A14" t="s">
        <v>12</v>
      </c>
      <c r="B14">
        <v>3873</v>
      </c>
      <c r="C14">
        <v>-891</v>
      </c>
      <c r="D14">
        <v>6</v>
      </c>
      <c r="E14" t="s">
        <v>885</v>
      </c>
      <c r="F14" t="s">
        <v>894</v>
      </c>
      <c r="G14" t="s">
        <v>893</v>
      </c>
    </row>
    <row r="15" spans="1:7" x14ac:dyDescent="0.25">
      <c r="A15" t="s">
        <v>295</v>
      </c>
      <c r="B15">
        <v>729</v>
      </c>
      <c r="C15">
        <v>-492</v>
      </c>
      <c r="D15">
        <v>5</v>
      </c>
      <c r="E15" t="s">
        <v>888</v>
      </c>
      <c r="F15" t="s">
        <v>891</v>
      </c>
      <c r="G15" t="s">
        <v>898</v>
      </c>
    </row>
    <row r="16" spans="1:7" x14ac:dyDescent="0.25">
      <c r="A16" t="s">
        <v>46</v>
      </c>
      <c r="B16">
        <v>2188</v>
      </c>
      <c r="C16">
        <v>1050</v>
      </c>
      <c r="D16">
        <v>5</v>
      </c>
      <c r="E16" t="s">
        <v>888</v>
      </c>
      <c r="F16" t="s">
        <v>891</v>
      </c>
      <c r="G16" t="s">
        <v>893</v>
      </c>
    </row>
    <row r="17" spans="1:7" x14ac:dyDescent="0.25">
      <c r="A17" t="s">
        <v>434</v>
      </c>
      <c r="B17">
        <v>6</v>
      </c>
      <c r="C17">
        <v>-3</v>
      </c>
      <c r="D17">
        <v>1</v>
      </c>
      <c r="E17" t="s">
        <v>895</v>
      </c>
      <c r="F17" t="s">
        <v>899</v>
      </c>
      <c r="G17" t="s">
        <v>898</v>
      </c>
    </row>
    <row r="18" spans="1:7" x14ac:dyDescent="0.25">
      <c r="A18" t="s">
        <v>61</v>
      </c>
      <c r="B18">
        <v>1854</v>
      </c>
      <c r="C18">
        <v>433</v>
      </c>
      <c r="D18">
        <v>5</v>
      </c>
      <c r="E18" t="s">
        <v>888</v>
      </c>
      <c r="F18" t="s">
        <v>891</v>
      </c>
      <c r="G18" t="s">
        <v>893</v>
      </c>
    </row>
    <row r="19" spans="1:7" x14ac:dyDescent="0.25">
      <c r="A19" t="s">
        <v>880</v>
      </c>
      <c r="B19">
        <v>6</v>
      </c>
      <c r="C19">
        <v>1</v>
      </c>
      <c r="D19">
        <v>1</v>
      </c>
      <c r="E19" t="s">
        <v>895</v>
      </c>
      <c r="F19" t="s">
        <v>900</v>
      </c>
      <c r="G19" t="s">
        <v>898</v>
      </c>
    </row>
    <row r="20" spans="1:7" x14ac:dyDescent="0.25">
      <c r="A20" t="s">
        <v>50</v>
      </c>
      <c r="B20">
        <v>2093</v>
      </c>
      <c r="C20">
        <v>721</v>
      </c>
      <c r="D20">
        <v>5</v>
      </c>
      <c r="E20" t="s">
        <v>888</v>
      </c>
      <c r="F20" t="s">
        <v>889</v>
      </c>
      <c r="G20" t="s">
        <v>893</v>
      </c>
    </row>
    <row r="21" spans="1:7" x14ac:dyDescent="0.25">
      <c r="A21" t="s">
        <v>718</v>
      </c>
      <c r="B21">
        <v>7</v>
      </c>
      <c r="C21">
        <v>-1</v>
      </c>
      <c r="D21">
        <v>2</v>
      </c>
      <c r="E21" t="s">
        <v>895</v>
      </c>
      <c r="F21" t="s">
        <v>901</v>
      </c>
      <c r="G21" t="s">
        <v>898</v>
      </c>
    </row>
    <row r="22" spans="1:7" x14ac:dyDescent="0.25">
      <c r="A22" t="s">
        <v>89</v>
      </c>
      <c r="B22">
        <v>1622</v>
      </c>
      <c r="C22">
        <v>-624</v>
      </c>
      <c r="D22">
        <v>5</v>
      </c>
      <c r="E22" t="s">
        <v>888</v>
      </c>
      <c r="F22" t="s">
        <v>902</v>
      </c>
      <c r="G22" t="s">
        <v>893</v>
      </c>
    </row>
    <row r="23" spans="1:7" x14ac:dyDescent="0.25">
      <c r="A23" t="s">
        <v>91</v>
      </c>
      <c r="B23">
        <v>1622</v>
      </c>
      <c r="C23">
        <v>95</v>
      </c>
      <c r="D23">
        <v>5</v>
      </c>
      <c r="E23" t="s">
        <v>885</v>
      </c>
      <c r="F23" t="s">
        <v>892</v>
      </c>
      <c r="G23" t="s">
        <v>893</v>
      </c>
    </row>
    <row r="24" spans="1:7" x14ac:dyDescent="0.25">
      <c r="A24" t="s">
        <v>452</v>
      </c>
      <c r="B24">
        <v>373</v>
      </c>
      <c r="C24">
        <v>254</v>
      </c>
      <c r="D24">
        <v>6</v>
      </c>
      <c r="E24" t="s">
        <v>885</v>
      </c>
      <c r="F24" t="s">
        <v>892</v>
      </c>
      <c r="G24" t="s">
        <v>898</v>
      </c>
    </row>
    <row r="25" spans="1:7" x14ac:dyDescent="0.25">
      <c r="A25" t="s">
        <v>280</v>
      </c>
      <c r="B25">
        <v>82</v>
      </c>
      <c r="C25">
        <v>-33</v>
      </c>
      <c r="D25">
        <v>4</v>
      </c>
      <c r="E25" t="s">
        <v>895</v>
      </c>
      <c r="F25" t="s">
        <v>900</v>
      </c>
      <c r="G25" t="s">
        <v>887</v>
      </c>
    </row>
    <row r="26" spans="1:7" x14ac:dyDescent="0.25">
      <c r="A26" t="s">
        <v>625</v>
      </c>
      <c r="B26">
        <v>8</v>
      </c>
      <c r="C26">
        <v>2</v>
      </c>
      <c r="D26">
        <v>2</v>
      </c>
      <c r="E26" t="s">
        <v>895</v>
      </c>
      <c r="F26" t="s">
        <v>901</v>
      </c>
      <c r="G26" t="s">
        <v>898</v>
      </c>
    </row>
    <row r="27" spans="1:7" x14ac:dyDescent="0.25">
      <c r="A27" t="s">
        <v>57</v>
      </c>
      <c r="B27">
        <v>1954</v>
      </c>
      <c r="C27">
        <v>782</v>
      </c>
      <c r="D27">
        <v>3</v>
      </c>
      <c r="E27" t="s">
        <v>885</v>
      </c>
      <c r="F27" t="s">
        <v>894</v>
      </c>
      <c r="G27" t="s">
        <v>893</v>
      </c>
    </row>
    <row r="28" spans="1:7" x14ac:dyDescent="0.25">
      <c r="A28" t="s">
        <v>110</v>
      </c>
      <c r="B28">
        <v>1543</v>
      </c>
      <c r="C28">
        <v>370</v>
      </c>
      <c r="D28">
        <v>8</v>
      </c>
      <c r="E28" t="s">
        <v>885</v>
      </c>
      <c r="F28" t="s">
        <v>892</v>
      </c>
      <c r="G28" t="s">
        <v>893</v>
      </c>
    </row>
    <row r="29" spans="1:7" x14ac:dyDescent="0.25">
      <c r="A29" t="s">
        <v>114</v>
      </c>
      <c r="B29">
        <v>1506</v>
      </c>
      <c r="C29">
        <v>-266</v>
      </c>
      <c r="D29">
        <v>6</v>
      </c>
      <c r="E29" t="s">
        <v>885</v>
      </c>
      <c r="F29" t="s">
        <v>892</v>
      </c>
      <c r="G29" t="s">
        <v>893</v>
      </c>
    </row>
    <row r="30" spans="1:7" x14ac:dyDescent="0.25">
      <c r="A30" t="s">
        <v>62</v>
      </c>
      <c r="B30">
        <v>1829</v>
      </c>
      <c r="C30">
        <v>-56</v>
      </c>
      <c r="D30">
        <v>6</v>
      </c>
      <c r="E30" t="s">
        <v>888</v>
      </c>
      <c r="F30" t="s">
        <v>902</v>
      </c>
      <c r="G30" t="s">
        <v>893</v>
      </c>
    </row>
    <row r="31" spans="1:7" x14ac:dyDescent="0.25">
      <c r="A31" t="s">
        <v>486</v>
      </c>
      <c r="B31">
        <v>9</v>
      </c>
      <c r="C31">
        <v>-1</v>
      </c>
      <c r="D31">
        <v>3</v>
      </c>
      <c r="E31" t="s">
        <v>895</v>
      </c>
      <c r="F31" t="s">
        <v>901</v>
      </c>
      <c r="G31" t="s">
        <v>898</v>
      </c>
    </row>
    <row r="32" spans="1:7" x14ac:dyDescent="0.25">
      <c r="A32" t="s">
        <v>120</v>
      </c>
      <c r="B32">
        <v>1461</v>
      </c>
      <c r="C32">
        <v>202</v>
      </c>
      <c r="D32">
        <v>5</v>
      </c>
      <c r="E32" t="s">
        <v>888</v>
      </c>
      <c r="F32" t="s">
        <v>902</v>
      </c>
      <c r="G32" t="s">
        <v>890</v>
      </c>
    </row>
    <row r="33" spans="1:7" x14ac:dyDescent="0.25">
      <c r="A33" t="s">
        <v>436</v>
      </c>
      <c r="B33">
        <v>391</v>
      </c>
      <c r="C33">
        <v>113</v>
      </c>
      <c r="D33">
        <v>8</v>
      </c>
      <c r="E33" t="s">
        <v>895</v>
      </c>
      <c r="F33" t="s">
        <v>903</v>
      </c>
      <c r="G33" t="s">
        <v>887</v>
      </c>
    </row>
    <row r="34" spans="1:7" x14ac:dyDescent="0.25">
      <c r="A34" t="s">
        <v>64</v>
      </c>
      <c r="B34">
        <v>1824</v>
      </c>
      <c r="C34">
        <v>1303</v>
      </c>
      <c r="D34">
        <v>8</v>
      </c>
      <c r="E34" t="s">
        <v>885</v>
      </c>
      <c r="F34" t="s">
        <v>894</v>
      </c>
      <c r="G34" t="s">
        <v>893</v>
      </c>
    </row>
    <row r="35" spans="1:7" x14ac:dyDescent="0.25">
      <c r="A35" t="s">
        <v>633</v>
      </c>
      <c r="B35">
        <v>16</v>
      </c>
      <c r="C35">
        <v>-15</v>
      </c>
      <c r="D35">
        <v>4</v>
      </c>
      <c r="E35" t="s">
        <v>895</v>
      </c>
      <c r="F35" t="s">
        <v>899</v>
      </c>
      <c r="G35" t="s">
        <v>898</v>
      </c>
    </row>
    <row r="36" spans="1:7" x14ac:dyDescent="0.25">
      <c r="A36" t="s">
        <v>68</v>
      </c>
      <c r="B36">
        <v>1745</v>
      </c>
      <c r="C36">
        <v>122</v>
      </c>
      <c r="D36">
        <v>2</v>
      </c>
      <c r="E36" t="s">
        <v>888</v>
      </c>
      <c r="F36" t="s">
        <v>902</v>
      </c>
      <c r="G36" t="s">
        <v>893</v>
      </c>
    </row>
    <row r="37" spans="1:7" x14ac:dyDescent="0.25">
      <c r="A37" t="s">
        <v>313</v>
      </c>
      <c r="B37">
        <v>663</v>
      </c>
      <c r="C37">
        <v>-212</v>
      </c>
      <c r="D37">
        <v>5</v>
      </c>
      <c r="E37" t="s">
        <v>885</v>
      </c>
      <c r="F37" t="s">
        <v>892</v>
      </c>
      <c r="G37" t="s">
        <v>898</v>
      </c>
    </row>
    <row r="38" spans="1:7" x14ac:dyDescent="0.25">
      <c r="A38" t="s">
        <v>341</v>
      </c>
      <c r="B38">
        <v>10</v>
      </c>
      <c r="C38">
        <v>-1</v>
      </c>
      <c r="D38">
        <v>1</v>
      </c>
      <c r="E38" t="s">
        <v>895</v>
      </c>
      <c r="F38" t="s">
        <v>904</v>
      </c>
      <c r="G38" t="s">
        <v>898</v>
      </c>
    </row>
    <row r="39" spans="1:7" x14ac:dyDescent="0.25">
      <c r="A39" t="s">
        <v>81</v>
      </c>
      <c r="B39">
        <v>1630</v>
      </c>
      <c r="C39">
        <v>802</v>
      </c>
      <c r="D39">
        <v>5</v>
      </c>
      <c r="E39" t="s">
        <v>888</v>
      </c>
      <c r="F39" t="s">
        <v>902</v>
      </c>
      <c r="G39" t="s">
        <v>890</v>
      </c>
    </row>
    <row r="40" spans="1:7" x14ac:dyDescent="0.25">
      <c r="A40" t="s">
        <v>454</v>
      </c>
      <c r="B40">
        <v>12</v>
      </c>
      <c r="C40">
        <v>0</v>
      </c>
      <c r="D40">
        <v>2</v>
      </c>
      <c r="E40" t="s">
        <v>895</v>
      </c>
      <c r="F40" t="s">
        <v>899</v>
      </c>
      <c r="G40" t="s">
        <v>898</v>
      </c>
    </row>
    <row r="41" spans="1:7" x14ac:dyDescent="0.25">
      <c r="A41" t="s">
        <v>753</v>
      </c>
      <c r="B41">
        <v>12</v>
      </c>
      <c r="C41">
        <v>-7</v>
      </c>
      <c r="D41">
        <v>2</v>
      </c>
      <c r="E41" t="s">
        <v>895</v>
      </c>
      <c r="F41" t="s">
        <v>904</v>
      </c>
      <c r="G41" t="s">
        <v>898</v>
      </c>
    </row>
    <row r="42" spans="1:7" x14ac:dyDescent="0.25">
      <c r="A42" t="s">
        <v>71</v>
      </c>
      <c r="B42">
        <v>1709</v>
      </c>
      <c r="C42">
        <v>564</v>
      </c>
      <c r="D42">
        <v>3</v>
      </c>
      <c r="E42" t="s">
        <v>895</v>
      </c>
      <c r="F42" t="s">
        <v>896</v>
      </c>
      <c r="G42" t="s">
        <v>893</v>
      </c>
    </row>
    <row r="43" spans="1:7" x14ac:dyDescent="0.25">
      <c r="A43" t="s">
        <v>873</v>
      </c>
      <c r="B43">
        <v>12</v>
      </c>
      <c r="C43">
        <v>3</v>
      </c>
      <c r="D43">
        <v>1</v>
      </c>
      <c r="E43" t="s">
        <v>895</v>
      </c>
      <c r="F43" t="s">
        <v>903</v>
      </c>
      <c r="G43" t="s">
        <v>898</v>
      </c>
    </row>
    <row r="44" spans="1:7" x14ac:dyDescent="0.25">
      <c r="A44" t="s">
        <v>85</v>
      </c>
      <c r="B44">
        <v>1625</v>
      </c>
      <c r="C44">
        <v>-77</v>
      </c>
      <c r="D44">
        <v>3</v>
      </c>
      <c r="E44" t="s">
        <v>885</v>
      </c>
      <c r="F44" t="s">
        <v>894</v>
      </c>
      <c r="G44" t="s">
        <v>890</v>
      </c>
    </row>
    <row r="45" spans="1:7" x14ac:dyDescent="0.25">
      <c r="A45" t="s">
        <v>575</v>
      </c>
      <c r="B45">
        <v>13</v>
      </c>
      <c r="C45">
        <v>5</v>
      </c>
      <c r="D45">
        <v>2</v>
      </c>
      <c r="E45" t="s">
        <v>895</v>
      </c>
      <c r="F45" t="s">
        <v>899</v>
      </c>
      <c r="G45" t="s">
        <v>898</v>
      </c>
    </row>
    <row r="46" spans="1:7" x14ac:dyDescent="0.25">
      <c r="A46" t="s">
        <v>132</v>
      </c>
      <c r="B46">
        <v>1361</v>
      </c>
      <c r="C46">
        <v>980</v>
      </c>
      <c r="D46">
        <v>3</v>
      </c>
      <c r="E46" t="s">
        <v>888</v>
      </c>
      <c r="F46" t="s">
        <v>902</v>
      </c>
      <c r="G46" t="s">
        <v>887</v>
      </c>
    </row>
    <row r="47" spans="1:7" x14ac:dyDescent="0.25">
      <c r="A47" t="s">
        <v>87</v>
      </c>
      <c r="B47">
        <v>1622</v>
      </c>
      <c r="C47">
        <v>-448</v>
      </c>
      <c r="D47">
        <v>3</v>
      </c>
      <c r="E47" t="s">
        <v>885</v>
      </c>
      <c r="F47" t="s">
        <v>894</v>
      </c>
      <c r="G47" t="s">
        <v>890</v>
      </c>
    </row>
    <row r="48" spans="1:7" x14ac:dyDescent="0.25">
      <c r="A48" t="s">
        <v>108</v>
      </c>
      <c r="B48">
        <v>1547</v>
      </c>
      <c r="C48">
        <v>340</v>
      </c>
      <c r="D48">
        <v>6</v>
      </c>
      <c r="E48" t="s">
        <v>885</v>
      </c>
      <c r="F48" t="s">
        <v>905</v>
      </c>
      <c r="G48" t="s">
        <v>890</v>
      </c>
    </row>
    <row r="49" spans="1:7" x14ac:dyDescent="0.25">
      <c r="A49" t="s">
        <v>77</v>
      </c>
      <c r="B49">
        <v>1657</v>
      </c>
      <c r="C49">
        <v>460</v>
      </c>
      <c r="D49">
        <v>4</v>
      </c>
      <c r="E49" t="s">
        <v>888</v>
      </c>
      <c r="F49" t="s">
        <v>889</v>
      </c>
      <c r="G49" t="s">
        <v>893</v>
      </c>
    </row>
    <row r="50" spans="1:7" x14ac:dyDescent="0.25">
      <c r="A50" t="s">
        <v>93</v>
      </c>
      <c r="B50">
        <v>1603</v>
      </c>
      <c r="C50">
        <v>0</v>
      </c>
      <c r="D50">
        <v>9</v>
      </c>
      <c r="E50" t="s">
        <v>895</v>
      </c>
      <c r="F50" t="s">
        <v>897</v>
      </c>
      <c r="G50" t="s">
        <v>893</v>
      </c>
    </row>
    <row r="51" spans="1:7" x14ac:dyDescent="0.25">
      <c r="A51" t="s">
        <v>106</v>
      </c>
      <c r="B51">
        <v>1549</v>
      </c>
      <c r="C51">
        <v>-439</v>
      </c>
      <c r="D51">
        <v>4</v>
      </c>
      <c r="E51" t="s">
        <v>885</v>
      </c>
      <c r="F51" t="s">
        <v>894</v>
      </c>
      <c r="G51" t="s">
        <v>893</v>
      </c>
    </row>
    <row r="52" spans="1:7" x14ac:dyDescent="0.25">
      <c r="A52" t="s">
        <v>177</v>
      </c>
      <c r="B52">
        <v>1183</v>
      </c>
      <c r="C52">
        <v>106</v>
      </c>
      <c r="D52">
        <v>4</v>
      </c>
      <c r="E52" t="s">
        <v>885</v>
      </c>
      <c r="F52" t="s">
        <v>892</v>
      </c>
      <c r="G52" t="s">
        <v>890</v>
      </c>
    </row>
    <row r="53" spans="1:7" x14ac:dyDescent="0.25">
      <c r="A53" t="s">
        <v>434</v>
      </c>
      <c r="B53">
        <v>74</v>
      </c>
      <c r="C53">
        <v>-123</v>
      </c>
      <c r="D53">
        <v>8</v>
      </c>
      <c r="E53" t="s">
        <v>895</v>
      </c>
      <c r="F53" t="s">
        <v>901</v>
      </c>
      <c r="G53" t="s">
        <v>898</v>
      </c>
    </row>
    <row r="54" spans="1:7" x14ac:dyDescent="0.25">
      <c r="A54" t="s">
        <v>489</v>
      </c>
      <c r="B54">
        <v>1499</v>
      </c>
      <c r="C54">
        <v>239</v>
      </c>
      <c r="D54">
        <v>13</v>
      </c>
      <c r="E54" t="s">
        <v>895</v>
      </c>
      <c r="F54" t="s">
        <v>897</v>
      </c>
      <c r="G54" t="s">
        <v>893</v>
      </c>
    </row>
    <row r="55" spans="1:7" x14ac:dyDescent="0.25">
      <c r="A55" t="s">
        <v>187</v>
      </c>
      <c r="B55">
        <v>1120</v>
      </c>
      <c r="C55">
        <v>199</v>
      </c>
      <c r="D55">
        <v>6</v>
      </c>
      <c r="E55" t="s">
        <v>895</v>
      </c>
      <c r="F55" t="s">
        <v>897</v>
      </c>
      <c r="G55" t="s">
        <v>890</v>
      </c>
    </row>
    <row r="56" spans="1:7" x14ac:dyDescent="0.25">
      <c r="A56" t="s">
        <v>766</v>
      </c>
      <c r="B56">
        <v>15</v>
      </c>
      <c r="C56">
        <v>-2</v>
      </c>
      <c r="D56">
        <v>1</v>
      </c>
      <c r="E56" t="s">
        <v>895</v>
      </c>
      <c r="F56" t="s">
        <v>906</v>
      </c>
      <c r="G56" t="s">
        <v>907</v>
      </c>
    </row>
    <row r="57" spans="1:7" x14ac:dyDescent="0.25">
      <c r="A57" t="s">
        <v>119</v>
      </c>
      <c r="B57">
        <v>1487</v>
      </c>
      <c r="C57">
        <v>624</v>
      </c>
      <c r="D57">
        <v>3</v>
      </c>
      <c r="E57" t="s">
        <v>895</v>
      </c>
      <c r="F57" t="s">
        <v>896</v>
      </c>
      <c r="G57" t="s">
        <v>893</v>
      </c>
    </row>
    <row r="58" spans="1:7" x14ac:dyDescent="0.25">
      <c r="A58" t="s">
        <v>189</v>
      </c>
      <c r="B58">
        <v>1118</v>
      </c>
      <c r="C58">
        <v>206</v>
      </c>
      <c r="D58">
        <v>2</v>
      </c>
      <c r="E58" t="s">
        <v>888</v>
      </c>
      <c r="F58" t="s">
        <v>902</v>
      </c>
      <c r="G58" t="s">
        <v>893</v>
      </c>
    </row>
    <row r="59" spans="1:7" x14ac:dyDescent="0.25">
      <c r="A59" t="s">
        <v>465</v>
      </c>
      <c r="B59">
        <v>11</v>
      </c>
      <c r="C59">
        <v>-5</v>
      </c>
      <c r="D59">
        <v>2</v>
      </c>
      <c r="E59" t="s">
        <v>895</v>
      </c>
      <c r="F59" t="s">
        <v>899</v>
      </c>
      <c r="G59" t="s">
        <v>887</v>
      </c>
    </row>
    <row r="60" spans="1:7" x14ac:dyDescent="0.25">
      <c r="A60" t="s">
        <v>869</v>
      </c>
      <c r="B60">
        <v>15</v>
      </c>
      <c r="C60">
        <v>4</v>
      </c>
      <c r="D60">
        <v>1</v>
      </c>
      <c r="E60" t="s">
        <v>895</v>
      </c>
      <c r="F60" t="s">
        <v>899</v>
      </c>
      <c r="G60" t="s">
        <v>907</v>
      </c>
    </row>
    <row r="61" spans="1:7" x14ac:dyDescent="0.25">
      <c r="A61" t="s">
        <v>126</v>
      </c>
      <c r="B61">
        <v>1364</v>
      </c>
      <c r="C61">
        <v>1864</v>
      </c>
      <c r="D61">
        <v>5</v>
      </c>
      <c r="E61" t="s">
        <v>888</v>
      </c>
      <c r="F61" t="s">
        <v>902</v>
      </c>
      <c r="G61" t="s">
        <v>893</v>
      </c>
    </row>
    <row r="62" spans="1:7" x14ac:dyDescent="0.25">
      <c r="A62" t="s">
        <v>136</v>
      </c>
      <c r="B62">
        <v>1337</v>
      </c>
      <c r="C62">
        <v>147</v>
      </c>
      <c r="D62">
        <v>7</v>
      </c>
      <c r="E62" t="s">
        <v>885</v>
      </c>
      <c r="F62" t="s">
        <v>892</v>
      </c>
      <c r="G62" t="s">
        <v>893</v>
      </c>
    </row>
    <row r="63" spans="1:7" x14ac:dyDescent="0.25">
      <c r="A63" t="s">
        <v>550</v>
      </c>
      <c r="B63">
        <v>15</v>
      </c>
      <c r="C63">
        <v>2</v>
      </c>
      <c r="D63">
        <v>1</v>
      </c>
      <c r="E63" t="s">
        <v>895</v>
      </c>
      <c r="F63" t="s">
        <v>904</v>
      </c>
      <c r="G63" t="s">
        <v>907</v>
      </c>
    </row>
    <row r="64" spans="1:7" x14ac:dyDescent="0.25">
      <c r="A64" t="s">
        <v>483</v>
      </c>
      <c r="B64">
        <v>322</v>
      </c>
      <c r="C64">
        <v>-193</v>
      </c>
      <c r="D64">
        <v>5</v>
      </c>
      <c r="E64" t="s">
        <v>885</v>
      </c>
      <c r="F64" t="s">
        <v>892</v>
      </c>
      <c r="G64" t="s">
        <v>898</v>
      </c>
    </row>
    <row r="65" spans="1:7" x14ac:dyDescent="0.25">
      <c r="A65" t="s">
        <v>144</v>
      </c>
      <c r="B65">
        <v>1316</v>
      </c>
      <c r="C65">
        <v>527</v>
      </c>
      <c r="D65">
        <v>7</v>
      </c>
      <c r="E65" t="s">
        <v>885</v>
      </c>
      <c r="F65" t="s">
        <v>886</v>
      </c>
      <c r="G65" t="s">
        <v>893</v>
      </c>
    </row>
    <row r="66" spans="1:7" x14ac:dyDescent="0.25">
      <c r="A66" t="s">
        <v>146</v>
      </c>
      <c r="B66">
        <v>1314</v>
      </c>
      <c r="C66">
        <v>342</v>
      </c>
      <c r="D66">
        <v>3</v>
      </c>
      <c r="E66" t="s">
        <v>888</v>
      </c>
      <c r="F66" t="s">
        <v>891</v>
      </c>
      <c r="G66" t="s">
        <v>893</v>
      </c>
    </row>
    <row r="67" spans="1:7" x14ac:dyDescent="0.25">
      <c r="A67" t="s">
        <v>863</v>
      </c>
      <c r="B67">
        <v>17</v>
      </c>
      <c r="C67">
        <v>7</v>
      </c>
      <c r="D67">
        <v>3</v>
      </c>
      <c r="E67" t="s">
        <v>895</v>
      </c>
      <c r="F67" t="s">
        <v>899</v>
      </c>
      <c r="G67" t="s">
        <v>907</v>
      </c>
    </row>
    <row r="68" spans="1:7" x14ac:dyDescent="0.25">
      <c r="A68" t="s">
        <v>20</v>
      </c>
      <c r="B68">
        <v>17</v>
      </c>
      <c r="C68">
        <v>2</v>
      </c>
      <c r="D68">
        <v>2</v>
      </c>
      <c r="E68" t="s">
        <v>895</v>
      </c>
      <c r="F68" t="s">
        <v>901</v>
      </c>
      <c r="G68" t="s">
        <v>907</v>
      </c>
    </row>
    <row r="69" spans="1:7" x14ac:dyDescent="0.25">
      <c r="A69" t="s">
        <v>862</v>
      </c>
      <c r="B69">
        <v>17</v>
      </c>
      <c r="C69">
        <v>-12</v>
      </c>
      <c r="D69">
        <v>5</v>
      </c>
      <c r="E69" t="s">
        <v>895</v>
      </c>
      <c r="F69" t="s">
        <v>901</v>
      </c>
      <c r="G69" t="s">
        <v>907</v>
      </c>
    </row>
    <row r="70" spans="1:7" x14ac:dyDescent="0.25">
      <c r="A70" t="s">
        <v>148</v>
      </c>
      <c r="B70">
        <v>1308</v>
      </c>
      <c r="C70">
        <v>536</v>
      </c>
      <c r="D70">
        <v>3</v>
      </c>
      <c r="E70" t="s">
        <v>888</v>
      </c>
      <c r="F70" t="s">
        <v>891</v>
      </c>
      <c r="G70" t="s">
        <v>893</v>
      </c>
    </row>
    <row r="71" spans="1:7" x14ac:dyDescent="0.25">
      <c r="A71" t="s">
        <v>198</v>
      </c>
      <c r="B71">
        <v>1076</v>
      </c>
      <c r="C71">
        <v>-38</v>
      </c>
      <c r="D71">
        <v>4</v>
      </c>
      <c r="E71" t="s">
        <v>885</v>
      </c>
      <c r="F71" t="s">
        <v>892</v>
      </c>
      <c r="G71" t="s">
        <v>893</v>
      </c>
    </row>
    <row r="72" spans="1:7" x14ac:dyDescent="0.25">
      <c r="A72" t="s">
        <v>150</v>
      </c>
      <c r="B72">
        <v>1301</v>
      </c>
      <c r="C72">
        <v>573</v>
      </c>
      <c r="D72">
        <v>5</v>
      </c>
      <c r="E72" t="s">
        <v>885</v>
      </c>
      <c r="F72" t="s">
        <v>905</v>
      </c>
      <c r="G72" t="s">
        <v>893</v>
      </c>
    </row>
    <row r="73" spans="1:7" x14ac:dyDescent="0.25">
      <c r="A73" t="s">
        <v>152</v>
      </c>
      <c r="B73">
        <v>1300</v>
      </c>
      <c r="C73">
        <v>-16</v>
      </c>
      <c r="D73">
        <v>8</v>
      </c>
      <c r="E73" t="s">
        <v>885</v>
      </c>
      <c r="F73" t="s">
        <v>892</v>
      </c>
      <c r="G73" t="s">
        <v>893</v>
      </c>
    </row>
    <row r="74" spans="1:7" x14ac:dyDescent="0.25">
      <c r="A74" t="s">
        <v>209</v>
      </c>
      <c r="B74">
        <v>11</v>
      </c>
      <c r="C74">
        <v>-2</v>
      </c>
      <c r="D74">
        <v>4</v>
      </c>
      <c r="E74" t="s">
        <v>895</v>
      </c>
      <c r="F74" t="s">
        <v>899</v>
      </c>
      <c r="G74" t="s">
        <v>887</v>
      </c>
    </row>
    <row r="75" spans="1:7" x14ac:dyDescent="0.25">
      <c r="A75" t="s">
        <v>156</v>
      </c>
      <c r="B75">
        <v>1298</v>
      </c>
      <c r="C75">
        <v>65</v>
      </c>
      <c r="D75">
        <v>9</v>
      </c>
      <c r="E75" t="s">
        <v>885</v>
      </c>
      <c r="F75" t="s">
        <v>892</v>
      </c>
      <c r="G75" t="s">
        <v>890</v>
      </c>
    </row>
    <row r="76" spans="1:7" x14ac:dyDescent="0.25">
      <c r="A76" t="s">
        <v>496</v>
      </c>
      <c r="B76">
        <v>304</v>
      </c>
      <c r="C76">
        <v>97</v>
      </c>
      <c r="D76">
        <v>6</v>
      </c>
      <c r="E76" t="s">
        <v>895</v>
      </c>
      <c r="F76" t="s">
        <v>903</v>
      </c>
      <c r="G76" t="s">
        <v>898</v>
      </c>
    </row>
    <row r="77" spans="1:7" x14ac:dyDescent="0.25">
      <c r="A77" t="s">
        <v>206</v>
      </c>
      <c r="B77">
        <v>1055</v>
      </c>
      <c r="C77">
        <v>264</v>
      </c>
      <c r="D77">
        <v>4</v>
      </c>
      <c r="E77" t="s">
        <v>885</v>
      </c>
      <c r="F77" t="s">
        <v>892</v>
      </c>
      <c r="G77" t="s">
        <v>890</v>
      </c>
    </row>
    <row r="78" spans="1:7" x14ac:dyDescent="0.25">
      <c r="A78" t="s">
        <v>16</v>
      </c>
      <c r="B78">
        <v>17</v>
      </c>
      <c r="C78">
        <v>-13</v>
      </c>
      <c r="D78">
        <v>4</v>
      </c>
      <c r="E78" t="s">
        <v>895</v>
      </c>
      <c r="F78" t="s">
        <v>901</v>
      </c>
      <c r="G78" t="s">
        <v>907</v>
      </c>
    </row>
    <row r="79" spans="1:7" x14ac:dyDescent="0.25">
      <c r="A79" t="s">
        <v>179</v>
      </c>
      <c r="B79">
        <v>147</v>
      </c>
      <c r="C79">
        <v>73</v>
      </c>
      <c r="D79">
        <v>3</v>
      </c>
      <c r="E79" t="s">
        <v>895</v>
      </c>
      <c r="F79" t="s">
        <v>903</v>
      </c>
      <c r="G79" t="s">
        <v>887</v>
      </c>
    </row>
    <row r="80" spans="1:7" x14ac:dyDescent="0.25">
      <c r="A80" t="s">
        <v>214</v>
      </c>
      <c r="B80">
        <v>965</v>
      </c>
      <c r="C80">
        <v>-68</v>
      </c>
      <c r="D80">
        <v>3</v>
      </c>
      <c r="E80" t="s">
        <v>885</v>
      </c>
      <c r="F80" t="s">
        <v>892</v>
      </c>
      <c r="G80" t="s">
        <v>887</v>
      </c>
    </row>
    <row r="81" spans="1:7" x14ac:dyDescent="0.25">
      <c r="A81" t="s">
        <v>718</v>
      </c>
      <c r="B81">
        <v>12</v>
      </c>
      <c r="C81">
        <v>-2</v>
      </c>
      <c r="D81">
        <v>3</v>
      </c>
      <c r="E81" t="s">
        <v>895</v>
      </c>
      <c r="F81" t="s">
        <v>899</v>
      </c>
      <c r="G81" t="s">
        <v>887</v>
      </c>
    </row>
    <row r="82" spans="1:7" x14ac:dyDescent="0.25">
      <c r="A82" t="s">
        <v>689</v>
      </c>
      <c r="B82">
        <v>14</v>
      </c>
      <c r="C82">
        <v>-2</v>
      </c>
      <c r="D82">
        <v>3</v>
      </c>
      <c r="E82" t="s">
        <v>895</v>
      </c>
      <c r="F82" t="s">
        <v>899</v>
      </c>
      <c r="G82" t="s">
        <v>898</v>
      </c>
    </row>
    <row r="83" spans="1:7" x14ac:dyDescent="0.25">
      <c r="A83" t="s">
        <v>220</v>
      </c>
      <c r="B83">
        <v>934</v>
      </c>
      <c r="C83">
        <v>-916</v>
      </c>
      <c r="D83">
        <v>7</v>
      </c>
      <c r="E83" t="s">
        <v>885</v>
      </c>
      <c r="F83" t="s">
        <v>886</v>
      </c>
      <c r="G83" t="s">
        <v>887</v>
      </c>
    </row>
    <row r="84" spans="1:7" x14ac:dyDescent="0.25">
      <c r="A84" t="s">
        <v>222</v>
      </c>
      <c r="B84">
        <v>929</v>
      </c>
      <c r="C84">
        <v>-93</v>
      </c>
      <c r="D84">
        <v>9</v>
      </c>
      <c r="E84" t="s">
        <v>895</v>
      </c>
      <c r="F84" t="s">
        <v>897</v>
      </c>
      <c r="G84" t="s">
        <v>887</v>
      </c>
    </row>
    <row r="85" spans="1:7" x14ac:dyDescent="0.25">
      <c r="A85" t="s">
        <v>861</v>
      </c>
      <c r="B85">
        <v>18</v>
      </c>
      <c r="C85">
        <v>3</v>
      </c>
      <c r="D85">
        <v>2</v>
      </c>
      <c r="E85" t="s">
        <v>895</v>
      </c>
      <c r="F85" t="s">
        <v>899</v>
      </c>
      <c r="G85" t="s">
        <v>907</v>
      </c>
    </row>
    <row r="86" spans="1:7" x14ac:dyDescent="0.25">
      <c r="A86" t="s">
        <v>228</v>
      </c>
      <c r="B86">
        <v>916</v>
      </c>
      <c r="C86">
        <v>192</v>
      </c>
      <c r="D86">
        <v>11</v>
      </c>
      <c r="E86" t="s">
        <v>885</v>
      </c>
      <c r="F86" t="s">
        <v>894</v>
      </c>
      <c r="G86" t="s">
        <v>887</v>
      </c>
    </row>
    <row r="87" spans="1:7" x14ac:dyDescent="0.25">
      <c r="A87" t="s">
        <v>335</v>
      </c>
      <c r="B87">
        <v>76</v>
      </c>
      <c r="C87">
        <v>-72</v>
      </c>
      <c r="D87">
        <v>9</v>
      </c>
      <c r="E87" t="s">
        <v>895</v>
      </c>
      <c r="F87" t="s">
        <v>899</v>
      </c>
      <c r="G87" t="s">
        <v>887</v>
      </c>
    </row>
    <row r="88" spans="1:7" x14ac:dyDescent="0.25">
      <c r="A88" t="s">
        <v>244</v>
      </c>
      <c r="B88">
        <v>869</v>
      </c>
      <c r="C88">
        <v>67</v>
      </c>
      <c r="D88">
        <v>4</v>
      </c>
      <c r="E88" t="s">
        <v>888</v>
      </c>
      <c r="F88" t="s">
        <v>902</v>
      </c>
      <c r="G88" t="s">
        <v>887</v>
      </c>
    </row>
    <row r="89" spans="1:7" x14ac:dyDescent="0.25">
      <c r="A89" t="s">
        <v>693</v>
      </c>
      <c r="B89">
        <v>112</v>
      </c>
      <c r="C89">
        <v>24</v>
      </c>
      <c r="D89">
        <v>3</v>
      </c>
      <c r="E89" t="s">
        <v>895</v>
      </c>
      <c r="F89" t="s">
        <v>900</v>
      </c>
      <c r="G89" t="s">
        <v>887</v>
      </c>
    </row>
    <row r="90" spans="1:7" x14ac:dyDescent="0.25">
      <c r="A90" t="s">
        <v>50</v>
      </c>
      <c r="B90">
        <v>39</v>
      </c>
      <c r="C90">
        <v>16</v>
      </c>
      <c r="D90">
        <v>6</v>
      </c>
      <c r="E90" t="s">
        <v>895</v>
      </c>
      <c r="F90" t="s">
        <v>901</v>
      </c>
      <c r="G90" t="s">
        <v>898</v>
      </c>
    </row>
    <row r="91" spans="1:7" x14ac:dyDescent="0.25">
      <c r="A91" t="s">
        <v>230</v>
      </c>
      <c r="B91">
        <v>857</v>
      </c>
      <c r="C91">
        <v>-274</v>
      </c>
      <c r="D91">
        <v>2</v>
      </c>
      <c r="E91" t="s">
        <v>888</v>
      </c>
      <c r="F91" t="s">
        <v>902</v>
      </c>
      <c r="G91" t="s">
        <v>887</v>
      </c>
    </row>
    <row r="92" spans="1:7" x14ac:dyDescent="0.25">
      <c r="A92" t="s">
        <v>256</v>
      </c>
      <c r="B92">
        <v>828</v>
      </c>
      <c r="C92">
        <v>230</v>
      </c>
      <c r="D92">
        <v>2</v>
      </c>
      <c r="E92" t="s">
        <v>888</v>
      </c>
      <c r="F92" t="s">
        <v>889</v>
      </c>
      <c r="G92" t="s">
        <v>887</v>
      </c>
    </row>
    <row r="93" spans="1:7" x14ac:dyDescent="0.25">
      <c r="A93" t="s">
        <v>140</v>
      </c>
      <c r="B93">
        <v>1279</v>
      </c>
      <c r="C93">
        <v>-640</v>
      </c>
      <c r="D93">
        <v>8</v>
      </c>
      <c r="E93" t="s">
        <v>885</v>
      </c>
      <c r="F93" t="s">
        <v>892</v>
      </c>
      <c r="G93" t="s">
        <v>890</v>
      </c>
    </row>
    <row r="94" spans="1:7" x14ac:dyDescent="0.25">
      <c r="A94" t="s">
        <v>169</v>
      </c>
      <c r="B94">
        <v>1250</v>
      </c>
      <c r="C94">
        <v>486</v>
      </c>
      <c r="D94">
        <v>7</v>
      </c>
      <c r="E94" t="s">
        <v>895</v>
      </c>
      <c r="F94" t="s">
        <v>897</v>
      </c>
      <c r="G94" t="s">
        <v>890</v>
      </c>
    </row>
    <row r="95" spans="1:7" x14ac:dyDescent="0.25">
      <c r="A95" t="s">
        <v>258</v>
      </c>
      <c r="B95">
        <v>823</v>
      </c>
      <c r="C95">
        <v>-18</v>
      </c>
      <c r="D95">
        <v>7</v>
      </c>
      <c r="E95" t="s">
        <v>888</v>
      </c>
      <c r="F95" t="s">
        <v>889</v>
      </c>
      <c r="G95" t="s">
        <v>887</v>
      </c>
    </row>
    <row r="96" spans="1:7" x14ac:dyDescent="0.25">
      <c r="A96" t="s">
        <v>179</v>
      </c>
      <c r="B96">
        <v>1157</v>
      </c>
      <c r="C96">
        <v>-13</v>
      </c>
      <c r="D96">
        <v>9</v>
      </c>
      <c r="E96" t="s">
        <v>888</v>
      </c>
      <c r="F96" t="s">
        <v>891</v>
      </c>
      <c r="G96" t="s">
        <v>893</v>
      </c>
    </row>
    <row r="97" spans="1:7" x14ac:dyDescent="0.25">
      <c r="A97" t="s">
        <v>664</v>
      </c>
      <c r="B97">
        <v>126</v>
      </c>
      <c r="C97">
        <v>-63</v>
      </c>
      <c r="D97">
        <v>3</v>
      </c>
      <c r="E97" t="s">
        <v>885</v>
      </c>
      <c r="F97" t="s">
        <v>905</v>
      </c>
      <c r="G97" t="s">
        <v>898</v>
      </c>
    </row>
    <row r="98" spans="1:7" x14ac:dyDescent="0.25">
      <c r="A98" t="s">
        <v>181</v>
      </c>
      <c r="B98">
        <v>1145</v>
      </c>
      <c r="C98">
        <v>-706</v>
      </c>
      <c r="D98">
        <v>3</v>
      </c>
      <c r="E98" t="s">
        <v>885</v>
      </c>
      <c r="F98" t="s">
        <v>894</v>
      </c>
      <c r="G98" t="s">
        <v>893</v>
      </c>
    </row>
    <row r="99" spans="1:7" x14ac:dyDescent="0.25">
      <c r="A99" t="s">
        <v>267</v>
      </c>
      <c r="B99">
        <v>774</v>
      </c>
      <c r="C99">
        <v>170</v>
      </c>
      <c r="D99">
        <v>3</v>
      </c>
      <c r="E99" t="s">
        <v>885</v>
      </c>
      <c r="F99" t="s">
        <v>905</v>
      </c>
      <c r="G99" t="s">
        <v>887</v>
      </c>
    </row>
    <row r="100" spans="1:7" x14ac:dyDescent="0.25">
      <c r="A100" t="s">
        <v>124</v>
      </c>
      <c r="B100">
        <v>24</v>
      </c>
      <c r="C100">
        <v>-1</v>
      </c>
      <c r="D100">
        <v>2</v>
      </c>
      <c r="E100" t="s">
        <v>895</v>
      </c>
      <c r="F100" t="s">
        <v>899</v>
      </c>
      <c r="G100" t="s">
        <v>887</v>
      </c>
    </row>
    <row r="101" spans="1:7" x14ac:dyDescent="0.25">
      <c r="A101" t="s">
        <v>265</v>
      </c>
      <c r="B101">
        <v>774</v>
      </c>
      <c r="C101">
        <v>170</v>
      </c>
      <c r="D101">
        <v>3</v>
      </c>
      <c r="E101" t="s">
        <v>885</v>
      </c>
      <c r="F101" t="s">
        <v>905</v>
      </c>
      <c r="G101" t="s">
        <v>887</v>
      </c>
    </row>
    <row r="102" spans="1:7" x14ac:dyDescent="0.25">
      <c r="A102" t="s">
        <v>228</v>
      </c>
      <c r="B102">
        <v>93</v>
      </c>
      <c r="C102">
        <v>-1</v>
      </c>
      <c r="D102">
        <v>2</v>
      </c>
      <c r="E102" t="s">
        <v>895</v>
      </c>
      <c r="F102" t="s">
        <v>899</v>
      </c>
      <c r="G102" t="s">
        <v>887</v>
      </c>
    </row>
    <row r="103" spans="1:7" x14ac:dyDescent="0.25">
      <c r="A103" t="s">
        <v>277</v>
      </c>
      <c r="B103">
        <v>765</v>
      </c>
      <c r="C103">
        <v>-36</v>
      </c>
      <c r="D103">
        <v>3</v>
      </c>
      <c r="E103" t="s">
        <v>885</v>
      </c>
      <c r="F103" t="s">
        <v>886</v>
      </c>
      <c r="G103" t="s">
        <v>887</v>
      </c>
    </row>
    <row r="104" spans="1:7" x14ac:dyDescent="0.25">
      <c r="A104" t="s">
        <v>279</v>
      </c>
      <c r="B104">
        <v>762</v>
      </c>
      <c r="C104">
        <v>101</v>
      </c>
      <c r="D104">
        <v>6</v>
      </c>
      <c r="E104" t="s">
        <v>885</v>
      </c>
      <c r="F104" t="s">
        <v>892</v>
      </c>
      <c r="G104" t="s">
        <v>887</v>
      </c>
    </row>
    <row r="105" spans="1:7" x14ac:dyDescent="0.25">
      <c r="A105" t="s">
        <v>130</v>
      </c>
      <c r="B105">
        <v>761</v>
      </c>
      <c r="C105">
        <v>266</v>
      </c>
      <c r="D105">
        <v>9</v>
      </c>
      <c r="E105" t="s">
        <v>885</v>
      </c>
      <c r="F105" t="s">
        <v>886</v>
      </c>
      <c r="G105" t="s">
        <v>887</v>
      </c>
    </row>
    <row r="106" spans="1:7" x14ac:dyDescent="0.25">
      <c r="A106" t="s">
        <v>390</v>
      </c>
      <c r="B106">
        <v>96</v>
      </c>
      <c r="C106">
        <v>-48</v>
      </c>
      <c r="D106">
        <v>5</v>
      </c>
      <c r="E106" t="s">
        <v>895</v>
      </c>
      <c r="F106" t="s">
        <v>904</v>
      </c>
      <c r="G106" t="s">
        <v>898</v>
      </c>
    </row>
    <row r="107" spans="1:7" x14ac:dyDescent="0.25">
      <c r="A107" t="s">
        <v>185</v>
      </c>
      <c r="B107">
        <v>1137</v>
      </c>
      <c r="C107">
        <v>-14</v>
      </c>
      <c r="D107">
        <v>7</v>
      </c>
      <c r="E107" t="s">
        <v>885</v>
      </c>
      <c r="F107" t="s">
        <v>892</v>
      </c>
      <c r="G107" t="s">
        <v>890</v>
      </c>
    </row>
    <row r="108" spans="1:7" x14ac:dyDescent="0.25">
      <c r="A108" t="s">
        <v>181</v>
      </c>
      <c r="B108">
        <v>18</v>
      </c>
      <c r="C108">
        <v>8</v>
      </c>
      <c r="D108">
        <v>2</v>
      </c>
      <c r="E108" t="s">
        <v>895</v>
      </c>
      <c r="F108" t="s">
        <v>899</v>
      </c>
      <c r="G108" t="s">
        <v>907</v>
      </c>
    </row>
    <row r="109" spans="1:7" x14ac:dyDescent="0.25">
      <c r="A109" t="s">
        <v>226</v>
      </c>
      <c r="B109">
        <v>749</v>
      </c>
      <c r="C109">
        <v>-307</v>
      </c>
      <c r="D109">
        <v>7</v>
      </c>
      <c r="E109" t="s">
        <v>888</v>
      </c>
      <c r="F109" t="s">
        <v>908</v>
      </c>
      <c r="G109" t="s">
        <v>887</v>
      </c>
    </row>
    <row r="110" spans="1:7" x14ac:dyDescent="0.25">
      <c r="A110" t="s">
        <v>185</v>
      </c>
      <c r="B110">
        <v>1120</v>
      </c>
      <c r="C110">
        <v>199</v>
      </c>
      <c r="D110">
        <v>6</v>
      </c>
      <c r="E110" t="s">
        <v>895</v>
      </c>
      <c r="F110" t="s">
        <v>897</v>
      </c>
      <c r="G110" t="s">
        <v>890</v>
      </c>
    </row>
    <row r="111" spans="1:7" x14ac:dyDescent="0.25">
      <c r="A111" t="s">
        <v>175</v>
      </c>
      <c r="B111">
        <v>744</v>
      </c>
      <c r="C111">
        <v>119</v>
      </c>
      <c r="D111">
        <v>6</v>
      </c>
      <c r="E111" t="s">
        <v>885</v>
      </c>
      <c r="F111" t="s">
        <v>892</v>
      </c>
      <c r="G111" t="s">
        <v>887</v>
      </c>
    </row>
    <row r="112" spans="1:7" x14ac:dyDescent="0.25">
      <c r="A112" t="s">
        <v>219</v>
      </c>
      <c r="B112">
        <v>14</v>
      </c>
      <c r="C112">
        <v>0</v>
      </c>
      <c r="D112">
        <v>4</v>
      </c>
      <c r="E112" t="s">
        <v>895</v>
      </c>
      <c r="F112" t="s">
        <v>899</v>
      </c>
      <c r="G112" t="s">
        <v>898</v>
      </c>
    </row>
    <row r="113" spans="1:7" x14ac:dyDescent="0.25">
      <c r="A113" t="s">
        <v>411</v>
      </c>
      <c r="B113">
        <v>19</v>
      </c>
      <c r="C113">
        <v>8</v>
      </c>
      <c r="D113">
        <v>2</v>
      </c>
      <c r="E113" t="s">
        <v>895</v>
      </c>
      <c r="F113" t="s">
        <v>899</v>
      </c>
      <c r="G113" t="s">
        <v>907</v>
      </c>
    </row>
    <row r="114" spans="1:7" x14ac:dyDescent="0.25">
      <c r="A114" t="s">
        <v>224</v>
      </c>
      <c r="B114">
        <v>512</v>
      </c>
      <c r="C114">
        <v>-225</v>
      </c>
      <c r="D114">
        <v>5</v>
      </c>
      <c r="E114" t="s">
        <v>895</v>
      </c>
      <c r="F114" t="s">
        <v>897</v>
      </c>
      <c r="G114" t="s">
        <v>887</v>
      </c>
    </row>
    <row r="115" spans="1:7" x14ac:dyDescent="0.25">
      <c r="A115" t="s">
        <v>286</v>
      </c>
      <c r="B115">
        <v>742</v>
      </c>
      <c r="C115">
        <v>198</v>
      </c>
      <c r="D115">
        <v>2</v>
      </c>
      <c r="E115" t="s">
        <v>888</v>
      </c>
      <c r="F115" t="s">
        <v>891</v>
      </c>
      <c r="G115" t="s">
        <v>887</v>
      </c>
    </row>
    <row r="116" spans="1:7" x14ac:dyDescent="0.25">
      <c r="A116" t="s">
        <v>800</v>
      </c>
      <c r="B116">
        <v>44</v>
      </c>
      <c r="C116">
        <v>-40</v>
      </c>
      <c r="D116">
        <v>3</v>
      </c>
      <c r="E116" t="s">
        <v>895</v>
      </c>
      <c r="F116" t="s">
        <v>903</v>
      </c>
      <c r="G116" t="s">
        <v>887</v>
      </c>
    </row>
    <row r="117" spans="1:7" x14ac:dyDescent="0.25">
      <c r="A117" t="s">
        <v>204</v>
      </c>
      <c r="B117">
        <v>1061</v>
      </c>
      <c r="C117">
        <v>-36</v>
      </c>
      <c r="D117">
        <v>8</v>
      </c>
      <c r="E117" t="s">
        <v>888</v>
      </c>
      <c r="F117" t="s">
        <v>891</v>
      </c>
      <c r="G117" t="s">
        <v>890</v>
      </c>
    </row>
    <row r="118" spans="1:7" x14ac:dyDescent="0.25">
      <c r="A118" t="s">
        <v>860</v>
      </c>
      <c r="B118">
        <v>19</v>
      </c>
      <c r="C118">
        <v>-2</v>
      </c>
      <c r="D118">
        <v>2</v>
      </c>
      <c r="E118" t="s">
        <v>895</v>
      </c>
      <c r="F118" t="s">
        <v>904</v>
      </c>
      <c r="G118" t="s">
        <v>907</v>
      </c>
    </row>
    <row r="119" spans="1:7" x14ac:dyDescent="0.25">
      <c r="A119" t="s">
        <v>668</v>
      </c>
      <c r="B119">
        <v>17</v>
      </c>
      <c r="C119">
        <v>0</v>
      </c>
      <c r="D119">
        <v>1</v>
      </c>
      <c r="E119" t="s">
        <v>895</v>
      </c>
      <c r="F119" t="s">
        <v>899</v>
      </c>
      <c r="G119" t="s">
        <v>887</v>
      </c>
    </row>
    <row r="120" spans="1:7" x14ac:dyDescent="0.25">
      <c r="A120" t="s">
        <v>288</v>
      </c>
      <c r="B120">
        <v>741</v>
      </c>
      <c r="C120">
        <v>267</v>
      </c>
      <c r="D120">
        <v>5</v>
      </c>
      <c r="E120" t="s">
        <v>888</v>
      </c>
      <c r="F120" t="s">
        <v>891</v>
      </c>
      <c r="G120" t="s">
        <v>887</v>
      </c>
    </row>
    <row r="121" spans="1:7" x14ac:dyDescent="0.25">
      <c r="A121" t="s">
        <v>130</v>
      </c>
      <c r="B121">
        <v>735</v>
      </c>
      <c r="C121">
        <v>-235</v>
      </c>
      <c r="D121">
        <v>6</v>
      </c>
      <c r="E121" t="s">
        <v>885</v>
      </c>
      <c r="F121" t="s">
        <v>892</v>
      </c>
      <c r="G121" t="s">
        <v>887</v>
      </c>
    </row>
    <row r="122" spans="1:7" x14ac:dyDescent="0.25">
      <c r="A122" t="s">
        <v>367</v>
      </c>
      <c r="B122">
        <v>19</v>
      </c>
      <c r="C122">
        <v>-1</v>
      </c>
      <c r="D122">
        <v>1</v>
      </c>
      <c r="E122" t="s">
        <v>895</v>
      </c>
      <c r="F122" t="s">
        <v>909</v>
      </c>
      <c r="G122" t="s">
        <v>907</v>
      </c>
    </row>
    <row r="123" spans="1:7" x14ac:dyDescent="0.25">
      <c r="A123" t="s">
        <v>211</v>
      </c>
      <c r="B123">
        <v>1021</v>
      </c>
      <c r="C123">
        <v>-48</v>
      </c>
      <c r="D123">
        <v>4</v>
      </c>
      <c r="E123" t="s">
        <v>885</v>
      </c>
      <c r="F123" t="s">
        <v>886</v>
      </c>
      <c r="G123" t="s">
        <v>890</v>
      </c>
    </row>
    <row r="124" spans="1:7" x14ac:dyDescent="0.25">
      <c r="A124" t="s">
        <v>362</v>
      </c>
      <c r="B124">
        <v>556</v>
      </c>
      <c r="C124">
        <v>-209</v>
      </c>
      <c r="D124">
        <v>7</v>
      </c>
      <c r="E124" t="s">
        <v>895</v>
      </c>
      <c r="F124" t="s">
        <v>897</v>
      </c>
      <c r="G124" t="s">
        <v>887</v>
      </c>
    </row>
    <row r="125" spans="1:7" x14ac:dyDescent="0.25">
      <c r="A125" t="s">
        <v>548</v>
      </c>
      <c r="B125">
        <v>63</v>
      </c>
      <c r="C125">
        <v>-17</v>
      </c>
      <c r="D125">
        <v>6</v>
      </c>
      <c r="E125" t="s">
        <v>895</v>
      </c>
      <c r="F125" t="s">
        <v>904</v>
      </c>
      <c r="G125" t="s">
        <v>887</v>
      </c>
    </row>
    <row r="126" spans="1:7" x14ac:dyDescent="0.25">
      <c r="A126" t="s">
        <v>292</v>
      </c>
      <c r="B126">
        <v>734</v>
      </c>
      <c r="C126">
        <v>248</v>
      </c>
      <c r="D126">
        <v>2</v>
      </c>
      <c r="E126" t="s">
        <v>888</v>
      </c>
      <c r="F126" t="s">
        <v>889</v>
      </c>
      <c r="G126" t="s">
        <v>887</v>
      </c>
    </row>
    <row r="127" spans="1:7" x14ac:dyDescent="0.25">
      <c r="A127" t="s">
        <v>114</v>
      </c>
      <c r="B127">
        <v>933</v>
      </c>
      <c r="C127">
        <v>166</v>
      </c>
      <c r="D127">
        <v>5</v>
      </c>
      <c r="E127" t="s">
        <v>895</v>
      </c>
      <c r="F127" t="s">
        <v>897</v>
      </c>
      <c r="G127" t="s">
        <v>893</v>
      </c>
    </row>
    <row r="128" spans="1:7" x14ac:dyDescent="0.25">
      <c r="A128" t="s">
        <v>858</v>
      </c>
      <c r="B128">
        <v>20</v>
      </c>
      <c r="C128">
        <v>-9</v>
      </c>
      <c r="D128">
        <v>6</v>
      </c>
      <c r="E128" t="s">
        <v>895</v>
      </c>
      <c r="F128" t="s">
        <v>899</v>
      </c>
      <c r="G128" t="s">
        <v>907</v>
      </c>
    </row>
    <row r="129" spans="1:7" x14ac:dyDescent="0.25">
      <c r="A129" t="s">
        <v>240</v>
      </c>
      <c r="B129">
        <v>877</v>
      </c>
      <c r="C129">
        <v>395</v>
      </c>
      <c r="D129">
        <v>2</v>
      </c>
      <c r="E129" t="s">
        <v>888</v>
      </c>
      <c r="F129" t="s">
        <v>891</v>
      </c>
      <c r="G129" t="s">
        <v>893</v>
      </c>
    </row>
    <row r="130" spans="1:7" x14ac:dyDescent="0.25">
      <c r="A130" t="s">
        <v>288</v>
      </c>
      <c r="B130">
        <v>719</v>
      </c>
      <c r="C130">
        <v>303</v>
      </c>
      <c r="D130">
        <v>6</v>
      </c>
      <c r="E130" t="s">
        <v>888</v>
      </c>
      <c r="F130" t="s">
        <v>889</v>
      </c>
      <c r="G130" t="s">
        <v>887</v>
      </c>
    </row>
    <row r="131" spans="1:7" x14ac:dyDescent="0.25">
      <c r="A131" t="s">
        <v>134</v>
      </c>
      <c r="B131">
        <v>12</v>
      </c>
      <c r="C131">
        <v>1</v>
      </c>
      <c r="D131">
        <v>2</v>
      </c>
      <c r="E131" t="s">
        <v>895</v>
      </c>
      <c r="F131" t="s">
        <v>899</v>
      </c>
      <c r="G131" t="s">
        <v>887</v>
      </c>
    </row>
    <row r="132" spans="1:7" x14ac:dyDescent="0.25">
      <c r="A132" t="s">
        <v>298</v>
      </c>
      <c r="B132">
        <v>714</v>
      </c>
      <c r="C132">
        <v>56</v>
      </c>
      <c r="D132">
        <v>4</v>
      </c>
      <c r="E132" t="s">
        <v>895</v>
      </c>
      <c r="F132" t="s">
        <v>897</v>
      </c>
      <c r="G132" t="s">
        <v>887</v>
      </c>
    </row>
    <row r="133" spans="1:7" x14ac:dyDescent="0.25">
      <c r="A133" t="s">
        <v>795</v>
      </c>
      <c r="B133">
        <v>50</v>
      </c>
      <c r="C133">
        <v>-15</v>
      </c>
      <c r="D133">
        <v>4</v>
      </c>
      <c r="E133" t="s">
        <v>895</v>
      </c>
      <c r="F133" t="s">
        <v>904</v>
      </c>
      <c r="G133" t="s">
        <v>887</v>
      </c>
    </row>
    <row r="134" spans="1:7" x14ac:dyDescent="0.25">
      <c r="A134" t="s">
        <v>304</v>
      </c>
      <c r="B134">
        <v>709</v>
      </c>
      <c r="C134">
        <v>-100</v>
      </c>
      <c r="D134">
        <v>5</v>
      </c>
      <c r="E134" t="s">
        <v>885</v>
      </c>
      <c r="F134" t="s">
        <v>894</v>
      </c>
      <c r="G134" t="s">
        <v>887</v>
      </c>
    </row>
    <row r="135" spans="1:7" x14ac:dyDescent="0.25">
      <c r="A135" t="s">
        <v>675</v>
      </c>
      <c r="B135">
        <v>21</v>
      </c>
      <c r="C135">
        <v>-12</v>
      </c>
      <c r="D135">
        <v>3</v>
      </c>
      <c r="E135" t="s">
        <v>895</v>
      </c>
      <c r="F135" t="s">
        <v>899</v>
      </c>
      <c r="G135" t="s">
        <v>907</v>
      </c>
    </row>
    <row r="136" spans="1:7" x14ac:dyDescent="0.25">
      <c r="A136" t="s">
        <v>306</v>
      </c>
      <c r="B136">
        <v>693</v>
      </c>
      <c r="C136">
        <v>254</v>
      </c>
      <c r="D136">
        <v>6</v>
      </c>
      <c r="E136" t="s">
        <v>895</v>
      </c>
      <c r="F136" t="s">
        <v>897</v>
      </c>
      <c r="G136" t="s">
        <v>887</v>
      </c>
    </row>
    <row r="137" spans="1:7" x14ac:dyDescent="0.25">
      <c r="A137" t="s">
        <v>228</v>
      </c>
      <c r="B137">
        <v>24</v>
      </c>
      <c r="C137">
        <v>1</v>
      </c>
      <c r="D137">
        <v>4</v>
      </c>
      <c r="E137" t="s">
        <v>895</v>
      </c>
      <c r="F137" t="s">
        <v>899</v>
      </c>
      <c r="G137" t="s">
        <v>887</v>
      </c>
    </row>
    <row r="138" spans="1:7" x14ac:dyDescent="0.25">
      <c r="A138" t="s">
        <v>318</v>
      </c>
      <c r="B138">
        <v>24</v>
      </c>
      <c r="C138">
        <v>1</v>
      </c>
      <c r="D138">
        <v>2</v>
      </c>
      <c r="E138" t="s">
        <v>895</v>
      </c>
      <c r="F138" t="s">
        <v>899</v>
      </c>
      <c r="G138" t="s">
        <v>898</v>
      </c>
    </row>
    <row r="139" spans="1:7" x14ac:dyDescent="0.25">
      <c r="A139" t="s">
        <v>244</v>
      </c>
      <c r="B139">
        <v>24</v>
      </c>
      <c r="C139">
        <v>1</v>
      </c>
      <c r="D139">
        <v>2</v>
      </c>
      <c r="E139" t="s">
        <v>895</v>
      </c>
      <c r="F139" t="s">
        <v>899</v>
      </c>
      <c r="G139" t="s">
        <v>887</v>
      </c>
    </row>
    <row r="140" spans="1:7" x14ac:dyDescent="0.25">
      <c r="A140" t="s">
        <v>854</v>
      </c>
      <c r="B140">
        <v>21</v>
      </c>
      <c r="C140">
        <v>10</v>
      </c>
      <c r="D140">
        <v>1</v>
      </c>
      <c r="E140" t="s">
        <v>895</v>
      </c>
      <c r="F140" t="s">
        <v>906</v>
      </c>
      <c r="G140" t="s">
        <v>907</v>
      </c>
    </row>
    <row r="141" spans="1:7" x14ac:dyDescent="0.25">
      <c r="A141" t="s">
        <v>309</v>
      </c>
      <c r="B141">
        <v>681</v>
      </c>
      <c r="C141">
        <v>259</v>
      </c>
      <c r="D141">
        <v>4</v>
      </c>
      <c r="E141" t="s">
        <v>888</v>
      </c>
      <c r="F141" t="s">
        <v>889</v>
      </c>
      <c r="G141" t="s">
        <v>887</v>
      </c>
    </row>
    <row r="142" spans="1:7" x14ac:dyDescent="0.25">
      <c r="A142" t="s">
        <v>166</v>
      </c>
      <c r="B142">
        <v>674</v>
      </c>
      <c r="C142">
        <v>-187</v>
      </c>
      <c r="D142">
        <v>2</v>
      </c>
      <c r="E142" t="s">
        <v>888</v>
      </c>
      <c r="F142" t="s">
        <v>902</v>
      </c>
      <c r="G142" t="s">
        <v>887</v>
      </c>
    </row>
    <row r="143" spans="1:7" x14ac:dyDescent="0.25">
      <c r="A143" t="s">
        <v>313</v>
      </c>
      <c r="B143">
        <v>671</v>
      </c>
      <c r="C143">
        <v>-309</v>
      </c>
      <c r="D143">
        <v>5</v>
      </c>
      <c r="E143" t="s">
        <v>885</v>
      </c>
      <c r="F143" t="s">
        <v>886</v>
      </c>
      <c r="G143" t="s">
        <v>887</v>
      </c>
    </row>
    <row r="144" spans="1:7" x14ac:dyDescent="0.25">
      <c r="A144" t="s">
        <v>321</v>
      </c>
      <c r="B144">
        <v>646</v>
      </c>
      <c r="C144">
        <v>-213</v>
      </c>
      <c r="D144">
        <v>3</v>
      </c>
      <c r="E144" t="s">
        <v>885</v>
      </c>
      <c r="F144" t="s">
        <v>886</v>
      </c>
      <c r="G144" t="s">
        <v>887</v>
      </c>
    </row>
    <row r="145" spans="1:7" x14ac:dyDescent="0.25">
      <c r="A145" t="s">
        <v>815</v>
      </c>
      <c r="B145">
        <v>40</v>
      </c>
      <c r="C145">
        <v>15</v>
      </c>
      <c r="D145">
        <v>1</v>
      </c>
      <c r="E145" t="s">
        <v>895</v>
      </c>
      <c r="F145" t="s">
        <v>900</v>
      </c>
      <c r="G145" t="s">
        <v>887</v>
      </c>
    </row>
    <row r="146" spans="1:7" x14ac:dyDescent="0.25">
      <c r="A146" t="s">
        <v>444</v>
      </c>
      <c r="B146">
        <v>24</v>
      </c>
      <c r="C146">
        <v>-2</v>
      </c>
      <c r="D146">
        <v>2</v>
      </c>
      <c r="E146" t="s">
        <v>895</v>
      </c>
      <c r="F146" t="s">
        <v>906</v>
      </c>
      <c r="G146" t="s">
        <v>887</v>
      </c>
    </row>
    <row r="147" spans="1:7" x14ac:dyDescent="0.25">
      <c r="A147" t="s">
        <v>91</v>
      </c>
      <c r="B147">
        <v>644</v>
      </c>
      <c r="C147">
        <v>167</v>
      </c>
      <c r="D147">
        <v>2</v>
      </c>
      <c r="E147" t="s">
        <v>885</v>
      </c>
      <c r="F147" t="s">
        <v>892</v>
      </c>
      <c r="G147" t="s">
        <v>887</v>
      </c>
    </row>
    <row r="148" spans="1:7" x14ac:dyDescent="0.25">
      <c r="A148" t="s">
        <v>324</v>
      </c>
      <c r="B148">
        <v>643</v>
      </c>
      <c r="C148">
        <v>225</v>
      </c>
      <c r="D148">
        <v>2</v>
      </c>
      <c r="E148" t="s">
        <v>885</v>
      </c>
      <c r="F148" t="s">
        <v>892</v>
      </c>
      <c r="G148" t="s">
        <v>887</v>
      </c>
    </row>
    <row r="149" spans="1:7" x14ac:dyDescent="0.25">
      <c r="A149" t="s">
        <v>337</v>
      </c>
      <c r="B149">
        <v>632</v>
      </c>
      <c r="C149">
        <v>-316</v>
      </c>
      <c r="D149">
        <v>6</v>
      </c>
      <c r="E149" t="s">
        <v>895</v>
      </c>
      <c r="F149" t="s">
        <v>897</v>
      </c>
      <c r="G149" t="s">
        <v>887</v>
      </c>
    </row>
    <row r="150" spans="1:7" x14ac:dyDescent="0.25">
      <c r="A150" t="s">
        <v>335</v>
      </c>
      <c r="B150">
        <v>632</v>
      </c>
      <c r="C150">
        <v>316</v>
      </c>
      <c r="D150">
        <v>6</v>
      </c>
      <c r="E150" t="s">
        <v>895</v>
      </c>
      <c r="F150" t="s">
        <v>897</v>
      </c>
      <c r="G150" t="s">
        <v>887</v>
      </c>
    </row>
    <row r="151" spans="1:7" x14ac:dyDescent="0.25">
      <c r="A151" t="s">
        <v>7</v>
      </c>
      <c r="B151">
        <v>610</v>
      </c>
      <c r="C151">
        <v>208</v>
      </c>
      <c r="D151">
        <v>3</v>
      </c>
      <c r="E151" t="s">
        <v>885</v>
      </c>
      <c r="F151" t="s">
        <v>892</v>
      </c>
      <c r="G151" t="s">
        <v>887</v>
      </c>
    </row>
    <row r="152" spans="1:7" x14ac:dyDescent="0.25">
      <c r="A152" t="s">
        <v>267</v>
      </c>
      <c r="B152">
        <v>78</v>
      </c>
      <c r="C152">
        <v>-28</v>
      </c>
      <c r="D152">
        <v>6</v>
      </c>
      <c r="E152" t="s">
        <v>895</v>
      </c>
      <c r="F152" t="s">
        <v>900</v>
      </c>
      <c r="G152" t="s">
        <v>898</v>
      </c>
    </row>
    <row r="153" spans="1:7" x14ac:dyDescent="0.25">
      <c r="A153" t="s">
        <v>348</v>
      </c>
      <c r="B153">
        <v>595</v>
      </c>
      <c r="C153">
        <v>119</v>
      </c>
      <c r="D153">
        <v>4</v>
      </c>
      <c r="E153" t="s">
        <v>888</v>
      </c>
      <c r="F153" t="s">
        <v>891</v>
      </c>
      <c r="G153" t="s">
        <v>887</v>
      </c>
    </row>
    <row r="154" spans="1:7" x14ac:dyDescent="0.25">
      <c r="A154" t="s">
        <v>347</v>
      </c>
      <c r="B154">
        <v>595</v>
      </c>
      <c r="C154">
        <v>292</v>
      </c>
      <c r="D154">
        <v>3</v>
      </c>
      <c r="E154" t="s">
        <v>895</v>
      </c>
      <c r="F154" t="s">
        <v>897</v>
      </c>
      <c r="G154" t="s">
        <v>887</v>
      </c>
    </row>
    <row r="155" spans="1:7" x14ac:dyDescent="0.25">
      <c r="A155" t="s">
        <v>26</v>
      </c>
      <c r="B155">
        <v>852</v>
      </c>
      <c r="C155">
        <v>51</v>
      </c>
      <c r="D155">
        <v>5</v>
      </c>
      <c r="E155" t="s">
        <v>888</v>
      </c>
      <c r="F155" t="s">
        <v>891</v>
      </c>
      <c r="G155" t="s">
        <v>893</v>
      </c>
    </row>
    <row r="156" spans="1:7" x14ac:dyDescent="0.25">
      <c r="A156" t="s">
        <v>350</v>
      </c>
      <c r="B156">
        <v>594</v>
      </c>
      <c r="C156">
        <v>89</v>
      </c>
      <c r="D156">
        <v>3</v>
      </c>
      <c r="E156" t="s">
        <v>888</v>
      </c>
      <c r="F156" t="s">
        <v>891</v>
      </c>
      <c r="G156" t="s">
        <v>887</v>
      </c>
    </row>
    <row r="157" spans="1:7" x14ac:dyDescent="0.25">
      <c r="A157" t="s">
        <v>261</v>
      </c>
      <c r="B157">
        <v>585</v>
      </c>
      <c r="C157">
        <v>175</v>
      </c>
      <c r="D157">
        <v>13</v>
      </c>
      <c r="E157" t="s">
        <v>895</v>
      </c>
      <c r="F157" t="s">
        <v>906</v>
      </c>
      <c r="G157" t="s">
        <v>887</v>
      </c>
    </row>
    <row r="158" spans="1:7" x14ac:dyDescent="0.25">
      <c r="A158" t="s">
        <v>351</v>
      </c>
      <c r="B158">
        <v>582</v>
      </c>
      <c r="C158">
        <v>262</v>
      </c>
      <c r="D158">
        <v>5</v>
      </c>
      <c r="E158" t="s">
        <v>888</v>
      </c>
      <c r="F158" t="s">
        <v>908</v>
      </c>
      <c r="G158" t="s">
        <v>887</v>
      </c>
    </row>
    <row r="159" spans="1:7" x14ac:dyDescent="0.25">
      <c r="A159" t="s">
        <v>250</v>
      </c>
      <c r="B159">
        <v>845</v>
      </c>
      <c r="C159">
        <v>84</v>
      </c>
      <c r="D159">
        <v>7</v>
      </c>
      <c r="E159" t="s">
        <v>895</v>
      </c>
      <c r="F159" t="s">
        <v>897</v>
      </c>
      <c r="G159" t="s">
        <v>893</v>
      </c>
    </row>
    <row r="160" spans="1:7" x14ac:dyDescent="0.25">
      <c r="A160" t="s">
        <v>142</v>
      </c>
      <c r="B160">
        <v>829</v>
      </c>
      <c r="C160">
        <v>19</v>
      </c>
      <c r="D160">
        <v>4</v>
      </c>
      <c r="E160" t="s">
        <v>885</v>
      </c>
      <c r="F160" t="s">
        <v>892</v>
      </c>
      <c r="G160" t="s">
        <v>893</v>
      </c>
    </row>
    <row r="161" spans="1:7" x14ac:dyDescent="0.25">
      <c r="A161" t="s">
        <v>32</v>
      </c>
      <c r="B161">
        <v>561</v>
      </c>
      <c r="C161">
        <v>212</v>
      </c>
      <c r="D161">
        <v>3</v>
      </c>
      <c r="E161" t="s">
        <v>895</v>
      </c>
      <c r="F161" t="s">
        <v>897</v>
      </c>
      <c r="G161" t="s">
        <v>887</v>
      </c>
    </row>
    <row r="162" spans="1:7" x14ac:dyDescent="0.25">
      <c r="A162" t="s">
        <v>206</v>
      </c>
      <c r="B162">
        <v>771</v>
      </c>
      <c r="C162">
        <v>-424</v>
      </c>
      <c r="D162">
        <v>2</v>
      </c>
      <c r="E162" t="s">
        <v>885</v>
      </c>
      <c r="F162" t="s">
        <v>894</v>
      </c>
      <c r="G162" t="s">
        <v>893</v>
      </c>
    </row>
    <row r="163" spans="1:7" x14ac:dyDescent="0.25">
      <c r="A163" t="s">
        <v>275</v>
      </c>
      <c r="B163">
        <v>765</v>
      </c>
      <c r="C163">
        <v>8</v>
      </c>
      <c r="D163">
        <v>6</v>
      </c>
      <c r="E163" t="s">
        <v>895</v>
      </c>
      <c r="F163" t="s">
        <v>897</v>
      </c>
      <c r="G163" t="s">
        <v>890</v>
      </c>
    </row>
    <row r="164" spans="1:7" x14ac:dyDescent="0.25">
      <c r="A164" t="s">
        <v>476</v>
      </c>
      <c r="B164">
        <v>31</v>
      </c>
      <c r="C164">
        <v>2</v>
      </c>
      <c r="D164">
        <v>2</v>
      </c>
      <c r="E164" t="s">
        <v>895</v>
      </c>
      <c r="F164" t="s">
        <v>899</v>
      </c>
      <c r="G164" t="s">
        <v>887</v>
      </c>
    </row>
    <row r="165" spans="1:7" x14ac:dyDescent="0.25">
      <c r="A165" t="s">
        <v>360</v>
      </c>
      <c r="B165">
        <v>557</v>
      </c>
      <c r="C165">
        <v>-111</v>
      </c>
      <c r="D165">
        <v>2</v>
      </c>
      <c r="E165" t="s">
        <v>885</v>
      </c>
      <c r="F165" t="s">
        <v>886</v>
      </c>
      <c r="G165" t="s">
        <v>887</v>
      </c>
    </row>
    <row r="166" spans="1:7" x14ac:dyDescent="0.25">
      <c r="A166" t="s">
        <v>275</v>
      </c>
      <c r="B166">
        <v>757</v>
      </c>
      <c r="C166">
        <v>371</v>
      </c>
      <c r="D166">
        <v>2</v>
      </c>
      <c r="E166" t="s">
        <v>885</v>
      </c>
      <c r="F166" t="s">
        <v>892</v>
      </c>
      <c r="G166" t="s">
        <v>893</v>
      </c>
    </row>
    <row r="167" spans="1:7" x14ac:dyDescent="0.25">
      <c r="A167" t="s">
        <v>364</v>
      </c>
      <c r="B167">
        <v>545</v>
      </c>
      <c r="C167">
        <v>-73</v>
      </c>
      <c r="D167">
        <v>11</v>
      </c>
      <c r="E167" t="s">
        <v>885</v>
      </c>
      <c r="F167" t="s">
        <v>894</v>
      </c>
      <c r="G167" t="s">
        <v>887</v>
      </c>
    </row>
    <row r="168" spans="1:7" x14ac:dyDescent="0.25">
      <c r="A168" t="s">
        <v>208</v>
      </c>
      <c r="B168">
        <v>1052</v>
      </c>
      <c r="C168">
        <v>-82</v>
      </c>
      <c r="D168">
        <v>3</v>
      </c>
      <c r="E168" t="s">
        <v>888</v>
      </c>
      <c r="F168" t="s">
        <v>891</v>
      </c>
      <c r="G168" t="s">
        <v>898</v>
      </c>
    </row>
    <row r="169" spans="1:7" x14ac:dyDescent="0.25">
      <c r="A169" t="s">
        <v>365</v>
      </c>
      <c r="B169">
        <v>544</v>
      </c>
      <c r="C169">
        <v>-152</v>
      </c>
      <c r="D169">
        <v>3</v>
      </c>
      <c r="E169" t="s">
        <v>888</v>
      </c>
      <c r="F169" t="s">
        <v>891</v>
      </c>
      <c r="G169" t="s">
        <v>887</v>
      </c>
    </row>
    <row r="170" spans="1:7" x14ac:dyDescent="0.25">
      <c r="A170" t="s">
        <v>248</v>
      </c>
      <c r="B170">
        <v>22</v>
      </c>
      <c r="C170">
        <v>9</v>
      </c>
      <c r="D170">
        <v>2</v>
      </c>
      <c r="E170" t="s">
        <v>895</v>
      </c>
      <c r="F170" t="s">
        <v>904</v>
      </c>
      <c r="G170" t="s">
        <v>907</v>
      </c>
    </row>
    <row r="171" spans="1:7" x14ac:dyDescent="0.25">
      <c r="A171" t="s">
        <v>280</v>
      </c>
      <c r="B171">
        <v>757</v>
      </c>
      <c r="C171">
        <v>371</v>
      </c>
      <c r="D171">
        <v>2</v>
      </c>
      <c r="E171" t="s">
        <v>885</v>
      </c>
      <c r="F171" t="s">
        <v>892</v>
      </c>
      <c r="G171" t="s">
        <v>893</v>
      </c>
    </row>
    <row r="172" spans="1:7" x14ac:dyDescent="0.25">
      <c r="A172" t="s">
        <v>284</v>
      </c>
      <c r="B172">
        <v>742</v>
      </c>
      <c r="C172">
        <v>198</v>
      </c>
      <c r="D172">
        <v>2</v>
      </c>
      <c r="E172" t="s">
        <v>888</v>
      </c>
      <c r="F172" t="s">
        <v>891</v>
      </c>
      <c r="G172" t="s">
        <v>893</v>
      </c>
    </row>
    <row r="173" spans="1:7" x14ac:dyDescent="0.25">
      <c r="A173" t="s">
        <v>369</v>
      </c>
      <c r="B173">
        <v>537</v>
      </c>
      <c r="C173">
        <v>107</v>
      </c>
      <c r="D173">
        <v>3</v>
      </c>
      <c r="E173" t="s">
        <v>895</v>
      </c>
      <c r="F173" t="s">
        <v>897</v>
      </c>
      <c r="G173" t="s">
        <v>887</v>
      </c>
    </row>
    <row r="174" spans="1:7" x14ac:dyDescent="0.25">
      <c r="A174" t="s">
        <v>275</v>
      </c>
      <c r="B174">
        <v>536</v>
      </c>
      <c r="C174">
        <v>91</v>
      </c>
      <c r="D174">
        <v>1</v>
      </c>
      <c r="E174" t="s">
        <v>895</v>
      </c>
      <c r="F174" t="s">
        <v>896</v>
      </c>
      <c r="G174" t="s">
        <v>887</v>
      </c>
    </row>
    <row r="175" spans="1:7" x14ac:dyDescent="0.25">
      <c r="A175" t="s">
        <v>124</v>
      </c>
      <c r="B175">
        <v>6</v>
      </c>
      <c r="C175">
        <v>3</v>
      </c>
      <c r="D175">
        <v>1</v>
      </c>
      <c r="E175" t="s">
        <v>895</v>
      </c>
      <c r="F175" t="s">
        <v>899</v>
      </c>
      <c r="G175" t="s">
        <v>887</v>
      </c>
    </row>
    <row r="176" spans="1:7" x14ac:dyDescent="0.25">
      <c r="A176" t="s">
        <v>85</v>
      </c>
      <c r="B176">
        <v>523</v>
      </c>
      <c r="C176">
        <v>204</v>
      </c>
      <c r="D176">
        <v>7</v>
      </c>
      <c r="E176" t="s">
        <v>895</v>
      </c>
      <c r="F176" t="s">
        <v>896</v>
      </c>
      <c r="G176" t="s">
        <v>887</v>
      </c>
    </row>
    <row r="177" spans="1:7" x14ac:dyDescent="0.25">
      <c r="A177" t="s">
        <v>843</v>
      </c>
      <c r="B177">
        <v>27</v>
      </c>
      <c r="C177">
        <v>9</v>
      </c>
      <c r="D177">
        <v>2</v>
      </c>
      <c r="E177" t="s">
        <v>895</v>
      </c>
      <c r="F177" t="s">
        <v>906</v>
      </c>
      <c r="G177" t="s">
        <v>898</v>
      </c>
    </row>
    <row r="178" spans="1:7" x14ac:dyDescent="0.25">
      <c r="A178" t="s">
        <v>379</v>
      </c>
      <c r="B178">
        <v>516</v>
      </c>
      <c r="C178">
        <v>392</v>
      </c>
      <c r="D178">
        <v>8</v>
      </c>
      <c r="E178" t="s">
        <v>888</v>
      </c>
      <c r="F178" t="s">
        <v>889</v>
      </c>
      <c r="G178" t="s">
        <v>887</v>
      </c>
    </row>
    <row r="179" spans="1:7" x14ac:dyDescent="0.25">
      <c r="A179" t="s">
        <v>383</v>
      </c>
      <c r="B179">
        <v>504</v>
      </c>
      <c r="C179">
        <v>116</v>
      </c>
      <c r="D179">
        <v>3</v>
      </c>
      <c r="E179" t="s">
        <v>888</v>
      </c>
      <c r="F179" t="s">
        <v>891</v>
      </c>
      <c r="G179" t="s">
        <v>887</v>
      </c>
    </row>
    <row r="180" spans="1:7" x14ac:dyDescent="0.25">
      <c r="A180" t="s">
        <v>387</v>
      </c>
      <c r="B180">
        <v>502</v>
      </c>
      <c r="C180">
        <v>84</v>
      </c>
      <c r="D180">
        <v>4</v>
      </c>
      <c r="E180" t="s">
        <v>885</v>
      </c>
      <c r="F180" t="s">
        <v>894</v>
      </c>
      <c r="G180" t="s">
        <v>887</v>
      </c>
    </row>
    <row r="181" spans="1:7" x14ac:dyDescent="0.25">
      <c r="A181" t="s">
        <v>294</v>
      </c>
      <c r="B181">
        <v>734</v>
      </c>
      <c r="C181">
        <v>213</v>
      </c>
      <c r="D181">
        <v>6</v>
      </c>
      <c r="E181" t="s">
        <v>885</v>
      </c>
      <c r="F181" t="s">
        <v>886</v>
      </c>
      <c r="G181" t="s">
        <v>893</v>
      </c>
    </row>
    <row r="182" spans="1:7" x14ac:dyDescent="0.25">
      <c r="A182" t="s">
        <v>160</v>
      </c>
      <c r="B182">
        <v>42</v>
      </c>
      <c r="C182">
        <v>12</v>
      </c>
      <c r="D182">
        <v>2</v>
      </c>
      <c r="E182" t="s">
        <v>895</v>
      </c>
      <c r="F182" t="s">
        <v>900</v>
      </c>
      <c r="G182" t="s">
        <v>887</v>
      </c>
    </row>
    <row r="183" spans="1:7" x14ac:dyDescent="0.25">
      <c r="A183" t="s">
        <v>34</v>
      </c>
      <c r="B183">
        <v>29</v>
      </c>
      <c r="C183">
        <v>11</v>
      </c>
      <c r="D183">
        <v>4</v>
      </c>
      <c r="E183" t="s">
        <v>895</v>
      </c>
      <c r="F183" t="s">
        <v>901</v>
      </c>
      <c r="G183" t="s">
        <v>887</v>
      </c>
    </row>
    <row r="184" spans="1:7" x14ac:dyDescent="0.25">
      <c r="A184" t="s">
        <v>536</v>
      </c>
      <c r="B184">
        <v>240</v>
      </c>
      <c r="C184">
        <v>12</v>
      </c>
      <c r="D184">
        <v>6</v>
      </c>
      <c r="E184" t="s">
        <v>895</v>
      </c>
      <c r="F184" t="s">
        <v>900</v>
      </c>
      <c r="G184" t="s">
        <v>898</v>
      </c>
    </row>
    <row r="185" spans="1:7" x14ac:dyDescent="0.25">
      <c r="A185" t="s">
        <v>300</v>
      </c>
      <c r="B185">
        <v>496</v>
      </c>
      <c r="C185">
        <v>-79</v>
      </c>
      <c r="D185">
        <v>2</v>
      </c>
      <c r="E185" t="s">
        <v>895</v>
      </c>
      <c r="F185" t="s">
        <v>896</v>
      </c>
      <c r="G185" t="s">
        <v>887</v>
      </c>
    </row>
    <row r="186" spans="1:7" x14ac:dyDescent="0.25">
      <c r="A186" t="s">
        <v>397</v>
      </c>
      <c r="B186">
        <v>485</v>
      </c>
      <c r="C186">
        <v>29</v>
      </c>
      <c r="D186">
        <v>4</v>
      </c>
      <c r="E186" t="s">
        <v>885</v>
      </c>
      <c r="F186" t="s">
        <v>886</v>
      </c>
      <c r="G186" t="s">
        <v>887</v>
      </c>
    </row>
    <row r="187" spans="1:7" x14ac:dyDescent="0.25">
      <c r="A187" t="s">
        <v>507</v>
      </c>
      <c r="B187">
        <v>31</v>
      </c>
      <c r="C187">
        <v>-11</v>
      </c>
      <c r="D187">
        <v>3</v>
      </c>
      <c r="E187" t="s">
        <v>895</v>
      </c>
      <c r="F187" t="s">
        <v>901</v>
      </c>
      <c r="G187" t="s">
        <v>898</v>
      </c>
    </row>
    <row r="188" spans="1:7" x14ac:dyDescent="0.25">
      <c r="A188" t="s">
        <v>311</v>
      </c>
      <c r="B188">
        <v>676</v>
      </c>
      <c r="C188">
        <v>151</v>
      </c>
      <c r="D188">
        <v>3</v>
      </c>
      <c r="E188" t="s">
        <v>885</v>
      </c>
      <c r="F188" t="s">
        <v>892</v>
      </c>
      <c r="G188" t="s">
        <v>893</v>
      </c>
    </row>
    <row r="189" spans="1:7" x14ac:dyDescent="0.25">
      <c r="A189" t="s">
        <v>309</v>
      </c>
      <c r="B189">
        <v>23</v>
      </c>
      <c r="C189">
        <v>8</v>
      </c>
      <c r="D189">
        <v>2</v>
      </c>
      <c r="E189" t="s">
        <v>895</v>
      </c>
      <c r="F189" t="s">
        <v>899</v>
      </c>
      <c r="G189" t="s">
        <v>907</v>
      </c>
    </row>
    <row r="190" spans="1:7" x14ac:dyDescent="0.25">
      <c r="A190" t="s">
        <v>785</v>
      </c>
      <c r="B190">
        <v>13</v>
      </c>
      <c r="C190">
        <v>3</v>
      </c>
      <c r="D190">
        <v>2</v>
      </c>
      <c r="E190" t="s">
        <v>895</v>
      </c>
      <c r="F190" t="s">
        <v>899</v>
      </c>
      <c r="G190" t="s">
        <v>887</v>
      </c>
    </row>
    <row r="191" spans="1:7" x14ac:dyDescent="0.25">
      <c r="A191" t="s">
        <v>493</v>
      </c>
      <c r="B191">
        <v>180</v>
      </c>
      <c r="C191">
        <v>0</v>
      </c>
      <c r="D191">
        <v>8</v>
      </c>
      <c r="E191" t="s">
        <v>895</v>
      </c>
      <c r="F191" t="s">
        <v>903</v>
      </c>
      <c r="G191" t="s">
        <v>887</v>
      </c>
    </row>
    <row r="192" spans="1:7" x14ac:dyDescent="0.25">
      <c r="A192" t="s">
        <v>3</v>
      </c>
      <c r="B192">
        <v>671</v>
      </c>
      <c r="C192">
        <v>114</v>
      </c>
      <c r="D192">
        <v>9</v>
      </c>
      <c r="E192" t="s">
        <v>885</v>
      </c>
      <c r="F192" t="s">
        <v>894</v>
      </c>
      <c r="G192" t="s">
        <v>893</v>
      </c>
    </row>
    <row r="193" spans="1:7" x14ac:dyDescent="0.25">
      <c r="A193" t="s">
        <v>852</v>
      </c>
      <c r="B193">
        <v>22</v>
      </c>
      <c r="C193">
        <v>11</v>
      </c>
      <c r="D193">
        <v>3</v>
      </c>
      <c r="E193" t="s">
        <v>895</v>
      </c>
      <c r="F193" t="s">
        <v>900</v>
      </c>
      <c r="G193" t="s">
        <v>887</v>
      </c>
    </row>
    <row r="194" spans="1:7" x14ac:dyDescent="0.25">
      <c r="A194" t="s">
        <v>140</v>
      </c>
      <c r="B194">
        <v>668</v>
      </c>
      <c r="C194">
        <v>-31</v>
      </c>
      <c r="D194">
        <v>3</v>
      </c>
      <c r="E194" t="s">
        <v>885</v>
      </c>
      <c r="F194" t="s">
        <v>892</v>
      </c>
      <c r="G194" t="s">
        <v>893</v>
      </c>
    </row>
    <row r="195" spans="1:7" x14ac:dyDescent="0.25">
      <c r="A195" t="s">
        <v>267</v>
      </c>
      <c r="B195">
        <v>145</v>
      </c>
      <c r="C195">
        <v>0</v>
      </c>
      <c r="D195">
        <v>3</v>
      </c>
      <c r="E195" t="s">
        <v>895</v>
      </c>
      <c r="F195" t="s">
        <v>897</v>
      </c>
      <c r="G195" t="s">
        <v>898</v>
      </c>
    </row>
    <row r="196" spans="1:7" x14ac:dyDescent="0.25">
      <c r="A196" t="s">
        <v>183</v>
      </c>
      <c r="B196">
        <v>24</v>
      </c>
      <c r="C196">
        <v>8</v>
      </c>
      <c r="D196">
        <v>2</v>
      </c>
      <c r="E196" t="s">
        <v>895</v>
      </c>
      <c r="F196" t="s">
        <v>901</v>
      </c>
      <c r="G196" t="s">
        <v>907</v>
      </c>
    </row>
    <row r="197" spans="1:7" x14ac:dyDescent="0.25">
      <c r="A197" t="s">
        <v>126</v>
      </c>
      <c r="B197">
        <v>476</v>
      </c>
      <c r="C197">
        <v>0</v>
      </c>
      <c r="D197">
        <v>3</v>
      </c>
      <c r="E197" t="s">
        <v>888</v>
      </c>
      <c r="F197" t="s">
        <v>889</v>
      </c>
      <c r="G197" t="s">
        <v>887</v>
      </c>
    </row>
    <row r="198" spans="1:7" x14ac:dyDescent="0.25">
      <c r="A198" t="s">
        <v>294</v>
      </c>
      <c r="B198">
        <v>24</v>
      </c>
      <c r="C198">
        <v>11</v>
      </c>
      <c r="D198">
        <v>5</v>
      </c>
      <c r="E198" t="s">
        <v>895</v>
      </c>
      <c r="F198" t="s">
        <v>899</v>
      </c>
      <c r="G198" t="s">
        <v>907</v>
      </c>
    </row>
    <row r="199" spans="1:7" x14ac:dyDescent="0.25">
      <c r="A199" t="s">
        <v>44</v>
      </c>
      <c r="B199">
        <v>37</v>
      </c>
      <c r="C199">
        <v>3</v>
      </c>
      <c r="D199">
        <v>3</v>
      </c>
      <c r="E199" t="s">
        <v>895</v>
      </c>
      <c r="F199" t="s">
        <v>899</v>
      </c>
      <c r="G199" t="s">
        <v>887</v>
      </c>
    </row>
    <row r="200" spans="1:7" x14ac:dyDescent="0.25">
      <c r="A200" t="s">
        <v>618</v>
      </c>
      <c r="B200">
        <v>152</v>
      </c>
      <c r="C200">
        <v>50</v>
      </c>
      <c r="D200">
        <v>6</v>
      </c>
      <c r="E200" t="s">
        <v>895</v>
      </c>
      <c r="F200" t="s">
        <v>903</v>
      </c>
      <c r="G200" t="s">
        <v>898</v>
      </c>
    </row>
    <row r="201" spans="1:7" x14ac:dyDescent="0.25">
      <c r="A201" t="s">
        <v>724</v>
      </c>
      <c r="B201">
        <v>32</v>
      </c>
      <c r="C201">
        <v>11</v>
      </c>
      <c r="D201">
        <v>2</v>
      </c>
      <c r="E201" t="s">
        <v>895</v>
      </c>
      <c r="F201" t="s">
        <v>904</v>
      </c>
      <c r="G201" t="s">
        <v>898</v>
      </c>
    </row>
    <row r="202" spans="1:7" x14ac:dyDescent="0.25">
      <c r="A202" t="s">
        <v>612</v>
      </c>
      <c r="B202">
        <v>52</v>
      </c>
      <c r="C202">
        <v>11</v>
      </c>
      <c r="D202">
        <v>5</v>
      </c>
      <c r="E202" t="s">
        <v>895</v>
      </c>
      <c r="F202" t="s">
        <v>904</v>
      </c>
      <c r="G202" t="s">
        <v>887</v>
      </c>
    </row>
    <row r="203" spans="1:7" x14ac:dyDescent="0.25">
      <c r="A203" t="s">
        <v>330</v>
      </c>
      <c r="B203">
        <v>24</v>
      </c>
      <c r="C203">
        <v>11</v>
      </c>
      <c r="D203">
        <v>3</v>
      </c>
      <c r="E203" t="s">
        <v>895</v>
      </c>
      <c r="F203" t="s">
        <v>899</v>
      </c>
      <c r="G203" t="s">
        <v>907</v>
      </c>
    </row>
    <row r="204" spans="1:7" x14ac:dyDescent="0.25">
      <c r="A204" t="s">
        <v>181</v>
      </c>
      <c r="B204">
        <v>473</v>
      </c>
      <c r="C204">
        <v>42</v>
      </c>
      <c r="D204">
        <v>4</v>
      </c>
      <c r="E204" t="s">
        <v>888</v>
      </c>
      <c r="F204" t="s">
        <v>889</v>
      </c>
      <c r="G204" t="s">
        <v>887</v>
      </c>
    </row>
    <row r="205" spans="1:7" x14ac:dyDescent="0.25">
      <c r="A205" t="s">
        <v>519</v>
      </c>
      <c r="B205">
        <v>263</v>
      </c>
      <c r="C205">
        <v>50</v>
      </c>
      <c r="D205">
        <v>5</v>
      </c>
      <c r="E205" t="s">
        <v>895</v>
      </c>
      <c r="F205" t="s">
        <v>903</v>
      </c>
      <c r="G205" t="s">
        <v>887</v>
      </c>
    </row>
    <row r="206" spans="1:7" x14ac:dyDescent="0.25">
      <c r="A206" t="s">
        <v>308</v>
      </c>
      <c r="B206">
        <v>61</v>
      </c>
      <c r="C206">
        <v>11</v>
      </c>
      <c r="D206">
        <v>3</v>
      </c>
      <c r="E206" t="s">
        <v>895</v>
      </c>
      <c r="F206" t="s">
        <v>900</v>
      </c>
      <c r="G206" t="s">
        <v>887</v>
      </c>
    </row>
    <row r="207" spans="1:7" x14ac:dyDescent="0.25">
      <c r="A207" t="s">
        <v>401</v>
      </c>
      <c r="B207">
        <v>469</v>
      </c>
      <c r="C207">
        <v>-459</v>
      </c>
      <c r="D207">
        <v>3</v>
      </c>
      <c r="E207" t="s">
        <v>885</v>
      </c>
      <c r="F207" t="s">
        <v>886</v>
      </c>
      <c r="G207" t="s">
        <v>887</v>
      </c>
    </row>
    <row r="208" spans="1:7" x14ac:dyDescent="0.25">
      <c r="A208" t="s">
        <v>162</v>
      </c>
      <c r="B208">
        <v>1272</v>
      </c>
      <c r="C208">
        <v>547</v>
      </c>
      <c r="D208">
        <v>2</v>
      </c>
      <c r="E208" t="s">
        <v>885</v>
      </c>
      <c r="F208" t="s">
        <v>894</v>
      </c>
      <c r="G208" t="s">
        <v>887</v>
      </c>
    </row>
    <row r="209" spans="1:7" x14ac:dyDescent="0.25">
      <c r="A209" t="s">
        <v>330</v>
      </c>
      <c r="B209">
        <v>169</v>
      </c>
      <c r="C209">
        <v>0</v>
      </c>
      <c r="D209">
        <v>3</v>
      </c>
      <c r="E209" t="s">
        <v>885</v>
      </c>
      <c r="F209" t="s">
        <v>905</v>
      </c>
      <c r="G209" t="s">
        <v>887</v>
      </c>
    </row>
    <row r="210" spans="1:7" x14ac:dyDescent="0.25">
      <c r="A210" t="s">
        <v>411</v>
      </c>
      <c r="B210">
        <v>25</v>
      </c>
      <c r="C210">
        <v>11</v>
      </c>
      <c r="D210">
        <v>3</v>
      </c>
      <c r="E210" t="s">
        <v>895</v>
      </c>
      <c r="F210" t="s">
        <v>904</v>
      </c>
      <c r="G210" t="s">
        <v>907</v>
      </c>
    </row>
    <row r="211" spans="1:7" x14ac:dyDescent="0.25">
      <c r="A211" t="s">
        <v>258</v>
      </c>
      <c r="B211">
        <v>457</v>
      </c>
      <c r="C211">
        <v>-41</v>
      </c>
      <c r="D211">
        <v>4</v>
      </c>
      <c r="E211" t="s">
        <v>895</v>
      </c>
      <c r="F211" t="s">
        <v>897</v>
      </c>
      <c r="G211" t="s">
        <v>887</v>
      </c>
    </row>
    <row r="212" spans="1:7" x14ac:dyDescent="0.25">
      <c r="A212" t="s">
        <v>411</v>
      </c>
      <c r="B212">
        <v>455</v>
      </c>
      <c r="C212">
        <v>77</v>
      </c>
      <c r="D212">
        <v>8</v>
      </c>
      <c r="E212" t="s">
        <v>885</v>
      </c>
      <c r="F212" t="s">
        <v>905</v>
      </c>
      <c r="G212" t="s">
        <v>887</v>
      </c>
    </row>
    <row r="213" spans="1:7" x14ac:dyDescent="0.25">
      <c r="A213" t="s">
        <v>279</v>
      </c>
      <c r="B213">
        <v>25</v>
      </c>
      <c r="C213">
        <v>2</v>
      </c>
      <c r="D213">
        <v>2</v>
      </c>
      <c r="E213" t="s">
        <v>895</v>
      </c>
      <c r="F213" t="s">
        <v>899</v>
      </c>
      <c r="G213" t="s">
        <v>907</v>
      </c>
    </row>
    <row r="214" spans="1:7" x14ac:dyDescent="0.25">
      <c r="A214" t="s">
        <v>414</v>
      </c>
      <c r="B214">
        <v>450</v>
      </c>
      <c r="C214">
        <v>-90</v>
      </c>
      <c r="D214">
        <v>3</v>
      </c>
      <c r="E214" t="s">
        <v>885</v>
      </c>
      <c r="F214" t="s">
        <v>892</v>
      </c>
      <c r="G214" t="s">
        <v>887</v>
      </c>
    </row>
    <row r="215" spans="1:7" x14ac:dyDescent="0.25">
      <c r="A215" t="s">
        <v>834</v>
      </c>
      <c r="B215">
        <v>30</v>
      </c>
      <c r="C215">
        <v>-35</v>
      </c>
      <c r="D215">
        <v>1</v>
      </c>
      <c r="E215" t="s">
        <v>888</v>
      </c>
      <c r="F215" t="s">
        <v>889</v>
      </c>
      <c r="G215" t="s">
        <v>887</v>
      </c>
    </row>
    <row r="216" spans="1:7" x14ac:dyDescent="0.25">
      <c r="A216" t="s">
        <v>290</v>
      </c>
      <c r="B216">
        <v>659</v>
      </c>
      <c r="C216">
        <v>-37</v>
      </c>
      <c r="D216">
        <v>2</v>
      </c>
      <c r="E216" t="s">
        <v>888</v>
      </c>
      <c r="F216" t="s">
        <v>891</v>
      </c>
      <c r="G216" t="s">
        <v>893</v>
      </c>
    </row>
    <row r="217" spans="1:7" x14ac:dyDescent="0.25">
      <c r="A217" t="s">
        <v>28</v>
      </c>
      <c r="B217">
        <v>448</v>
      </c>
      <c r="C217">
        <v>148</v>
      </c>
      <c r="D217">
        <v>2</v>
      </c>
      <c r="E217" t="s">
        <v>885</v>
      </c>
      <c r="F217" t="s">
        <v>892</v>
      </c>
      <c r="G217" t="s">
        <v>887</v>
      </c>
    </row>
    <row r="218" spans="1:7" x14ac:dyDescent="0.25">
      <c r="A218" t="s">
        <v>417</v>
      </c>
      <c r="B218">
        <v>446</v>
      </c>
      <c r="C218">
        <v>53</v>
      </c>
      <c r="D218">
        <v>3</v>
      </c>
      <c r="E218" t="s">
        <v>885</v>
      </c>
      <c r="F218" t="s">
        <v>892</v>
      </c>
      <c r="G218" t="s">
        <v>887</v>
      </c>
    </row>
    <row r="219" spans="1:7" x14ac:dyDescent="0.25">
      <c r="A219" t="s">
        <v>720</v>
      </c>
      <c r="B219">
        <v>98</v>
      </c>
      <c r="C219">
        <v>-45</v>
      </c>
      <c r="D219">
        <v>2</v>
      </c>
      <c r="E219" t="s">
        <v>888</v>
      </c>
      <c r="F219" t="s">
        <v>889</v>
      </c>
      <c r="G219" t="s">
        <v>898</v>
      </c>
    </row>
    <row r="220" spans="1:7" x14ac:dyDescent="0.25">
      <c r="A220" t="s">
        <v>3</v>
      </c>
      <c r="B220">
        <v>443</v>
      </c>
      <c r="C220">
        <v>11</v>
      </c>
      <c r="D220">
        <v>1</v>
      </c>
      <c r="E220" t="s">
        <v>895</v>
      </c>
      <c r="F220" t="s">
        <v>897</v>
      </c>
      <c r="G220" t="s">
        <v>887</v>
      </c>
    </row>
    <row r="221" spans="1:7" x14ac:dyDescent="0.25">
      <c r="A221" t="s">
        <v>140</v>
      </c>
      <c r="B221">
        <v>427</v>
      </c>
      <c r="C221">
        <v>-50</v>
      </c>
      <c r="D221">
        <v>7</v>
      </c>
      <c r="E221" t="s">
        <v>885</v>
      </c>
      <c r="F221" t="s">
        <v>894</v>
      </c>
      <c r="G221" t="s">
        <v>887</v>
      </c>
    </row>
    <row r="222" spans="1:7" x14ac:dyDescent="0.25">
      <c r="A222" t="s">
        <v>318</v>
      </c>
      <c r="B222">
        <v>656</v>
      </c>
      <c r="C222">
        <v>-36</v>
      </c>
      <c r="D222">
        <v>2</v>
      </c>
      <c r="E222" t="s">
        <v>888</v>
      </c>
      <c r="F222" t="s">
        <v>891</v>
      </c>
      <c r="G222" t="s">
        <v>893</v>
      </c>
    </row>
    <row r="223" spans="1:7" x14ac:dyDescent="0.25">
      <c r="A223" t="s">
        <v>425</v>
      </c>
      <c r="B223">
        <v>424</v>
      </c>
      <c r="C223">
        <v>161</v>
      </c>
      <c r="D223">
        <v>2</v>
      </c>
      <c r="E223" t="s">
        <v>895</v>
      </c>
      <c r="F223" t="s">
        <v>897</v>
      </c>
      <c r="G223" t="s">
        <v>887</v>
      </c>
    </row>
    <row r="224" spans="1:7" x14ac:dyDescent="0.25">
      <c r="A224" t="s">
        <v>214</v>
      </c>
      <c r="B224">
        <v>27</v>
      </c>
      <c r="C224">
        <v>8</v>
      </c>
      <c r="D224">
        <v>2</v>
      </c>
      <c r="E224" t="s">
        <v>895</v>
      </c>
      <c r="F224" t="s">
        <v>906</v>
      </c>
      <c r="G224" t="s">
        <v>907</v>
      </c>
    </row>
    <row r="225" spans="1:7" x14ac:dyDescent="0.25">
      <c r="A225" t="s">
        <v>32</v>
      </c>
      <c r="B225">
        <v>424</v>
      </c>
      <c r="C225">
        <v>-272</v>
      </c>
      <c r="D225">
        <v>5</v>
      </c>
      <c r="E225" t="s">
        <v>885</v>
      </c>
      <c r="F225" t="s">
        <v>894</v>
      </c>
      <c r="G225" t="s">
        <v>887</v>
      </c>
    </row>
    <row r="226" spans="1:7" x14ac:dyDescent="0.25">
      <c r="A226" t="s">
        <v>422</v>
      </c>
      <c r="B226">
        <v>202</v>
      </c>
      <c r="C226">
        <v>4</v>
      </c>
      <c r="D226">
        <v>4</v>
      </c>
      <c r="E226" t="s">
        <v>895</v>
      </c>
      <c r="F226" t="s">
        <v>899</v>
      </c>
      <c r="G226" t="s">
        <v>887</v>
      </c>
    </row>
    <row r="227" spans="1:7" x14ac:dyDescent="0.25">
      <c r="A227" t="s">
        <v>160</v>
      </c>
      <c r="B227">
        <v>1275</v>
      </c>
      <c r="C227">
        <v>357</v>
      </c>
      <c r="D227">
        <v>2</v>
      </c>
      <c r="E227" t="s">
        <v>885</v>
      </c>
      <c r="F227" t="s">
        <v>894</v>
      </c>
      <c r="G227" t="s">
        <v>898</v>
      </c>
    </row>
    <row r="228" spans="1:7" x14ac:dyDescent="0.25">
      <c r="A228" t="s">
        <v>46</v>
      </c>
      <c r="B228">
        <v>418</v>
      </c>
      <c r="C228">
        <v>70</v>
      </c>
      <c r="D228">
        <v>7</v>
      </c>
      <c r="E228" t="s">
        <v>885</v>
      </c>
      <c r="F228" t="s">
        <v>894</v>
      </c>
      <c r="G228" t="s">
        <v>887</v>
      </c>
    </row>
    <row r="229" spans="1:7" x14ac:dyDescent="0.25">
      <c r="A229" t="s">
        <v>427</v>
      </c>
      <c r="B229">
        <v>417</v>
      </c>
      <c r="C229">
        <v>49</v>
      </c>
      <c r="D229">
        <v>3</v>
      </c>
      <c r="E229" t="s">
        <v>885</v>
      </c>
      <c r="F229" t="s">
        <v>886</v>
      </c>
      <c r="G229" t="s">
        <v>887</v>
      </c>
    </row>
    <row r="230" spans="1:7" x14ac:dyDescent="0.25">
      <c r="A230" t="s">
        <v>50</v>
      </c>
      <c r="B230">
        <v>199</v>
      </c>
      <c r="C230">
        <v>48</v>
      </c>
      <c r="D230">
        <v>4</v>
      </c>
      <c r="E230" t="s">
        <v>895</v>
      </c>
      <c r="F230" t="s">
        <v>903</v>
      </c>
      <c r="G230" t="s">
        <v>898</v>
      </c>
    </row>
    <row r="231" spans="1:7" x14ac:dyDescent="0.25">
      <c r="A231" t="s">
        <v>444</v>
      </c>
      <c r="B231">
        <v>385</v>
      </c>
      <c r="C231">
        <v>-77</v>
      </c>
      <c r="D231">
        <v>11</v>
      </c>
      <c r="E231" t="s">
        <v>888</v>
      </c>
      <c r="F231" t="s">
        <v>908</v>
      </c>
      <c r="G231" t="s">
        <v>898</v>
      </c>
    </row>
    <row r="232" spans="1:7" x14ac:dyDescent="0.25">
      <c r="A232" t="s">
        <v>7</v>
      </c>
      <c r="B232">
        <v>414</v>
      </c>
      <c r="C232">
        <v>199</v>
      </c>
      <c r="D232">
        <v>3</v>
      </c>
      <c r="E232" t="s">
        <v>885</v>
      </c>
      <c r="F232" t="s">
        <v>894</v>
      </c>
      <c r="G232" t="s">
        <v>887</v>
      </c>
    </row>
    <row r="233" spans="1:7" x14ac:dyDescent="0.25">
      <c r="A233" t="s">
        <v>537</v>
      </c>
      <c r="B233">
        <v>97</v>
      </c>
      <c r="C233">
        <v>-45</v>
      </c>
      <c r="D233">
        <v>4</v>
      </c>
      <c r="E233" t="s">
        <v>895</v>
      </c>
      <c r="F233" t="s">
        <v>897</v>
      </c>
      <c r="G233" t="s">
        <v>887</v>
      </c>
    </row>
    <row r="234" spans="1:7" x14ac:dyDescent="0.25">
      <c r="A234" t="s">
        <v>320</v>
      </c>
      <c r="B234">
        <v>648</v>
      </c>
      <c r="C234">
        <v>50</v>
      </c>
      <c r="D234">
        <v>6</v>
      </c>
      <c r="E234" t="s">
        <v>885</v>
      </c>
      <c r="F234" t="s">
        <v>886</v>
      </c>
      <c r="G234" t="s">
        <v>893</v>
      </c>
    </row>
    <row r="235" spans="1:7" x14ac:dyDescent="0.25">
      <c r="A235" t="s">
        <v>478</v>
      </c>
      <c r="B235">
        <v>27</v>
      </c>
      <c r="C235">
        <v>-25</v>
      </c>
      <c r="D235">
        <v>2</v>
      </c>
      <c r="E235" t="s">
        <v>895</v>
      </c>
      <c r="F235" t="s">
        <v>909</v>
      </c>
      <c r="G235" t="s">
        <v>907</v>
      </c>
    </row>
    <row r="236" spans="1:7" x14ac:dyDescent="0.25">
      <c r="A236" t="s">
        <v>174</v>
      </c>
      <c r="B236">
        <v>27</v>
      </c>
      <c r="C236">
        <v>12</v>
      </c>
      <c r="D236">
        <v>1</v>
      </c>
      <c r="E236" t="s">
        <v>895</v>
      </c>
      <c r="F236" t="s">
        <v>903</v>
      </c>
      <c r="G236" t="s">
        <v>907</v>
      </c>
    </row>
    <row r="237" spans="1:7" x14ac:dyDescent="0.25">
      <c r="A237" t="s">
        <v>579</v>
      </c>
      <c r="B237">
        <v>27</v>
      </c>
      <c r="C237">
        <v>1</v>
      </c>
      <c r="D237">
        <v>1</v>
      </c>
      <c r="E237" t="s">
        <v>895</v>
      </c>
      <c r="F237" t="s">
        <v>903</v>
      </c>
      <c r="G237" t="s">
        <v>898</v>
      </c>
    </row>
    <row r="238" spans="1:7" x14ac:dyDescent="0.25">
      <c r="A238" t="s">
        <v>81</v>
      </c>
      <c r="B238">
        <v>413</v>
      </c>
      <c r="C238">
        <v>-314</v>
      </c>
      <c r="D238">
        <v>9</v>
      </c>
      <c r="E238" t="s">
        <v>888</v>
      </c>
      <c r="F238" t="s">
        <v>889</v>
      </c>
      <c r="G238" t="s">
        <v>887</v>
      </c>
    </row>
    <row r="239" spans="1:7" x14ac:dyDescent="0.25">
      <c r="A239" t="s">
        <v>185</v>
      </c>
      <c r="B239">
        <v>53</v>
      </c>
      <c r="C239">
        <v>2</v>
      </c>
      <c r="D239">
        <v>4</v>
      </c>
      <c r="E239" t="s">
        <v>895</v>
      </c>
      <c r="F239" t="s">
        <v>899</v>
      </c>
      <c r="G239" t="s">
        <v>887</v>
      </c>
    </row>
    <row r="240" spans="1:7" x14ac:dyDescent="0.25">
      <c r="A240" t="s">
        <v>187</v>
      </c>
      <c r="B240">
        <v>29</v>
      </c>
      <c r="C240">
        <v>8</v>
      </c>
      <c r="D240">
        <v>5</v>
      </c>
      <c r="E240" t="s">
        <v>895</v>
      </c>
      <c r="F240" t="s">
        <v>899</v>
      </c>
      <c r="G240" t="s">
        <v>898</v>
      </c>
    </row>
    <row r="241" spans="1:7" x14ac:dyDescent="0.25">
      <c r="A241" t="s">
        <v>659</v>
      </c>
      <c r="B241">
        <v>30</v>
      </c>
      <c r="C241">
        <v>13</v>
      </c>
      <c r="D241">
        <v>1</v>
      </c>
      <c r="E241" t="s">
        <v>895</v>
      </c>
      <c r="F241" t="s">
        <v>906</v>
      </c>
      <c r="G241" t="s">
        <v>898</v>
      </c>
    </row>
    <row r="242" spans="1:7" x14ac:dyDescent="0.25">
      <c r="A242" t="s">
        <v>430</v>
      </c>
      <c r="B242">
        <v>412</v>
      </c>
      <c r="C242">
        <v>412</v>
      </c>
      <c r="D242">
        <v>6</v>
      </c>
      <c r="E242" t="s">
        <v>895</v>
      </c>
      <c r="F242" t="s">
        <v>897</v>
      </c>
      <c r="G242" t="s">
        <v>887</v>
      </c>
    </row>
    <row r="243" spans="1:7" x14ac:dyDescent="0.25">
      <c r="A243" t="s">
        <v>322</v>
      </c>
      <c r="B243">
        <v>646</v>
      </c>
      <c r="C243">
        <v>-23</v>
      </c>
      <c r="D243">
        <v>2</v>
      </c>
      <c r="E243" t="s">
        <v>885</v>
      </c>
      <c r="F243" t="s">
        <v>892</v>
      </c>
      <c r="G243" t="s">
        <v>893</v>
      </c>
    </row>
    <row r="244" spans="1:7" x14ac:dyDescent="0.25">
      <c r="A244" t="s">
        <v>124</v>
      </c>
      <c r="B244">
        <v>30</v>
      </c>
      <c r="C244">
        <v>-5</v>
      </c>
      <c r="D244">
        <v>5</v>
      </c>
      <c r="E244" t="s">
        <v>895</v>
      </c>
      <c r="F244" t="s">
        <v>903</v>
      </c>
      <c r="G244" t="s">
        <v>898</v>
      </c>
    </row>
    <row r="245" spans="1:7" x14ac:dyDescent="0.25">
      <c r="A245" t="s">
        <v>185</v>
      </c>
      <c r="B245">
        <v>618</v>
      </c>
      <c r="C245">
        <v>27</v>
      </c>
      <c r="D245">
        <v>4</v>
      </c>
      <c r="E245" t="s">
        <v>888</v>
      </c>
      <c r="F245" t="s">
        <v>891</v>
      </c>
      <c r="G245" t="s">
        <v>893</v>
      </c>
    </row>
    <row r="246" spans="1:7" x14ac:dyDescent="0.25">
      <c r="A246" t="s">
        <v>642</v>
      </c>
      <c r="B246">
        <v>143</v>
      </c>
      <c r="C246">
        <v>-124</v>
      </c>
      <c r="D246">
        <v>5</v>
      </c>
      <c r="E246" t="s">
        <v>895</v>
      </c>
      <c r="F246" t="s">
        <v>897</v>
      </c>
      <c r="G246" t="s">
        <v>898</v>
      </c>
    </row>
    <row r="247" spans="1:7" x14ac:dyDescent="0.25">
      <c r="A247" t="s">
        <v>81</v>
      </c>
      <c r="B247">
        <v>31</v>
      </c>
      <c r="C247">
        <v>1</v>
      </c>
      <c r="D247">
        <v>2</v>
      </c>
      <c r="E247" t="s">
        <v>895</v>
      </c>
      <c r="F247" t="s">
        <v>899</v>
      </c>
      <c r="G247" t="s">
        <v>898</v>
      </c>
    </row>
    <row r="248" spans="1:7" x14ac:dyDescent="0.25">
      <c r="A248" t="s">
        <v>390</v>
      </c>
      <c r="B248">
        <v>409</v>
      </c>
      <c r="C248">
        <v>86</v>
      </c>
      <c r="D248">
        <v>3</v>
      </c>
      <c r="E248" t="s">
        <v>895</v>
      </c>
      <c r="F248" t="s">
        <v>897</v>
      </c>
      <c r="G248" t="s">
        <v>887</v>
      </c>
    </row>
    <row r="249" spans="1:7" x14ac:dyDescent="0.25">
      <c r="A249" t="s">
        <v>124</v>
      </c>
      <c r="B249">
        <v>406</v>
      </c>
      <c r="C249">
        <v>126</v>
      </c>
      <c r="D249">
        <v>2</v>
      </c>
      <c r="E249" t="s">
        <v>895</v>
      </c>
      <c r="F249" t="s">
        <v>897</v>
      </c>
      <c r="G249" t="s">
        <v>887</v>
      </c>
    </row>
    <row r="250" spans="1:7" x14ac:dyDescent="0.25">
      <c r="A250" t="s">
        <v>352</v>
      </c>
      <c r="B250">
        <v>565</v>
      </c>
      <c r="C250">
        <v>66</v>
      </c>
      <c r="D250">
        <v>7</v>
      </c>
      <c r="E250" t="s">
        <v>895</v>
      </c>
      <c r="F250" t="s">
        <v>897</v>
      </c>
      <c r="G250" t="s">
        <v>893</v>
      </c>
    </row>
    <row r="251" spans="1:7" x14ac:dyDescent="0.25">
      <c r="A251" t="s">
        <v>350</v>
      </c>
      <c r="B251">
        <v>85</v>
      </c>
      <c r="C251">
        <v>2</v>
      </c>
      <c r="D251">
        <v>6</v>
      </c>
      <c r="E251" t="s">
        <v>895</v>
      </c>
      <c r="F251" t="s">
        <v>903</v>
      </c>
      <c r="G251" t="s">
        <v>887</v>
      </c>
    </row>
    <row r="252" spans="1:7" x14ac:dyDescent="0.25">
      <c r="A252" t="s">
        <v>354</v>
      </c>
      <c r="B252">
        <v>561</v>
      </c>
      <c r="C252">
        <v>118</v>
      </c>
      <c r="D252">
        <v>5</v>
      </c>
      <c r="E252" t="s">
        <v>888</v>
      </c>
      <c r="F252" t="s">
        <v>891</v>
      </c>
      <c r="G252" t="s">
        <v>893</v>
      </c>
    </row>
    <row r="253" spans="1:7" x14ac:dyDescent="0.25">
      <c r="A253" t="s">
        <v>385</v>
      </c>
      <c r="B253">
        <v>503</v>
      </c>
      <c r="C253">
        <v>-56</v>
      </c>
      <c r="D253">
        <v>2</v>
      </c>
      <c r="E253" t="s">
        <v>895</v>
      </c>
      <c r="F253" t="s">
        <v>896</v>
      </c>
      <c r="G253" t="s">
        <v>887</v>
      </c>
    </row>
    <row r="254" spans="1:7" x14ac:dyDescent="0.25">
      <c r="A254" t="s">
        <v>536</v>
      </c>
      <c r="B254">
        <v>31</v>
      </c>
      <c r="C254">
        <v>14</v>
      </c>
      <c r="D254">
        <v>3</v>
      </c>
      <c r="E254" t="s">
        <v>895</v>
      </c>
      <c r="F254" t="s">
        <v>903</v>
      </c>
      <c r="G254" t="s">
        <v>898</v>
      </c>
    </row>
    <row r="255" spans="1:7" x14ac:dyDescent="0.25">
      <c r="A255" t="s">
        <v>10</v>
      </c>
      <c r="B255">
        <v>398</v>
      </c>
      <c r="C255">
        <v>111</v>
      </c>
      <c r="D255">
        <v>8</v>
      </c>
      <c r="E255" t="s">
        <v>895</v>
      </c>
      <c r="F255" t="s">
        <v>899</v>
      </c>
      <c r="G255" t="s">
        <v>887</v>
      </c>
    </row>
    <row r="256" spans="1:7" x14ac:dyDescent="0.25">
      <c r="A256" t="s">
        <v>440</v>
      </c>
      <c r="B256">
        <v>388</v>
      </c>
      <c r="C256">
        <v>93</v>
      </c>
      <c r="D256">
        <v>2</v>
      </c>
      <c r="E256" t="s">
        <v>888</v>
      </c>
      <c r="F256" t="s">
        <v>891</v>
      </c>
      <c r="G256" t="s">
        <v>887</v>
      </c>
    </row>
    <row r="257" spans="1:7" x14ac:dyDescent="0.25">
      <c r="A257" t="s">
        <v>68</v>
      </c>
      <c r="B257">
        <v>498</v>
      </c>
      <c r="C257">
        <v>-116</v>
      </c>
      <c r="D257">
        <v>4</v>
      </c>
      <c r="E257" t="s">
        <v>895</v>
      </c>
      <c r="F257" t="s">
        <v>897</v>
      </c>
      <c r="G257" t="s">
        <v>898</v>
      </c>
    </row>
    <row r="258" spans="1:7" x14ac:dyDescent="0.25">
      <c r="A258" t="s">
        <v>116</v>
      </c>
      <c r="B258">
        <v>561</v>
      </c>
      <c r="C258">
        <v>212</v>
      </c>
      <c r="D258">
        <v>3</v>
      </c>
      <c r="E258" t="s">
        <v>895</v>
      </c>
      <c r="F258" t="s">
        <v>897</v>
      </c>
      <c r="G258" t="s">
        <v>893</v>
      </c>
    </row>
    <row r="259" spans="1:7" x14ac:dyDescent="0.25">
      <c r="A259" t="s">
        <v>676</v>
      </c>
      <c r="B259">
        <v>61</v>
      </c>
      <c r="C259">
        <v>3</v>
      </c>
      <c r="D259">
        <v>4</v>
      </c>
      <c r="E259" t="s">
        <v>895</v>
      </c>
      <c r="F259" t="s">
        <v>899</v>
      </c>
      <c r="G259" t="s">
        <v>887</v>
      </c>
    </row>
    <row r="260" spans="1:7" x14ac:dyDescent="0.25">
      <c r="A260" t="s">
        <v>641</v>
      </c>
      <c r="B260">
        <v>34</v>
      </c>
      <c r="C260">
        <v>-22</v>
      </c>
      <c r="D260">
        <v>4</v>
      </c>
      <c r="E260" t="s">
        <v>895</v>
      </c>
      <c r="F260" t="s">
        <v>906</v>
      </c>
      <c r="G260" t="s">
        <v>887</v>
      </c>
    </row>
    <row r="261" spans="1:7" x14ac:dyDescent="0.25">
      <c r="A261" t="s">
        <v>395</v>
      </c>
      <c r="B261">
        <v>32</v>
      </c>
      <c r="C261">
        <v>6</v>
      </c>
      <c r="D261">
        <v>3</v>
      </c>
      <c r="E261" t="s">
        <v>895</v>
      </c>
      <c r="F261" t="s">
        <v>909</v>
      </c>
      <c r="G261" t="s">
        <v>898</v>
      </c>
    </row>
    <row r="262" spans="1:7" x14ac:dyDescent="0.25">
      <c r="A262" t="s">
        <v>61</v>
      </c>
      <c r="B262">
        <v>623</v>
      </c>
      <c r="C262">
        <v>-192</v>
      </c>
      <c r="D262">
        <v>3</v>
      </c>
      <c r="E262" t="s">
        <v>888</v>
      </c>
      <c r="F262" t="s">
        <v>902</v>
      </c>
      <c r="G262" t="s">
        <v>898</v>
      </c>
    </row>
    <row r="263" spans="1:7" x14ac:dyDescent="0.25">
      <c r="A263" t="s">
        <v>378</v>
      </c>
      <c r="B263">
        <v>520</v>
      </c>
      <c r="C263">
        <v>151</v>
      </c>
      <c r="D263">
        <v>3</v>
      </c>
      <c r="E263" t="s">
        <v>885</v>
      </c>
      <c r="F263" t="s">
        <v>894</v>
      </c>
      <c r="G263" t="s">
        <v>893</v>
      </c>
    </row>
    <row r="264" spans="1:7" x14ac:dyDescent="0.25">
      <c r="A264" t="s">
        <v>335</v>
      </c>
      <c r="B264">
        <v>32</v>
      </c>
      <c r="C264">
        <v>-16</v>
      </c>
      <c r="D264">
        <v>6</v>
      </c>
      <c r="E264" t="s">
        <v>895</v>
      </c>
      <c r="F264" t="s">
        <v>897</v>
      </c>
      <c r="G264" t="s">
        <v>898</v>
      </c>
    </row>
    <row r="265" spans="1:7" x14ac:dyDescent="0.25">
      <c r="A265" t="s">
        <v>537</v>
      </c>
      <c r="B265">
        <v>32</v>
      </c>
      <c r="C265">
        <v>-5</v>
      </c>
      <c r="D265">
        <v>5</v>
      </c>
      <c r="E265" t="s">
        <v>895</v>
      </c>
      <c r="F265" t="s">
        <v>899</v>
      </c>
      <c r="G265" t="s">
        <v>898</v>
      </c>
    </row>
    <row r="266" spans="1:7" x14ac:dyDescent="0.25">
      <c r="A266" t="s">
        <v>381</v>
      </c>
      <c r="B266">
        <v>510</v>
      </c>
      <c r="C266">
        <v>234</v>
      </c>
      <c r="D266">
        <v>6</v>
      </c>
      <c r="E266" t="s">
        <v>885</v>
      </c>
      <c r="F266" t="s">
        <v>886</v>
      </c>
      <c r="G266" t="s">
        <v>890</v>
      </c>
    </row>
    <row r="267" spans="1:7" x14ac:dyDescent="0.25">
      <c r="A267" t="s">
        <v>448</v>
      </c>
      <c r="B267">
        <v>382</v>
      </c>
      <c r="C267">
        <v>68</v>
      </c>
      <c r="D267">
        <v>3</v>
      </c>
      <c r="E267" t="s">
        <v>895</v>
      </c>
      <c r="F267" t="s">
        <v>897</v>
      </c>
      <c r="G267" t="s">
        <v>887</v>
      </c>
    </row>
    <row r="268" spans="1:7" x14ac:dyDescent="0.25">
      <c r="A268" t="s">
        <v>230</v>
      </c>
      <c r="B268">
        <v>33</v>
      </c>
      <c r="C268">
        <v>13</v>
      </c>
      <c r="D268">
        <v>3</v>
      </c>
      <c r="E268" t="s">
        <v>895</v>
      </c>
      <c r="F268" t="s">
        <v>904</v>
      </c>
      <c r="G268" t="s">
        <v>898</v>
      </c>
    </row>
    <row r="269" spans="1:7" x14ac:dyDescent="0.25">
      <c r="A269" t="s">
        <v>62</v>
      </c>
      <c r="B269">
        <v>381</v>
      </c>
      <c r="C269">
        <v>-13</v>
      </c>
      <c r="D269">
        <v>2</v>
      </c>
      <c r="E269" t="s">
        <v>895</v>
      </c>
      <c r="F269" t="s">
        <v>897</v>
      </c>
      <c r="G269" t="s">
        <v>887</v>
      </c>
    </row>
    <row r="270" spans="1:7" x14ac:dyDescent="0.25">
      <c r="A270" t="s">
        <v>136</v>
      </c>
      <c r="B270">
        <v>490</v>
      </c>
      <c r="C270">
        <v>88</v>
      </c>
      <c r="D270">
        <v>2</v>
      </c>
      <c r="E270" t="s">
        <v>885</v>
      </c>
      <c r="F270" t="s">
        <v>905</v>
      </c>
      <c r="G270" t="s">
        <v>890</v>
      </c>
    </row>
    <row r="271" spans="1:7" x14ac:dyDescent="0.25">
      <c r="A271" t="s">
        <v>419</v>
      </c>
      <c r="B271">
        <v>381</v>
      </c>
      <c r="C271">
        <v>144</v>
      </c>
      <c r="D271">
        <v>2</v>
      </c>
      <c r="E271" t="s">
        <v>895</v>
      </c>
      <c r="F271" t="s">
        <v>897</v>
      </c>
      <c r="G271" t="s">
        <v>887</v>
      </c>
    </row>
    <row r="272" spans="1:7" x14ac:dyDescent="0.25">
      <c r="A272" t="s">
        <v>395</v>
      </c>
      <c r="B272">
        <v>487</v>
      </c>
      <c r="C272">
        <v>143</v>
      </c>
      <c r="D272">
        <v>4</v>
      </c>
      <c r="E272" t="s">
        <v>885</v>
      </c>
      <c r="F272" t="s">
        <v>894</v>
      </c>
      <c r="G272" t="s">
        <v>890</v>
      </c>
    </row>
    <row r="273" spans="1:7" x14ac:dyDescent="0.25">
      <c r="A273" t="s">
        <v>417</v>
      </c>
      <c r="B273">
        <v>366</v>
      </c>
      <c r="C273">
        <v>84</v>
      </c>
      <c r="D273">
        <v>3</v>
      </c>
      <c r="E273" t="s">
        <v>888</v>
      </c>
      <c r="F273" t="s">
        <v>891</v>
      </c>
      <c r="G273" t="s">
        <v>887</v>
      </c>
    </row>
    <row r="274" spans="1:7" x14ac:dyDescent="0.25">
      <c r="A274" t="s">
        <v>720</v>
      </c>
      <c r="B274">
        <v>33</v>
      </c>
      <c r="C274">
        <v>-29</v>
      </c>
      <c r="D274">
        <v>3</v>
      </c>
      <c r="E274" t="s">
        <v>895</v>
      </c>
      <c r="F274" t="s">
        <v>909</v>
      </c>
      <c r="G274" t="s">
        <v>898</v>
      </c>
    </row>
    <row r="275" spans="1:7" x14ac:dyDescent="0.25">
      <c r="A275" t="s">
        <v>286</v>
      </c>
      <c r="B275">
        <v>365</v>
      </c>
      <c r="C275">
        <v>107</v>
      </c>
      <c r="D275">
        <v>3</v>
      </c>
      <c r="E275" t="s">
        <v>885</v>
      </c>
      <c r="F275" t="s">
        <v>894</v>
      </c>
      <c r="G275" t="s">
        <v>887</v>
      </c>
    </row>
    <row r="276" spans="1:7" x14ac:dyDescent="0.25">
      <c r="A276" t="s">
        <v>430</v>
      </c>
      <c r="B276">
        <v>207</v>
      </c>
      <c r="C276">
        <v>-100</v>
      </c>
      <c r="D276">
        <v>2</v>
      </c>
      <c r="E276" t="s">
        <v>895</v>
      </c>
      <c r="F276" t="s">
        <v>897</v>
      </c>
      <c r="G276" t="s">
        <v>898</v>
      </c>
    </row>
    <row r="277" spans="1:7" x14ac:dyDescent="0.25">
      <c r="A277" t="s">
        <v>330</v>
      </c>
      <c r="B277">
        <v>359</v>
      </c>
      <c r="C277">
        <v>-338</v>
      </c>
      <c r="D277">
        <v>5</v>
      </c>
      <c r="E277" t="s">
        <v>888</v>
      </c>
      <c r="F277" t="s">
        <v>891</v>
      </c>
      <c r="G277" t="s">
        <v>887</v>
      </c>
    </row>
    <row r="278" spans="1:7" x14ac:dyDescent="0.25">
      <c r="A278" t="s">
        <v>224</v>
      </c>
      <c r="B278">
        <v>351</v>
      </c>
      <c r="C278">
        <v>-47</v>
      </c>
      <c r="D278">
        <v>8</v>
      </c>
      <c r="E278" t="s">
        <v>885</v>
      </c>
      <c r="F278" t="s">
        <v>894</v>
      </c>
      <c r="G278" t="s">
        <v>887</v>
      </c>
    </row>
    <row r="279" spans="1:7" x14ac:dyDescent="0.25">
      <c r="A279" t="s">
        <v>228</v>
      </c>
      <c r="B279">
        <v>485</v>
      </c>
      <c r="C279">
        <v>199</v>
      </c>
      <c r="D279">
        <v>4</v>
      </c>
      <c r="E279" t="s">
        <v>895</v>
      </c>
      <c r="F279" t="s">
        <v>897</v>
      </c>
      <c r="G279" t="s">
        <v>890</v>
      </c>
    </row>
    <row r="280" spans="1:7" x14ac:dyDescent="0.25">
      <c r="A280" t="s">
        <v>204</v>
      </c>
      <c r="B280">
        <v>37</v>
      </c>
      <c r="C280">
        <v>-23</v>
      </c>
      <c r="D280">
        <v>4</v>
      </c>
      <c r="E280" t="s">
        <v>895</v>
      </c>
      <c r="F280" t="s">
        <v>909</v>
      </c>
      <c r="G280" t="s">
        <v>898</v>
      </c>
    </row>
    <row r="281" spans="1:7" x14ac:dyDescent="0.25">
      <c r="A281" t="s">
        <v>256</v>
      </c>
      <c r="B281">
        <v>34</v>
      </c>
      <c r="C281">
        <v>10</v>
      </c>
      <c r="D281">
        <v>2</v>
      </c>
      <c r="E281" t="s">
        <v>895</v>
      </c>
      <c r="F281" t="s">
        <v>906</v>
      </c>
      <c r="G281" t="s">
        <v>907</v>
      </c>
    </row>
    <row r="282" spans="1:7" x14ac:dyDescent="0.25">
      <c r="A282" t="s">
        <v>164</v>
      </c>
      <c r="B282">
        <v>346</v>
      </c>
      <c r="C282">
        <v>108</v>
      </c>
      <c r="D282">
        <v>3</v>
      </c>
      <c r="E282" t="s">
        <v>888</v>
      </c>
      <c r="F282" t="s">
        <v>889</v>
      </c>
      <c r="G282" t="s">
        <v>887</v>
      </c>
    </row>
    <row r="283" spans="1:7" x14ac:dyDescent="0.25">
      <c r="A283" t="s">
        <v>166</v>
      </c>
      <c r="B283">
        <v>342</v>
      </c>
      <c r="C283">
        <v>-103</v>
      </c>
      <c r="D283">
        <v>4</v>
      </c>
      <c r="E283" t="s">
        <v>885</v>
      </c>
      <c r="F283" t="s">
        <v>886</v>
      </c>
      <c r="G283" t="s">
        <v>887</v>
      </c>
    </row>
    <row r="284" spans="1:7" x14ac:dyDescent="0.25">
      <c r="A284" t="s">
        <v>807</v>
      </c>
      <c r="B284">
        <v>35</v>
      </c>
      <c r="C284">
        <v>-8</v>
      </c>
      <c r="D284">
        <v>2</v>
      </c>
      <c r="E284" t="s">
        <v>888</v>
      </c>
      <c r="F284" t="s">
        <v>908</v>
      </c>
      <c r="G284" t="s">
        <v>907</v>
      </c>
    </row>
    <row r="285" spans="1:7" x14ac:dyDescent="0.25">
      <c r="A285" t="s">
        <v>680</v>
      </c>
      <c r="B285">
        <v>121</v>
      </c>
      <c r="C285">
        <v>41</v>
      </c>
      <c r="D285">
        <v>4</v>
      </c>
      <c r="E285" t="s">
        <v>895</v>
      </c>
      <c r="F285" t="s">
        <v>903</v>
      </c>
      <c r="G285" t="s">
        <v>898</v>
      </c>
    </row>
    <row r="286" spans="1:7" x14ac:dyDescent="0.25">
      <c r="A286" t="s">
        <v>411</v>
      </c>
      <c r="B286">
        <v>336</v>
      </c>
      <c r="C286">
        <v>57</v>
      </c>
      <c r="D286">
        <v>2</v>
      </c>
      <c r="E286" t="s">
        <v>885</v>
      </c>
      <c r="F286" t="s">
        <v>894</v>
      </c>
      <c r="G286" t="s">
        <v>887</v>
      </c>
    </row>
    <row r="287" spans="1:7" x14ac:dyDescent="0.25">
      <c r="A287" t="s">
        <v>470</v>
      </c>
      <c r="B287">
        <v>336</v>
      </c>
      <c r="C287">
        <v>71</v>
      </c>
      <c r="D287">
        <v>3</v>
      </c>
      <c r="E287" t="s">
        <v>888</v>
      </c>
      <c r="F287" t="s">
        <v>891</v>
      </c>
      <c r="G287" t="s">
        <v>887</v>
      </c>
    </row>
    <row r="288" spans="1:7" x14ac:dyDescent="0.25">
      <c r="A288" t="s">
        <v>650</v>
      </c>
      <c r="B288">
        <v>27</v>
      </c>
      <c r="C288">
        <v>4</v>
      </c>
      <c r="D288">
        <v>1</v>
      </c>
      <c r="E288" t="s">
        <v>895</v>
      </c>
      <c r="F288" t="s">
        <v>899</v>
      </c>
      <c r="G288" t="s">
        <v>887</v>
      </c>
    </row>
    <row r="289" spans="1:7" x14ac:dyDescent="0.25">
      <c r="A289" t="s">
        <v>476</v>
      </c>
      <c r="B289">
        <v>333</v>
      </c>
      <c r="C289">
        <v>50</v>
      </c>
      <c r="D289">
        <v>2</v>
      </c>
      <c r="E289" t="s">
        <v>885</v>
      </c>
      <c r="F289" t="s">
        <v>894</v>
      </c>
      <c r="G289" t="s">
        <v>887</v>
      </c>
    </row>
    <row r="290" spans="1:7" x14ac:dyDescent="0.25">
      <c r="A290" t="s">
        <v>44</v>
      </c>
      <c r="B290">
        <v>36</v>
      </c>
      <c r="C290">
        <v>7</v>
      </c>
      <c r="D290">
        <v>3</v>
      </c>
      <c r="E290" t="s">
        <v>895</v>
      </c>
      <c r="F290" t="s">
        <v>904</v>
      </c>
      <c r="G290" t="s">
        <v>907</v>
      </c>
    </row>
    <row r="291" spans="1:7" x14ac:dyDescent="0.25">
      <c r="A291" t="s">
        <v>474</v>
      </c>
      <c r="B291">
        <v>333</v>
      </c>
      <c r="C291">
        <v>-15</v>
      </c>
      <c r="D291">
        <v>3</v>
      </c>
      <c r="E291" t="s">
        <v>885</v>
      </c>
      <c r="F291" t="s">
        <v>894</v>
      </c>
      <c r="G291" t="s">
        <v>887</v>
      </c>
    </row>
    <row r="292" spans="1:7" x14ac:dyDescent="0.25">
      <c r="A292" t="s">
        <v>480</v>
      </c>
      <c r="B292">
        <v>327</v>
      </c>
      <c r="C292">
        <v>114</v>
      </c>
      <c r="D292">
        <v>4</v>
      </c>
      <c r="E292" t="s">
        <v>895</v>
      </c>
      <c r="F292" t="s">
        <v>896</v>
      </c>
      <c r="G292" t="s">
        <v>887</v>
      </c>
    </row>
    <row r="293" spans="1:7" x14ac:dyDescent="0.25">
      <c r="A293" t="s">
        <v>524</v>
      </c>
      <c r="B293">
        <v>18</v>
      </c>
      <c r="C293">
        <v>6</v>
      </c>
      <c r="D293">
        <v>3</v>
      </c>
      <c r="E293" t="s">
        <v>895</v>
      </c>
      <c r="F293" t="s">
        <v>899</v>
      </c>
      <c r="G293" t="s">
        <v>898</v>
      </c>
    </row>
    <row r="294" spans="1:7" x14ac:dyDescent="0.25">
      <c r="A294" t="s">
        <v>395</v>
      </c>
      <c r="B294">
        <v>325</v>
      </c>
      <c r="C294">
        <v>32</v>
      </c>
      <c r="D294">
        <v>7</v>
      </c>
      <c r="E294" t="s">
        <v>895</v>
      </c>
      <c r="F294" t="s">
        <v>906</v>
      </c>
      <c r="G294" t="s">
        <v>887</v>
      </c>
    </row>
    <row r="295" spans="1:7" x14ac:dyDescent="0.25">
      <c r="A295" t="s">
        <v>398</v>
      </c>
      <c r="B295">
        <v>482</v>
      </c>
      <c r="C295">
        <v>-6</v>
      </c>
      <c r="D295">
        <v>7</v>
      </c>
      <c r="E295" t="s">
        <v>885</v>
      </c>
      <c r="F295" t="s">
        <v>886</v>
      </c>
      <c r="G295" t="s">
        <v>890</v>
      </c>
    </row>
    <row r="296" spans="1:7" x14ac:dyDescent="0.25">
      <c r="A296" t="s">
        <v>295</v>
      </c>
      <c r="B296">
        <v>465</v>
      </c>
      <c r="C296">
        <v>-33</v>
      </c>
      <c r="D296">
        <v>4</v>
      </c>
      <c r="E296" t="s">
        <v>885</v>
      </c>
      <c r="F296" t="s">
        <v>894</v>
      </c>
      <c r="G296" t="s">
        <v>890</v>
      </c>
    </row>
    <row r="297" spans="1:7" x14ac:dyDescent="0.25">
      <c r="A297" t="s">
        <v>362</v>
      </c>
      <c r="B297">
        <v>40</v>
      </c>
      <c r="C297">
        <v>-12</v>
      </c>
      <c r="D297">
        <v>3</v>
      </c>
      <c r="E297" t="s">
        <v>895</v>
      </c>
      <c r="F297" t="s">
        <v>909</v>
      </c>
      <c r="G297" t="s">
        <v>887</v>
      </c>
    </row>
    <row r="298" spans="1:7" x14ac:dyDescent="0.25">
      <c r="A298" t="s">
        <v>134</v>
      </c>
      <c r="B298">
        <v>107</v>
      </c>
      <c r="C298">
        <v>36</v>
      </c>
      <c r="D298">
        <v>6</v>
      </c>
      <c r="E298" t="s">
        <v>895</v>
      </c>
      <c r="F298" t="s">
        <v>903</v>
      </c>
      <c r="G298" t="s">
        <v>887</v>
      </c>
    </row>
    <row r="299" spans="1:7" x14ac:dyDescent="0.25">
      <c r="A299" t="s">
        <v>434</v>
      </c>
      <c r="B299">
        <v>312</v>
      </c>
      <c r="C299">
        <v>-312</v>
      </c>
      <c r="D299">
        <v>7</v>
      </c>
      <c r="E299" t="s">
        <v>888</v>
      </c>
      <c r="F299" t="s">
        <v>889</v>
      </c>
      <c r="G299" t="s">
        <v>887</v>
      </c>
    </row>
    <row r="300" spans="1:7" x14ac:dyDescent="0.25">
      <c r="A300" t="s">
        <v>413</v>
      </c>
      <c r="B300">
        <v>451</v>
      </c>
      <c r="C300">
        <v>25</v>
      </c>
      <c r="D300">
        <v>3</v>
      </c>
      <c r="E300" t="s">
        <v>885</v>
      </c>
      <c r="F300" t="s">
        <v>894</v>
      </c>
      <c r="G300" t="s">
        <v>890</v>
      </c>
    </row>
    <row r="301" spans="1:7" x14ac:dyDescent="0.25">
      <c r="A301" t="s">
        <v>365</v>
      </c>
      <c r="B301">
        <v>312</v>
      </c>
      <c r="C301">
        <v>62</v>
      </c>
      <c r="D301">
        <v>1</v>
      </c>
      <c r="E301" t="s">
        <v>885</v>
      </c>
      <c r="F301" t="s">
        <v>886</v>
      </c>
      <c r="G301" t="s">
        <v>887</v>
      </c>
    </row>
    <row r="302" spans="1:7" x14ac:dyDescent="0.25">
      <c r="A302" t="s">
        <v>492</v>
      </c>
      <c r="B302">
        <v>311</v>
      </c>
      <c r="C302">
        <v>72</v>
      </c>
      <c r="D302">
        <v>2</v>
      </c>
      <c r="E302" t="s">
        <v>888</v>
      </c>
      <c r="F302" t="s">
        <v>891</v>
      </c>
      <c r="G302" t="s">
        <v>887</v>
      </c>
    </row>
    <row r="303" spans="1:7" x14ac:dyDescent="0.25">
      <c r="A303" t="s">
        <v>877</v>
      </c>
      <c r="B303">
        <v>11</v>
      </c>
      <c r="C303">
        <v>5</v>
      </c>
      <c r="D303">
        <v>2</v>
      </c>
      <c r="E303" t="s">
        <v>895</v>
      </c>
      <c r="F303" t="s">
        <v>899</v>
      </c>
      <c r="G303" t="s">
        <v>898</v>
      </c>
    </row>
    <row r="304" spans="1:7" x14ac:dyDescent="0.25">
      <c r="A304" t="s">
        <v>642</v>
      </c>
      <c r="B304">
        <v>37</v>
      </c>
      <c r="C304">
        <v>-5</v>
      </c>
      <c r="D304">
        <v>3</v>
      </c>
      <c r="E304" t="s">
        <v>895</v>
      </c>
      <c r="F304" t="s">
        <v>906</v>
      </c>
      <c r="G304" t="s">
        <v>907</v>
      </c>
    </row>
    <row r="305" spans="1:7" x14ac:dyDescent="0.25">
      <c r="A305" t="s">
        <v>263</v>
      </c>
      <c r="B305">
        <v>444</v>
      </c>
      <c r="C305">
        <v>-200</v>
      </c>
      <c r="D305">
        <v>4</v>
      </c>
      <c r="E305" t="s">
        <v>885</v>
      </c>
      <c r="F305" t="s">
        <v>894</v>
      </c>
      <c r="G305" t="s">
        <v>890</v>
      </c>
    </row>
    <row r="306" spans="1:7" x14ac:dyDescent="0.25">
      <c r="A306" t="s">
        <v>420</v>
      </c>
      <c r="B306">
        <v>434</v>
      </c>
      <c r="C306">
        <v>26</v>
      </c>
      <c r="D306">
        <v>11</v>
      </c>
      <c r="E306" t="s">
        <v>895</v>
      </c>
      <c r="F306" t="s">
        <v>909</v>
      </c>
      <c r="G306" t="s">
        <v>893</v>
      </c>
    </row>
    <row r="307" spans="1:7" x14ac:dyDescent="0.25">
      <c r="A307" t="s">
        <v>499</v>
      </c>
      <c r="B307">
        <v>299</v>
      </c>
      <c r="C307">
        <v>0</v>
      </c>
      <c r="D307">
        <v>6</v>
      </c>
      <c r="E307" t="s">
        <v>895</v>
      </c>
      <c r="F307" t="s">
        <v>903</v>
      </c>
      <c r="G307" t="s">
        <v>887</v>
      </c>
    </row>
    <row r="308" spans="1:7" x14ac:dyDescent="0.25">
      <c r="A308" t="s">
        <v>411</v>
      </c>
      <c r="B308">
        <v>37</v>
      </c>
      <c r="C308">
        <v>17</v>
      </c>
      <c r="D308">
        <v>3</v>
      </c>
      <c r="E308" t="s">
        <v>895</v>
      </c>
      <c r="F308" t="s">
        <v>899</v>
      </c>
      <c r="G308" t="s">
        <v>907</v>
      </c>
    </row>
    <row r="309" spans="1:7" x14ac:dyDescent="0.25">
      <c r="A309" t="s">
        <v>450</v>
      </c>
      <c r="B309">
        <v>299</v>
      </c>
      <c r="C309">
        <v>113</v>
      </c>
      <c r="D309">
        <v>2</v>
      </c>
      <c r="E309" t="s">
        <v>888</v>
      </c>
      <c r="F309" t="s">
        <v>891</v>
      </c>
      <c r="G309" t="s">
        <v>887</v>
      </c>
    </row>
    <row r="310" spans="1:7" x14ac:dyDescent="0.25">
      <c r="A310" t="s">
        <v>501</v>
      </c>
      <c r="B310">
        <v>298</v>
      </c>
      <c r="C310">
        <v>74</v>
      </c>
      <c r="D310">
        <v>2</v>
      </c>
      <c r="E310" t="s">
        <v>888</v>
      </c>
      <c r="F310" t="s">
        <v>891</v>
      </c>
      <c r="G310" t="s">
        <v>887</v>
      </c>
    </row>
    <row r="311" spans="1:7" x14ac:dyDescent="0.25">
      <c r="A311" t="s">
        <v>726</v>
      </c>
      <c r="B311">
        <v>94</v>
      </c>
      <c r="C311">
        <v>7</v>
      </c>
      <c r="D311">
        <v>7</v>
      </c>
      <c r="E311" t="s">
        <v>895</v>
      </c>
      <c r="F311" t="s">
        <v>904</v>
      </c>
      <c r="G311" t="s">
        <v>898</v>
      </c>
    </row>
    <row r="312" spans="1:7" x14ac:dyDescent="0.25">
      <c r="A312" t="s">
        <v>315</v>
      </c>
      <c r="B312">
        <v>296</v>
      </c>
      <c r="C312">
        <v>225</v>
      </c>
      <c r="D312">
        <v>11</v>
      </c>
      <c r="E312" t="s">
        <v>895</v>
      </c>
      <c r="F312" t="s">
        <v>897</v>
      </c>
      <c r="G312" t="s">
        <v>887</v>
      </c>
    </row>
    <row r="313" spans="1:7" x14ac:dyDescent="0.25">
      <c r="A313" t="s">
        <v>112</v>
      </c>
      <c r="B313">
        <v>37</v>
      </c>
      <c r="C313">
        <v>17</v>
      </c>
      <c r="D313">
        <v>3</v>
      </c>
      <c r="E313" t="s">
        <v>895</v>
      </c>
      <c r="F313" t="s">
        <v>899</v>
      </c>
      <c r="G313" t="s">
        <v>907</v>
      </c>
    </row>
    <row r="314" spans="1:7" x14ac:dyDescent="0.25">
      <c r="A314" t="s">
        <v>504</v>
      </c>
      <c r="B314">
        <v>291</v>
      </c>
      <c r="C314">
        <v>93</v>
      </c>
      <c r="D314">
        <v>2</v>
      </c>
      <c r="E314" t="s">
        <v>885</v>
      </c>
      <c r="F314" t="s">
        <v>892</v>
      </c>
      <c r="G314" t="s">
        <v>887</v>
      </c>
    </row>
    <row r="315" spans="1:7" x14ac:dyDescent="0.25">
      <c r="A315" t="s">
        <v>478</v>
      </c>
      <c r="B315">
        <v>327</v>
      </c>
      <c r="C315">
        <v>-39</v>
      </c>
      <c r="D315">
        <v>1</v>
      </c>
      <c r="E315" t="s">
        <v>885</v>
      </c>
      <c r="F315" t="s">
        <v>894</v>
      </c>
      <c r="G315" t="s">
        <v>887</v>
      </c>
    </row>
    <row r="316" spans="1:7" x14ac:dyDescent="0.25">
      <c r="A316" t="s">
        <v>378</v>
      </c>
      <c r="B316">
        <v>291</v>
      </c>
      <c r="C316">
        <v>119</v>
      </c>
      <c r="D316">
        <v>11</v>
      </c>
      <c r="E316" t="s">
        <v>895</v>
      </c>
      <c r="F316" t="s">
        <v>897</v>
      </c>
      <c r="G316" t="s">
        <v>887</v>
      </c>
    </row>
    <row r="317" spans="1:7" x14ac:dyDescent="0.25">
      <c r="A317" t="s">
        <v>507</v>
      </c>
      <c r="B317">
        <v>287</v>
      </c>
      <c r="C317">
        <v>-66</v>
      </c>
      <c r="D317">
        <v>6</v>
      </c>
      <c r="E317" t="s">
        <v>895</v>
      </c>
      <c r="F317" t="s">
        <v>900</v>
      </c>
      <c r="G317" t="s">
        <v>887</v>
      </c>
    </row>
    <row r="318" spans="1:7" x14ac:dyDescent="0.25">
      <c r="A318" t="s">
        <v>467</v>
      </c>
      <c r="B318">
        <v>42</v>
      </c>
      <c r="C318">
        <v>15</v>
      </c>
      <c r="D318">
        <v>1</v>
      </c>
      <c r="E318" t="s">
        <v>885</v>
      </c>
      <c r="F318" t="s">
        <v>905</v>
      </c>
      <c r="G318" t="s">
        <v>898</v>
      </c>
    </row>
    <row r="319" spans="1:7" x14ac:dyDescent="0.25">
      <c r="A319" t="s">
        <v>422</v>
      </c>
      <c r="B319">
        <v>429</v>
      </c>
      <c r="C319">
        <v>61</v>
      </c>
      <c r="D319">
        <v>3</v>
      </c>
      <c r="E319" t="s">
        <v>885</v>
      </c>
      <c r="F319" t="s">
        <v>886</v>
      </c>
      <c r="G319" t="s">
        <v>893</v>
      </c>
    </row>
    <row r="320" spans="1:7" x14ac:dyDescent="0.25">
      <c r="A320" t="s">
        <v>508</v>
      </c>
      <c r="B320">
        <v>285</v>
      </c>
      <c r="C320">
        <v>128</v>
      </c>
      <c r="D320">
        <v>2</v>
      </c>
      <c r="E320" t="s">
        <v>885</v>
      </c>
      <c r="F320" t="s">
        <v>892</v>
      </c>
      <c r="G320" t="s">
        <v>887</v>
      </c>
    </row>
    <row r="321" spans="1:7" x14ac:dyDescent="0.25">
      <c r="A321" t="s">
        <v>512</v>
      </c>
      <c r="B321">
        <v>277</v>
      </c>
      <c r="C321">
        <v>3</v>
      </c>
      <c r="D321">
        <v>1</v>
      </c>
      <c r="E321" t="s">
        <v>885</v>
      </c>
      <c r="F321" t="s">
        <v>886</v>
      </c>
      <c r="G321" t="s">
        <v>887</v>
      </c>
    </row>
    <row r="322" spans="1:7" x14ac:dyDescent="0.25">
      <c r="A322" t="s">
        <v>280</v>
      </c>
      <c r="B322">
        <v>274</v>
      </c>
      <c r="C322">
        <v>-7</v>
      </c>
      <c r="D322">
        <v>4</v>
      </c>
      <c r="E322" t="s">
        <v>885</v>
      </c>
      <c r="F322" t="s">
        <v>894</v>
      </c>
      <c r="G322" t="s">
        <v>887</v>
      </c>
    </row>
    <row r="323" spans="1:7" x14ac:dyDescent="0.25">
      <c r="A323" t="s">
        <v>517</v>
      </c>
      <c r="B323">
        <v>273</v>
      </c>
      <c r="C323">
        <v>-87</v>
      </c>
      <c r="D323">
        <v>4</v>
      </c>
      <c r="E323" t="s">
        <v>885</v>
      </c>
      <c r="F323" t="s">
        <v>894</v>
      </c>
      <c r="G323" t="s">
        <v>887</v>
      </c>
    </row>
    <row r="324" spans="1:7" x14ac:dyDescent="0.25">
      <c r="A324" t="s">
        <v>275</v>
      </c>
      <c r="B324">
        <v>269</v>
      </c>
      <c r="C324">
        <v>91</v>
      </c>
      <c r="D324">
        <v>1</v>
      </c>
      <c r="E324" t="s">
        <v>885</v>
      </c>
      <c r="F324" t="s">
        <v>886</v>
      </c>
      <c r="G324" t="s">
        <v>887</v>
      </c>
    </row>
    <row r="325" spans="1:7" x14ac:dyDescent="0.25">
      <c r="A325" t="s">
        <v>504</v>
      </c>
      <c r="B325">
        <v>11</v>
      </c>
      <c r="C325">
        <v>5</v>
      </c>
      <c r="D325">
        <v>1</v>
      </c>
      <c r="E325" t="s">
        <v>895</v>
      </c>
      <c r="F325" t="s">
        <v>901</v>
      </c>
      <c r="G325" t="s">
        <v>887</v>
      </c>
    </row>
    <row r="326" spans="1:7" x14ac:dyDescent="0.25">
      <c r="A326" t="s">
        <v>23</v>
      </c>
      <c r="B326">
        <v>39</v>
      </c>
      <c r="C326">
        <v>2</v>
      </c>
      <c r="D326">
        <v>2</v>
      </c>
      <c r="E326" t="s">
        <v>895</v>
      </c>
      <c r="F326" t="s">
        <v>897</v>
      </c>
      <c r="G326" t="s">
        <v>907</v>
      </c>
    </row>
    <row r="327" spans="1:7" x14ac:dyDescent="0.25">
      <c r="A327" t="s">
        <v>413</v>
      </c>
      <c r="B327">
        <v>264</v>
      </c>
      <c r="C327">
        <v>-26</v>
      </c>
      <c r="D327">
        <v>3</v>
      </c>
      <c r="E327" t="s">
        <v>895</v>
      </c>
      <c r="F327" t="s">
        <v>896</v>
      </c>
      <c r="G327" t="s">
        <v>887</v>
      </c>
    </row>
    <row r="328" spans="1:7" x14ac:dyDescent="0.25">
      <c r="A328" t="s">
        <v>446</v>
      </c>
      <c r="B328">
        <v>40</v>
      </c>
      <c r="C328">
        <v>16</v>
      </c>
      <c r="D328">
        <v>3</v>
      </c>
      <c r="E328" t="s">
        <v>895</v>
      </c>
      <c r="F328" t="s">
        <v>899</v>
      </c>
      <c r="G328" t="s">
        <v>907</v>
      </c>
    </row>
    <row r="329" spans="1:7" x14ac:dyDescent="0.25">
      <c r="A329" t="s">
        <v>660</v>
      </c>
      <c r="B329">
        <v>41</v>
      </c>
      <c r="C329">
        <v>19</v>
      </c>
      <c r="D329">
        <v>2</v>
      </c>
      <c r="E329" t="s">
        <v>895</v>
      </c>
      <c r="F329" t="s">
        <v>906</v>
      </c>
      <c r="G329" t="s">
        <v>907</v>
      </c>
    </row>
    <row r="330" spans="1:7" x14ac:dyDescent="0.25">
      <c r="A330" t="s">
        <v>352</v>
      </c>
      <c r="B330">
        <v>253</v>
      </c>
      <c r="C330">
        <v>-63</v>
      </c>
      <c r="D330">
        <v>2</v>
      </c>
      <c r="E330" t="s">
        <v>895</v>
      </c>
      <c r="F330" t="s">
        <v>897</v>
      </c>
      <c r="G330" t="s">
        <v>898</v>
      </c>
    </row>
    <row r="331" spans="1:7" x14ac:dyDescent="0.25">
      <c r="A331" t="s">
        <v>432</v>
      </c>
      <c r="B331">
        <v>406</v>
      </c>
      <c r="C331">
        <v>97</v>
      </c>
      <c r="D331">
        <v>7</v>
      </c>
      <c r="E331" t="s">
        <v>888</v>
      </c>
      <c r="F331" t="s">
        <v>889</v>
      </c>
      <c r="G331" t="s">
        <v>893</v>
      </c>
    </row>
    <row r="332" spans="1:7" x14ac:dyDescent="0.25">
      <c r="A332" t="s">
        <v>373</v>
      </c>
      <c r="B332">
        <v>32</v>
      </c>
      <c r="C332">
        <v>7</v>
      </c>
      <c r="D332">
        <v>3</v>
      </c>
      <c r="E332" t="s">
        <v>895</v>
      </c>
      <c r="F332" t="s">
        <v>899</v>
      </c>
      <c r="G332" t="s">
        <v>887</v>
      </c>
    </row>
    <row r="333" spans="1:7" x14ac:dyDescent="0.25">
      <c r="A333" t="s">
        <v>365</v>
      </c>
      <c r="B333">
        <v>260</v>
      </c>
      <c r="C333">
        <v>68</v>
      </c>
      <c r="D333">
        <v>2</v>
      </c>
      <c r="E333" t="s">
        <v>885</v>
      </c>
      <c r="F333" t="s">
        <v>892</v>
      </c>
      <c r="G333" t="s">
        <v>887</v>
      </c>
    </row>
    <row r="334" spans="1:7" x14ac:dyDescent="0.25">
      <c r="A334" t="s">
        <v>614</v>
      </c>
      <c r="B334">
        <v>41</v>
      </c>
      <c r="C334">
        <v>19</v>
      </c>
      <c r="D334">
        <v>5</v>
      </c>
      <c r="E334" t="s">
        <v>895</v>
      </c>
      <c r="F334" t="s">
        <v>899</v>
      </c>
      <c r="G334" t="s">
        <v>907</v>
      </c>
    </row>
    <row r="335" spans="1:7" x14ac:dyDescent="0.25">
      <c r="A335" t="s">
        <v>120</v>
      </c>
      <c r="B335">
        <v>401</v>
      </c>
      <c r="C335">
        <v>13</v>
      </c>
      <c r="D335">
        <v>6</v>
      </c>
      <c r="E335" t="s">
        <v>888</v>
      </c>
      <c r="F335" t="s">
        <v>889</v>
      </c>
      <c r="G335" t="s">
        <v>893</v>
      </c>
    </row>
    <row r="336" spans="1:7" x14ac:dyDescent="0.25">
      <c r="A336" t="s">
        <v>446</v>
      </c>
      <c r="B336">
        <v>382</v>
      </c>
      <c r="C336">
        <v>30</v>
      </c>
      <c r="D336">
        <v>3</v>
      </c>
      <c r="E336" t="s">
        <v>895</v>
      </c>
      <c r="F336" t="s">
        <v>897</v>
      </c>
      <c r="G336" t="s">
        <v>893</v>
      </c>
    </row>
    <row r="337" spans="1:7" x14ac:dyDescent="0.25">
      <c r="A337" t="s">
        <v>246</v>
      </c>
      <c r="B337">
        <v>867</v>
      </c>
      <c r="C337">
        <v>251</v>
      </c>
      <c r="D337">
        <v>5</v>
      </c>
      <c r="E337" t="s">
        <v>885</v>
      </c>
      <c r="F337" t="s">
        <v>894</v>
      </c>
      <c r="G337" t="s">
        <v>887</v>
      </c>
    </row>
    <row r="338" spans="1:7" x14ac:dyDescent="0.25">
      <c r="A338" t="s">
        <v>197</v>
      </c>
      <c r="B338">
        <v>43</v>
      </c>
      <c r="C338">
        <v>0</v>
      </c>
      <c r="D338">
        <v>3</v>
      </c>
      <c r="E338" t="s">
        <v>895</v>
      </c>
      <c r="F338" t="s">
        <v>897</v>
      </c>
      <c r="G338" t="s">
        <v>907</v>
      </c>
    </row>
    <row r="339" spans="1:7" x14ac:dyDescent="0.25">
      <c r="A339" t="s">
        <v>808</v>
      </c>
      <c r="B339">
        <v>43</v>
      </c>
      <c r="C339">
        <v>-43</v>
      </c>
      <c r="D339">
        <v>7</v>
      </c>
      <c r="E339" t="s">
        <v>895</v>
      </c>
      <c r="F339" t="s">
        <v>903</v>
      </c>
      <c r="G339" t="s">
        <v>907</v>
      </c>
    </row>
    <row r="340" spans="1:7" x14ac:dyDescent="0.25">
      <c r="A340" t="s">
        <v>579</v>
      </c>
      <c r="B340">
        <v>74</v>
      </c>
      <c r="C340">
        <v>29</v>
      </c>
      <c r="D340">
        <v>3</v>
      </c>
      <c r="E340" t="s">
        <v>895</v>
      </c>
      <c r="F340" t="s">
        <v>903</v>
      </c>
      <c r="G340" t="s">
        <v>887</v>
      </c>
    </row>
    <row r="341" spans="1:7" x14ac:dyDescent="0.25">
      <c r="A341" t="s">
        <v>434</v>
      </c>
      <c r="B341">
        <v>44</v>
      </c>
      <c r="C341">
        <v>-26</v>
      </c>
      <c r="D341">
        <v>3</v>
      </c>
      <c r="E341" t="s">
        <v>895</v>
      </c>
      <c r="F341" t="s">
        <v>899</v>
      </c>
      <c r="G341" t="s">
        <v>907</v>
      </c>
    </row>
    <row r="342" spans="1:7" x14ac:dyDescent="0.25">
      <c r="A342" t="s">
        <v>521</v>
      </c>
      <c r="B342">
        <v>259</v>
      </c>
      <c r="C342">
        <v>-55</v>
      </c>
      <c r="D342">
        <v>2</v>
      </c>
      <c r="E342" t="s">
        <v>888</v>
      </c>
      <c r="F342" t="s">
        <v>889</v>
      </c>
      <c r="G342" t="s">
        <v>887</v>
      </c>
    </row>
    <row r="343" spans="1:7" x14ac:dyDescent="0.25">
      <c r="A343" t="s">
        <v>126</v>
      </c>
      <c r="B343">
        <v>257</v>
      </c>
      <c r="C343">
        <v>23</v>
      </c>
      <c r="D343">
        <v>5</v>
      </c>
      <c r="E343" t="s">
        <v>895</v>
      </c>
      <c r="F343" t="s">
        <v>899</v>
      </c>
      <c r="G343" t="s">
        <v>887</v>
      </c>
    </row>
    <row r="344" spans="1:7" x14ac:dyDescent="0.25">
      <c r="A344" t="s">
        <v>130</v>
      </c>
      <c r="B344">
        <v>76</v>
      </c>
      <c r="C344">
        <v>27</v>
      </c>
      <c r="D344">
        <v>5</v>
      </c>
      <c r="E344" t="s">
        <v>895</v>
      </c>
      <c r="F344" t="s">
        <v>903</v>
      </c>
      <c r="G344" t="s">
        <v>887</v>
      </c>
    </row>
    <row r="345" spans="1:7" x14ac:dyDescent="0.25">
      <c r="A345" t="s">
        <v>661</v>
      </c>
      <c r="B345">
        <v>44</v>
      </c>
      <c r="C345">
        <v>-32</v>
      </c>
      <c r="D345">
        <v>3</v>
      </c>
      <c r="E345" t="s">
        <v>895</v>
      </c>
      <c r="F345" t="s">
        <v>903</v>
      </c>
      <c r="G345" t="s">
        <v>907</v>
      </c>
    </row>
    <row r="346" spans="1:7" x14ac:dyDescent="0.25">
      <c r="A346" t="s">
        <v>307</v>
      </c>
      <c r="B346">
        <v>257</v>
      </c>
      <c r="C346">
        <v>3</v>
      </c>
      <c r="D346">
        <v>2</v>
      </c>
      <c r="E346" t="s">
        <v>895</v>
      </c>
      <c r="F346" t="s">
        <v>897</v>
      </c>
      <c r="G346" t="s">
        <v>887</v>
      </c>
    </row>
    <row r="347" spans="1:7" x14ac:dyDescent="0.25">
      <c r="A347" t="s">
        <v>526</v>
      </c>
      <c r="B347">
        <v>255</v>
      </c>
      <c r="C347">
        <v>76</v>
      </c>
      <c r="D347">
        <v>9</v>
      </c>
      <c r="E347" t="s">
        <v>895</v>
      </c>
      <c r="F347" t="s">
        <v>899</v>
      </c>
      <c r="G347" t="s">
        <v>887</v>
      </c>
    </row>
    <row r="348" spans="1:7" x14ac:dyDescent="0.25">
      <c r="A348" t="s">
        <v>544</v>
      </c>
      <c r="B348">
        <v>44</v>
      </c>
      <c r="C348">
        <v>14</v>
      </c>
      <c r="D348">
        <v>3</v>
      </c>
      <c r="E348" t="s">
        <v>895</v>
      </c>
      <c r="F348" t="s">
        <v>899</v>
      </c>
      <c r="G348" t="s">
        <v>907</v>
      </c>
    </row>
    <row r="349" spans="1:7" x14ac:dyDescent="0.25">
      <c r="A349" t="s">
        <v>642</v>
      </c>
      <c r="B349">
        <v>45</v>
      </c>
      <c r="C349">
        <v>-2</v>
      </c>
      <c r="D349">
        <v>4</v>
      </c>
      <c r="E349" t="s">
        <v>895</v>
      </c>
      <c r="F349" t="s">
        <v>909</v>
      </c>
      <c r="G349" t="s">
        <v>887</v>
      </c>
    </row>
    <row r="350" spans="1:7" x14ac:dyDescent="0.25">
      <c r="A350" t="s">
        <v>85</v>
      </c>
      <c r="B350">
        <v>44</v>
      </c>
      <c r="C350">
        <v>-3</v>
      </c>
      <c r="D350">
        <v>1</v>
      </c>
      <c r="E350" t="s">
        <v>895</v>
      </c>
      <c r="F350" t="s">
        <v>897</v>
      </c>
      <c r="G350" t="s">
        <v>907</v>
      </c>
    </row>
    <row r="351" spans="1:7" x14ac:dyDescent="0.25">
      <c r="A351" t="s">
        <v>136</v>
      </c>
      <c r="B351">
        <v>382</v>
      </c>
      <c r="C351">
        <v>119</v>
      </c>
      <c r="D351">
        <v>2</v>
      </c>
      <c r="E351" t="s">
        <v>895</v>
      </c>
      <c r="F351" t="s">
        <v>897</v>
      </c>
      <c r="G351" t="s">
        <v>893</v>
      </c>
    </row>
    <row r="352" spans="1:7" x14ac:dyDescent="0.25">
      <c r="A352" t="s">
        <v>284</v>
      </c>
      <c r="B352">
        <v>250</v>
      </c>
      <c r="C352">
        <v>100</v>
      </c>
      <c r="D352">
        <v>3</v>
      </c>
      <c r="E352" t="s">
        <v>895</v>
      </c>
      <c r="F352" t="s">
        <v>896</v>
      </c>
      <c r="G352" t="s">
        <v>887</v>
      </c>
    </row>
    <row r="353" spans="1:7" x14ac:dyDescent="0.25">
      <c r="A353" t="s">
        <v>557</v>
      </c>
      <c r="B353">
        <v>45</v>
      </c>
      <c r="C353">
        <v>-15</v>
      </c>
      <c r="D353">
        <v>2</v>
      </c>
      <c r="E353" t="s">
        <v>888</v>
      </c>
      <c r="F353" t="s">
        <v>889</v>
      </c>
      <c r="G353" t="s">
        <v>887</v>
      </c>
    </row>
    <row r="354" spans="1:7" x14ac:dyDescent="0.25">
      <c r="A354" t="s">
        <v>350</v>
      </c>
      <c r="B354">
        <v>246</v>
      </c>
      <c r="C354">
        <v>61</v>
      </c>
      <c r="D354">
        <v>2</v>
      </c>
      <c r="E354" t="s">
        <v>888</v>
      </c>
      <c r="F354" t="s">
        <v>891</v>
      </c>
      <c r="G354" t="s">
        <v>887</v>
      </c>
    </row>
    <row r="355" spans="1:7" x14ac:dyDescent="0.25">
      <c r="A355" t="s">
        <v>504</v>
      </c>
      <c r="B355">
        <v>50</v>
      </c>
      <c r="C355">
        <v>25</v>
      </c>
      <c r="D355">
        <v>5</v>
      </c>
      <c r="E355" t="s">
        <v>895</v>
      </c>
      <c r="F355" t="s">
        <v>903</v>
      </c>
      <c r="G355" t="s">
        <v>887</v>
      </c>
    </row>
    <row r="356" spans="1:7" x14ac:dyDescent="0.25">
      <c r="A356" t="s">
        <v>358</v>
      </c>
      <c r="B356">
        <v>246</v>
      </c>
      <c r="C356">
        <v>98</v>
      </c>
      <c r="D356">
        <v>5</v>
      </c>
      <c r="E356" t="s">
        <v>895</v>
      </c>
      <c r="F356" t="s">
        <v>899</v>
      </c>
      <c r="G356" t="s">
        <v>887</v>
      </c>
    </row>
    <row r="357" spans="1:7" x14ac:dyDescent="0.25">
      <c r="A357" t="s">
        <v>237</v>
      </c>
      <c r="B357">
        <v>44</v>
      </c>
      <c r="C357">
        <v>99</v>
      </c>
      <c r="D357">
        <v>3</v>
      </c>
      <c r="E357" t="s">
        <v>895</v>
      </c>
      <c r="F357" t="s">
        <v>900</v>
      </c>
      <c r="G357" t="s">
        <v>907</v>
      </c>
    </row>
    <row r="358" spans="1:7" x14ac:dyDescent="0.25">
      <c r="A358" t="s">
        <v>531</v>
      </c>
      <c r="B358">
        <v>245</v>
      </c>
      <c r="C358">
        <v>-78</v>
      </c>
      <c r="D358">
        <v>3</v>
      </c>
      <c r="E358" t="s">
        <v>895</v>
      </c>
      <c r="F358" t="s">
        <v>897</v>
      </c>
      <c r="G358" t="s">
        <v>887</v>
      </c>
    </row>
    <row r="359" spans="1:7" x14ac:dyDescent="0.25">
      <c r="A359" t="s">
        <v>34</v>
      </c>
      <c r="B359">
        <v>245</v>
      </c>
      <c r="C359">
        <v>30</v>
      </c>
      <c r="D359">
        <v>2</v>
      </c>
      <c r="E359" t="s">
        <v>895</v>
      </c>
      <c r="F359" t="s">
        <v>897</v>
      </c>
      <c r="G359" t="s">
        <v>887</v>
      </c>
    </row>
    <row r="360" spans="1:7" x14ac:dyDescent="0.25">
      <c r="A360" t="s">
        <v>449</v>
      </c>
      <c r="B360">
        <v>376</v>
      </c>
      <c r="C360">
        <v>0</v>
      </c>
      <c r="D360">
        <v>7</v>
      </c>
      <c r="E360" t="s">
        <v>895</v>
      </c>
      <c r="F360" t="s">
        <v>903</v>
      </c>
      <c r="G360" t="s">
        <v>893</v>
      </c>
    </row>
    <row r="361" spans="1:7" x14ac:dyDescent="0.25">
      <c r="A361" t="s">
        <v>228</v>
      </c>
      <c r="B361">
        <v>45</v>
      </c>
      <c r="C361">
        <v>1</v>
      </c>
      <c r="D361">
        <v>3</v>
      </c>
      <c r="E361" t="s">
        <v>895</v>
      </c>
      <c r="F361" t="s">
        <v>906</v>
      </c>
      <c r="G361" t="s">
        <v>907</v>
      </c>
    </row>
    <row r="362" spans="1:7" x14ac:dyDescent="0.25">
      <c r="A362" t="s">
        <v>271</v>
      </c>
      <c r="B362">
        <v>45</v>
      </c>
      <c r="C362">
        <v>-28</v>
      </c>
      <c r="D362">
        <v>2</v>
      </c>
      <c r="E362" t="s">
        <v>895</v>
      </c>
      <c r="F362" t="s">
        <v>903</v>
      </c>
      <c r="G362" t="s">
        <v>907</v>
      </c>
    </row>
    <row r="363" spans="1:7" x14ac:dyDescent="0.25">
      <c r="A363" t="s">
        <v>532</v>
      </c>
      <c r="B363">
        <v>244</v>
      </c>
      <c r="C363">
        <v>-122</v>
      </c>
      <c r="D363">
        <v>5</v>
      </c>
      <c r="E363" t="s">
        <v>888</v>
      </c>
      <c r="F363" t="s">
        <v>908</v>
      </c>
      <c r="G363" t="s">
        <v>887</v>
      </c>
    </row>
    <row r="364" spans="1:7" x14ac:dyDescent="0.25">
      <c r="A364" t="s">
        <v>534</v>
      </c>
      <c r="B364">
        <v>244</v>
      </c>
      <c r="C364">
        <v>83</v>
      </c>
      <c r="D364">
        <v>2</v>
      </c>
      <c r="E364" t="s">
        <v>888</v>
      </c>
      <c r="F364" t="s">
        <v>891</v>
      </c>
      <c r="G364" t="s">
        <v>887</v>
      </c>
    </row>
    <row r="365" spans="1:7" x14ac:dyDescent="0.25">
      <c r="A365" t="s">
        <v>250</v>
      </c>
      <c r="B365">
        <v>10</v>
      </c>
      <c r="C365">
        <v>4</v>
      </c>
      <c r="D365">
        <v>1</v>
      </c>
      <c r="E365" t="s">
        <v>895</v>
      </c>
      <c r="F365" t="s">
        <v>900</v>
      </c>
      <c r="G365" t="s">
        <v>898</v>
      </c>
    </row>
    <row r="366" spans="1:7" x14ac:dyDescent="0.25">
      <c r="A366" t="s">
        <v>450</v>
      </c>
      <c r="B366">
        <v>375</v>
      </c>
      <c r="C366">
        <v>180</v>
      </c>
      <c r="D366">
        <v>3</v>
      </c>
      <c r="E366" t="s">
        <v>888</v>
      </c>
      <c r="F366" t="s">
        <v>891</v>
      </c>
      <c r="G366" t="s">
        <v>893</v>
      </c>
    </row>
    <row r="367" spans="1:7" x14ac:dyDescent="0.25">
      <c r="A367" t="s">
        <v>16</v>
      </c>
      <c r="B367">
        <v>46</v>
      </c>
      <c r="C367">
        <v>14</v>
      </c>
      <c r="D367">
        <v>5</v>
      </c>
      <c r="E367" t="s">
        <v>895</v>
      </c>
      <c r="F367" t="s">
        <v>901</v>
      </c>
      <c r="G367" t="s">
        <v>907</v>
      </c>
    </row>
    <row r="368" spans="1:7" x14ac:dyDescent="0.25">
      <c r="A368" t="s">
        <v>716</v>
      </c>
      <c r="B368">
        <v>49</v>
      </c>
      <c r="C368">
        <v>-31</v>
      </c>
      <c r="D368">
        <v>2</v>
      </c>
      <c r="E368" t="s">
        <v>895</v>
      </c>
      <c r="F368" t="s">
        <v>903</v>
      </c>
      <c r="G368" t="s">
        <v>898</v>
      </c>
    </row>
    <row r="369" spans="1:7" x14ac:dyDescent="0.25">
      <c r="A369" t="s">
        <v>803</v>
      </c>
      <c r="B369">
        <v>47</v>
      </c>
      <c r="C369">
        <v>-20</v>
      </c>
      <c r="D369">
        <v>2</v>
      </c>
      <c r="E369" t="s">
        <v>895</v>
      </c>
      <c r="F369" t="s">
        <v>900</v>
      </c>
      <c r="G369" t="s">
        <v>907</v>
      </c>
    </row>
    <row r="370" spans="1:7" x14ac:dyDescent="0.25">
      <c r="A370" t="s">
        <v>308</v>
      </c>
      <c r="B370">
        <v>355</v>
      </c>
      <c r="C370">
        <v>-114</v>
      </c>
      <c r="D370">
        <v>7</v>
      </c>
      <c r="E370" t="s">
        <v>895</v>
      </c>
      <c r="F370" t="s">
        <v>903</v>
      </c>
      <c r="G370" t="s">
        <v>893</v>
      </c>
    </row>
    <row r="371" spans="1:7" x14ac:dyDescent="0.25">
      <c r="A371" t="s">
        <v>560</v>
      </c>
      <c r="B371">
        <v>32</v>
      </c>
      <c r="C371">
        <v>8</v>
      </c>
      <c r="D371">
        <v>5</v>
      </c>
      <c r="E371" t="s">
        <v>895</v>
      </c>
      <c r="F371" t="s">
        <v>899</v>
      </c>
      <c r="G371" t="s">
        <v>898</v>
      </c>
    </row>
    <row r="372" spans="1:7" x14ac:dyDescent="0.25">
      <c r="A372" t="s">
        <v>85</v>
      </c>
      <c r="B372">
        <v>243</v>
      </c>
      <c r="C372">
        <v>-14</v>
      </c>
      <c r="D372">
        <v>2</v>
      </c>
      <c r="E372" t="s">
        <v>888</v>
      </c>
      <c r="F372" t="s">
        <v>889</v>
      </c>
      <c r="G372" t="s">
        <v>887</v>
      </c>
    </row>
    <row r="373" spans="1:7" x14ac:dyDescent="0.25">
      <c r="A373" t="s">
        <v>535</v>
      </c>
      <c r="B373">
        <v>241</v>
      </c>
      <c r="C373">
        <v>-77</v>
      </c>
      <c r="D373">
        <v>4</v>
      </c>
      <c r="E373" t="s">
        <v>885</v>
      </c>
      <c r="F373" t="s">
        <v>886</v>
      </c>
      <c r="G373" t="s">
        <v>887</v>
      </c>
    </row>
    <row r="374" spans="1:7" x14ac:dyDescent="0.25">
      <c r="A374" t="s">
        <v>805</v>
      </c>
      <c r="B374">
        <v>47</v>
      </c>
      <c r="C374">
        <v>15</v>
      </c>
      <c r="D374">
        <v>5</v>
      </c>
      <c r="E374" t="s">
        <v>895</v>
      </c>
      <c r="F374" t="s">
        <v>897</v>
      </c>
      <c r="G374" t="s">
        <v>907</v>
      </c>
    </row>
    <row r="375" spans="1:7" x14ac:dyDescent="0.25">
      <c r="A375" t="s">
        <v>625</v>
      </c>
      <c r="B375">
        <v>50</v>
      </c>
      <c r="C375">
        <v>-10</v>
      </c>
      <c r="D375">
        <v>6</v>
      </c>
      <c r="E375" t="s">
        <v>895</v>
      </c>
      <c r="F375" t="s">
        <v>901</v>
      </c>
      <c r="G375" t="s">
        <v>907</v>
      </c>
    </row>
    <row r="376" spans="1:7" x14ac:dyDescent="0.25">
      <c r="A376" t="s">
        <v>425</v>
      </c>
      <c r="B376">
        <v>15</v>
      </c>
      <c r="C376">
        <v>6</v>
      </c>
      <c r="D376">
        <v>2</v>
      </c>
      <c r="E376" t="s">
        <v>895</v>
      </c>
      <c r="F376" t="s">
        <v>899</v>
      </c>
      <c r="G376" t="s">
        <v>887</v>
      </c>
    </row>
    <row r="377" spans="1:7" x14ac:dyDescent="0.25">
      <c r="A377" t="s">
        <v>228</v>
      </c>
      <c r="B377">
        <v>148</v>
      </c>
      <c r="C377">
        <v>24</v>
      </c>
      <c r="D377">
        <v>3</v>
      </c>
      <c r="E377" t="s">
        <v>895</v>
      </c>
      <c r="F377" t="s">
        <v>903</v>
      </c>
      <c r="G377" t="s">
        <v>887</v>
      </c>
    </row>
    <row r="378" spans="1:7" x14ac:dyDescent="0.25">
      <c r="A378" t="s">
        <v>497</v>
      </c>
      <c r="B378">
        <v>299</v>
      </c>
      <c r="C378">
        <v>-28</v>
      </c>
      <c r="D378">
        <v>3</v>
      </c>
      <c r="E378" t="s">
        <v>885</v>
      </c>
      <c r="F378" t="s">
        <v>886</v>
      </c>
      <c r="G378" t="s">
        <v>898</v>
      </c>
    </row>
    <row r="379" spans="1:7" x14ac:dyDescent="0.25">
      <c r="A379" t="s">
        <v>335</v>
      </c>
      <c r="B379">
        <v>68</v>
      </c>
      <c r="C379">
        <v>-30</v>
      </c>
      <c r="D379">
        <v>1</v>
      </c>
      <c r="E379" t="s">
        <v>885</v>
      </c>
      <c r="F379" t="s">
        <v>894</v>
      </c>
      <c r="G379" t="s">
        <v>898</v>
      </c>
    </row>
    <row r="380" spans="1:7" x14ac:dyDescent="0.25">
      <c r="A380" t="s">
        <v>228</v>
      </c>
      <c r="B380">
        <v>52</v>
      </c>
      <c r="C380">
        <v>18</v>
      </c>
      <c r="D380">
        <v>5</v>
      </c>
      <c r="E380" t="s">
        <v>895</v>
      </c>
      <c r="F380" t="s">
        <v>904</v>
      </c>
      <c r="G380" t="s">
        <v>907</v>
      </c>
    </row>
    <row r="381" spans="1:7" x14ac:dyDescent="0.25">
      <c r="A381" t="s">
        <v>337</v>
      </c>
      <c r="B381">
        <v>239</v>
      </c>
      <c r="C381">
        <v>-162</v>
      </c>
      <c r="D381">
        <v>5</v>
      </c>
      <c r="E381" t="s">
        <v>888</v>
      </c>
      <c r="F381" t="s">
        <v>889</v>
      </c>
      <c r="G381" t="s">
        <v>887</v>
      </c>
    </row>
    <row r="382" spans="1:7" x14ac:dyDescent="0.25">
      <c r="A382" t="s">
        <v>350</v>
      </c>
      <c r="B382">
        <v>27</v>
      </c>
      <c r="C382">
        <v>6</v>
      </c>
      <c r="D382">
        <v>3</v>
      </c>
      <c r="E382" t="s">
        <v>895</v>
      </c>
      <c r="F382" t="s">
        <v>901</v>
      </c>
      <c r="G382" t="s">
        <v>887</v>
      </c>
    </row>
    <row r="383" spans="1:7" x14ac:dyDescent="0.25">
      <c r="A383" t="s">
        <v>224</v>
      </c>
      <c r="B383">
        <v>238</v>
      </c>
      <c r="C383">
        <v>20</v>
      </c>
      <c r="D383">
        <v>2</v>
      </c>
      <c r="E383" t="s">
        <v>895</v>
      </c>
      <c r="F383" t="s">
        <v>897</v>
      </c>
      <c r="G383" t="s">
        <v>887</v>
      </c>
    </row>
    <row r="384" spans="1:7" x14ac:dyDescent="0.25">
      <c r="A384" t="s">
        <v>417</v>
      </c>
      <c r="B384">
        <v>48</v>
      </c>
      <c r="C384">
        <v>16</v>
      </c>
      <c r="D384">
        <v>3</v>
      </c>
      <c r="E384" t="s">
        <v>895</v>
      </c>
      <c r="F384" t="s">
        <v>909</v>
      </c>
      <c r="G384" t="s">
        <v>887</v>
      </c>
    </row>
    <row r="385" spans="1:7" x14ac:dyDescent="0.25">
      <c r="A385" t="s">
        <v>192</v>
      </c>
      <c r="B385">
        <v>66</v>
      </c>
      <c r="C385">
        <v>22</v>
      </c>
      <c r="D385">
        <v>3</v>
      </c>
      <c r="E385" t="s">
        <v>895</v>
      </c>
      <c r="F385" t="s">
        <v>903</v>
      </c>
      <c r="G385" t="s">
        <v>898</v>
      </c>
    </row>
    <row r="386" spans="1:7" x14ac:dyDescent="0.25">
      <c r="A386" t="s">
        <v>616</v>
      </c>
      <c r="B386">
        <v>53</v>
      </c>
      <c r="C386">
        <v>24</v>
      </c>
      <c r="D386">
        <v>1</v>
      </c>
      <c r="E386" t="s">
        <v>895</v>
      </c>
      <c r="F386" t="s">
        <v>899</v>
      </c>
      <c r="G386" t="s">
        <v>907</v>
      </c>
    </row>
    <row r="387" spans="1:7" x14ac:dyDescent="0.25">
      <c r="A387" t="s">
        <v>474</v>
      </c>
      <c r="B387">
        <v>233</v>
      </c>
      <c r="C387">
        <v>-10</v>
      </c>
      <c r="D387">
        <v>5</v>
      </c>
      <c r="E387" t="s">
        <v>885</v>
      </c>
      <c r="F387" t="s">
        <v>886</v>
      </c>
      <c r="G387" t="s">
        <v>887</v>
      </c>
    </row>
    <row r="388" spans="1:7" x14ac:dyDescent="0.25">
      <c r="A388" t="s">
        <v>419</v>
      </c>
      <c r="B388">
        <v>53</v>
      </c>
      <c r="C388">
        <v>-2</v>
      </c>
      <c r="D388">
        <v>3</v>
      </c>
      <c r="E388" t="s">
        <v>895</v>
      </c>
      <c r="F388" t="s">
        <v>897</v>
      </c>
      <c r="G388" t="s">
        <v>907</v>
      </c>
    </row>
    <row r="389" spans="1:7" x14ac:dyDescent="0.25">
      <c r="A389" t="s">
        <v>290</v>
      </c>
      <c r="B389">
        <v>54</v>
      </c>
      <c r="C389">
        <v>8</v>
      </c>
      <c r="D389">
        <v>4</v>
      </c>
      <c r="E389" t="s">
        <v>895</v>
      </c>
      <c r="F389" t="s">
        <v>906</v>
      </c>
      <c r="G389" t="s">
        <v>907</v>
      </c>
    </row>
    <row r="390" spans="1:7" x14ac:dyDescent="0.25">
      <c r="A390" t="s">
        <v>460</v>
      </c>
      <c r="B390">
        <v>352</v>
      </c>
      <c r="C390">
        <v>-345</v>
      </c>
      <c r="D390">
        <v>5</v>
      </c>
      <c r="E390" t="s">
        <v>895</v>
      </c>
      <c r="F390" t="s">
        <v>897</v>
      </c>
      <c r="G390" t="s">
        <v>893</v>
      </c>
    </row>
    <row r="391" spans="1:7" x14ac:dyDescent="0.25">
      <c r="A391" t="s">
        <v>292</v>
      </c>
      <c r="B391">
        <v>349</v>
      </c>
      <c r="C391">
        <v>0</v>
      </c>
      <c r="D391">
        <v>7</v>
      </c>
      <c r="E391" t="s">
        <v>895</v>
      </c>
      <c r="F391" t="s">
        <v>903</v>
      </c>
      <c r="G391" t="s">
        <v>893</v>
      </c>
    </row>
    <row r="392" spans="1:7" x14ac:dyDescent="0.25">
      <c r="A392" t="s">
        <v>212</v>
      </c>
      <c r="B392">
        <v>341</v>
      </c>
      <c r="C392">
        <v>-85</v>
      </c>
      <c r="D392">
        <v>6</v>
      </c>
      <c r="E392" t="s">
        <v>895</v>
      </c>
      <c r="F392" t="s">
        <v>896</v>
      </c>
      <c r="G392" t="s">
        <v>893</v>
      </c>
    </row>
    <row r="393" spans="1:7" x14ac:dyDescent="0.25">
      <c r="A393" t="s">
        <v>246</v>
      </c>
      <c r="B393">
        <v>54</v>
      </c>
      <c r="C393">
        <v>12</v>
      </c>
      <c r="D393">
        <v>3</v>
      </c>
      <c r="E393" t="s">
        <v>895</v>
      </c>
      <c r="F393" t="s">
        <v>897</v>
      </c>
      <c r="G393" t="s">
        <v>907</v>
      </c>
    </row>
    <row r="394" spans="1:7" x14ac:dyDescent="0.25">
      <c r="A394" t="s">
        <v>3</v>
      </c>
      <c r="B394">
        <v>57</v>
      </c>
      <c r="C394">
        <v>7</v>
      </c>
      <c r="D394">
        <v>2</v>
      </c>
      <c r="E394" t="s">
        <v>895</v>
      </c>
      <c r="F394" t="s">
        <v>909</v>
      </c>
      <c r="G394" t="s">
        <v>898</v>
      </c>
    </row>
    <row r="395" spans="1:7" x14ac:dyDescent="0.25">
      <c r="A395" t="s">
        <v>465</v>
      </c>
      <c r="B395">
        <v>340</v>
      </c>
      <c r="C395">
        <v>20</v>
      </c>
      <c r="D395">
        <v>7</v>
      </c>
      <c r="E395" t="s">
        <v>895</v>
      </c>
      <c r="F395" t="s">
        <v>909</v>
      </c>
      <c r="G395" t="s">
        <v>893</v>
      </c>
    </row>
    <row r="396" spans="1:7" x14ac:dyDescent="0.25">
      <c r="A396" t="s">
        <v>3</v>
      </c>
      <c r="B396">
        <v>227</v>
      </c>
      <c r="C396">
        <v>48</v>
      </c>
      <c r="D396">
        <v>5</v>
      </c>
      <c r="E396" t="s">
        <v>895</v>
      </c>
      <c r="F396" t="s">
        <v>903</v>
      </c>
      <c r="G396" t="s">
        <v>887</v>
      </c>
    </row>
    <row r="397" spans="1:7" x14ac:dyDescent="0.25">
      <c r="A397" t="s">
        <v>467</v>
      </c>
      <c r="B397">
        <v>330</v>
      </c>
      <c r="C397">
        <v>81</v>
      </c>
      <c r="D397">
        <v>1</v>
      </c>
      <c r="E397" t="s">
        <v>888</v>
      </c>
      <c r="F397" t="s">
        <v>891</v>
      </c>
      <c r="G397" t="s">
        <v>893</v>
      </c>
    </row>
    <row r="398" spans="1:7" x14ac:dyDescent="0.25">
      <c r="A398" t="s">
        <v>341</v>
      </c>
      <c r="B398">
        <v>216</v>
      </c>
      <c r="C398">
        <v>-38</v>
      </c>
      <c r="D398">
        <v>6</v>
      </c>
      <c r="E398" t="s">
        <v>888</v>
      </c>
      <c r="F398" t="s">
        <v>908</v>
      </c>
      <c r="G398" t="s">
        <v>898</v>
      </c>
    </row>
    <row r="399" spans="1:7" x14ac:dyDescent="0.25">
      <c r="A399" t="s">
        <v>528</v>
      </c>
      <c r="B399">
        <v>224</v>
      </c>
      <c r="C399">
        <v>-143</v>
      </c>
      <c r="D399">
        <v>3</v>
      </c>
      <c r="E399" t="s">
        <v>888</v>
      </c>
      <c r="F399" t="s">
        <v>889</v>
      </c>
      <c r="G399" t="s">
        <v>887</v>
      </c>
    </row>
    <row r="400" spans="1:7" x14ac:dyDescent="0.25">
      <c r="A400" t="s">
        <v>539</v>
      </c>
      <c r="B400">
        <v>55</v>
      </c>
      <c r="C400">
        <v>-33</v>
      </c>
      <c r="D400">
        <v>2</v>
      </c>
      <c r="E400" t="s">
        <v>888</v>
      </c>
      <c r="F400" t="s">
        <v>889</v>
      </c>
      <c r="G400" t="s">
        <v>907</v>
      </c>
    </row>
    <row r="401" spans="1:7" x14ac:dyDescent="0.25">
      <c r="A401" t="s">
        <v>675</v>
      </c>
      <c r="B401">
        <v>49</v>
      </c>
      <c r="C401">
        <v>21</v>
      </c>
      <c r="D401">
        <v>1</v>
      </c>
      <c r="E401" t="s">
        <v>895</v>
      </c>
      <c r="F401" t="s">
        <v>903</v>
      </c>
      <c r="G401" t="s">
        <v>898</v>
      </c>
    </row>
    <row r="402" spans="1:7" x14ac:dyDescent="0.25">
      <c r="A402" t="s">
        <v>290</v>
      </c>
      <c r="B402">
        <v>224</v>
      </c>
      <c r="C402">
        <v>87</v>
      </c>
      <c r="D402">
        <v>3</v>
      </c>
      <c r="E402" t="s">
        <v>895</v>
      </c>
      <c r="F402" t="s">
        <v>896</v>
      </c>
      <c r="G402" t="s">
        <v>887</v>
      </c>
    </row>
    <row r="403" spans="1:7" x14ac:dyDescent="0.25">
      <c r="A403" t="s">
        <v>34</v>
      </c>
      <c r="B403">
        <v>223</v>
      </c>
      <c r="C403">
        <v>27</v>
      </c>
      <c r="D403">
        <v>2</v>
      </c>
      <c r="E403" t="s">
        <v>888</v>
      </c>
      <c r="F403" t="s">
        <v>891</v>
      </c>
      <c r="G403" t="s">
        <v>887</v>
      </c>
    </row>
    <row r="404" spans="1:7" x14ac:dyDescent="0.25">
      <c r="A404" t="s">
        <v>345</v>
      </c>
      <c r="B404">
        <v>324</v>
      </c>
      <c r="C404">
        <v>39</v>
      </c>
      <c r="D404">
        <v>8</v>
      </c>
      <c r="E404" t="s">
        <v>885</v>
      </c>
      <c r="F404" t="s">
        <v>905</v>
      </c>
      <c r="G404" t="s">
        <v>893</v>
      </c>
    </row>
    <row r="405" spans="1:7" x14ac:dyDescent="0.25">
      <c r="A405" t="s">
        <v>124</v>
      </c>
      <c r="B405">
        <v>56</v>
      </c>
      <c r="C405">
        <v>18</v>
      </c>
      <c r="D405">
        <v>2</v>
      </c>
      <c r="E405" t="s">
        <v>895</v>
      </c>
      <c r="F405" t="s">
        <v>899</v>
      </c>
      <c r="G405" t="s">
        <v>907</v>
      </c>
    </row>
    <row r="406" spans="1:7" x14ac:dyDescent="0.25">
      <c r="A406" t="s">
        <v>269</v>
      </c>
      <c r="B406">
        <v>223</v>
      </c>
      <c r="C406">
        <v>62</v>
      </c>
      <c r="D406">
        <v>7</v>
      </c>
      <c r="E406" t="s">
        <v>895</v>
      </c>
      <c r="F406" t="s">
        <v>909</v>
      </c>
      <c r="G406" t="s">
        <v>887</v>
      </c>
    </row>
    <row r="407" spans="1:7" x14ac:dyDescent="0.25">
      <c r="A407" t="s">
        <v>307</v>
      </c>
      <c r="B407">
        <v>10</v>
      </c>
      <c r="C407">
        <v>2</v>
      </c>
      <c r="D407">
        <v>2</v>
      </c>
      <c r="E407" t="s">
        <v>895</v>
      </c>
      <c r="F407" t="s">
        <v>901</v>
      </c>
      <c r="G407" t="s">
        <v>887</v>
      </c>
    </row>
    <row r="408" spans="1:7" x14ac:dyDescent="0.25">
      <c r="A408" t="s">
        <v>781</v>
      </c>
      <c r="B408">
        <v>57</v>
      </c>
      <c r="C408">
        <v>6</v>
      </c>
      <c r="D408">
        <v>5</v>
      </c>
      <c r="E408" t="s">
        <v>895</v>
      </c>
      <c r="F408" t="s">
        <v>904</v>
      </c>
      <c r="G408" t="s">
        <v>907</v>
      </c>
    </row>
    <row r="409" spans="1:7" x14ac:dyDescent="0.25">
      <c r="A409" t="s">
        <v>206</v>
      </c>
      <c r="B409">
        <v>322</v>
      </c>
      <c r="C409">
        <v>-113</v>
      </c>
      <c r="D409">
        <v>4</v>
      </c>
      <c r="E409" t="s">
        <v>895</v>
      </c>
      <c r="F409" t="s">
        <v>897</v>
      </c>
      <c r="G409" t="s">
        <v>893</v>
      </c>
    </row>
    <row r="410" spans="1:7" x14ac:dyDescent="0.25">
      <c r="A410" t="s">
        <v>416</v>
      </c>
      <c r="B410">
        <v>219</v>
      </c>
      <c r="C410">
        <v>4</v>
      </c>
      <c r="D410">
        <v>2</v>
      </c>
      <c r="E410" t="s">
        <v>895</v>
      </c>
      <c r="F410" t="s">
        <v>897</v>
      </c>
      <c r="G410" t="s">
        <v>887</v>
      </c>
    </row>
    <row r="411" spans="1:7" x14ac:dyDescent="0.25">
      <c r="A411" t="s">
        <v>703</v>
      </c>
      <c r="B411">
        <v>103</v>
      </c>
      <c r="C411">
        <v>21</v>
      </c>
      <c r="D411">
        <v>7</v>
      </c>
      <c r="E411" t="s">
        <v>895</v>
      </c>
      <c r="F411" t="s">
        <v>903</v>
      </c>
      <c r="G411" t="s">
        <v>898</v>
      </c>
    </row>
    <row r="412" spans="1:7" x14ac:dyDescent="0.25">
      <c r="A412" t="s">
        <v>537</v>
      </c>
      <c r="B412">
        <v>47</v>
      </c>
      <c r="C412">
        <v>-27</v>
      </c>
      <c r="D412">
        <v>4</v>
      </c>
      <c r="E412" t="s">
        <v>895</v>
      </c>
      <c r="F412" t="s">
        <v>897</v>
      </c>
      <c r="G412" t="s">
        <v>887</v>
      </c>
    </row>
    <row r="413" spans="1:7" x14ac:dyDescent="0.25">
      <c r="A413" t="s">
        <v>34</v>
      </c>
      <c r="B413">
        <v>219</v>
      </c>
      <c r="C413">
        <v>0</v>
      </c>
      <c r="D413">
        <v>1</v>
      </c>
      <c r="E413" t="s">
        <v>895</v>
      </c>
      <c r="F413" t="s">
        <v>897</v>
      </c>
      <c r="G413" t="s">
        <v>887</v>
      </c>
    </row>
    <row r="414" spans="1:7" x14ac:dyDescent="0.25">
      <c r="A414" t="s">
        <v>480</v>
      </c>
      <c r="B414">
        <v>57</v>
      </c>
      <c r="C414">
        <v>-48</v>
      </c>
      <c r="D414">
        <v>6</v>
      </c>
      <c r="E414" t="s">
        <v>895</v>
      </c>
      <c r="F414" t="s">
        <v>904</v>
      </c>
      <c r="G414" t="s">
        <v>907</v>
      </c>
    </row>
    <row r="415" spans="1:7" x14ac:dyDescent="0.25">
      <c r="A415" t="s">
        <v>488</v>
      </c>
      <c r="B415">
        <v>319</v>
      </c>
      <c r="C415">
        <v>102</v>
      </c>
      <c r="D415">
        <v>6</v>
      </c>
      <c r="E415" t="s">
        <v>885</v>
      </c>
      <c r="F415" t="s">
        <v>905</v>
      </c>
      <c r="G415" t="s">
        <v>893</v>
      </c>
    </row>
    <row r="416" spans="1:7" x14ac:dyDescent="0.25">
      <c r="A416" t="s">
        <v>68</v>
      </c>
      <c r="B416">
        <v>315</v>
      </c>
      <c r="C416">
        <v>-8</v>
      </c>
      <c r="D416">
        <v>3</v>
      </c>
      <c r="E416" t="s">
        <v>888</v>
      </c>
      <c r="F416" t="s">
        <v>889</v>
      </c>
      <c r="G416" t="s">
        <v>893</v>
      </c>
    </row>
    <row r="417" spans="1:7" x14ac:dyDescent="0.25">
      <c r="A417" t="s">
        <v>174</v>
      </c>
      <c r="B417">
        <v>314</v>
      </c>
      <c r="C417">
        <v>-41</v>
      </c>
      <c r="D417">
        <v>3</v>
      </c>
      <c r="E417" t="s">
        <v>885</v>
      </c>
      <c r="F417" t="s">
        <v>886</v>
      </c>
      <c r="G417" t="s">
        <v>893</v>
      </c>
    </row>
    <row r="418" spans="1:7" x14ac:dyDescent="0.25">
      <c r="A418" t="s">
        <v>493</v>
      </c>
      <c r="B418">
        <v>311</v>
      </c>
      <c r="C418">
        <v>40</v>
      </c>
      <c r="D418">
        <v>1</v>
      </c>
      <c r="E418" t="s">
        <v>885</v>
      </c>
      <c r="F418" t="s">
        <v>886</v>
      </c>
      <c r="G418" t="s">
        <v>890</v>
      </c>
    </row>
    <row r="419" spans="1:7" x14ac:dyDescent="0.25">
      <c r="A419" t="s">
        <v>187</v>
      </c>
      <c r="B419">
        <v>307</v>
      </c>
      <c r="C419">
        <v>74</v>
      </c>
      <c r="D419">
        <v>3</v>
      </c>
      <c r="E419" t="s">
        <v>885</v>
      </c>
      <c r="F419" t="s">
        <v>905</v>
      </c>
      <c r="G419" t="s">
        <v>890</v>
      </c>
    </row>
    <row r="420" spans="1:7" x14ac:dyDescent="0.25">
      <c r="A420" t="s">
        <v>34</v>
      </c>
      <c r="B420">
        <v>294</v>
      </c>
      <c r="C420">
        <v>109</v>
      </c>
      <c r="D420">
        <v>7</v>
      </c>
      <c r="E420" t="s">
        <v>885</v>
      </c>
      <c r="F420" t="s">
        <v>905</v>
      </c>
      <c r="G420" t="s">
        <v>890</v>
      </c>
    </row>
    <row r="421" spans="1:7" x14ac:dyDescent="0.25">
      <c r="A421" t="s">
        <v>544</v>
      </c>
      <c r="B421">
        <v>216</v>
      </c>
      <c r="C421">
        <v>-83</v>
      </c>
      <c r="D421">
        <v>3</v>
      </c>
      <c r="E421" t="s">
        <v>885</v>
      </c>
      <c r="F421" t="s">
        <v>886</v>
      </c>
      <c r="G421" t="s">
        <v>887</v>
      </c>
    </row>
    <row r="422" spans="1:7" x14ac:dyDescent="0.25">
      <c r="A422" t="s">
        <v>539</v>
      </c>
      <c r="B422">
        <v>58</v>
      </c>
      <c r="C422">
        <v>-42</v>
      </c>
      <c r="D422">
        <v>2</v>
      </c>
      <c r="E422" t="s">
        <v>888</v>
      </c>
      <c r="F422" t="s">
        <v>889</v>
      </c>
      <c r="G422" t="s">
        <v>907</v>
      </c>
    </row>
    <row r="423" spans="1:7" x14ac:dyDescent="0.25">
      <c r="A423" t="s">
        <v>108</v>
      </c>
      <c r="B423">
        <v>48</v>
      </c>
      <c r="C423">
        <v>20</v>
      </c>
      <c r="D423">
        <v>4</v>
      </c>
      <c r="E423" t="s">
        <v>895</v>
      </c>
      <c r="F423" t="s">
        <v>903</v>
      </c>
      <c r="G423" t="s">
        <v>898</v>
      </c>
    </row>
    <row r="424" spans="1:7" x14ac:dyDescent="0.25">
      <c r="A424" t="s">
        <v>23</v>
      </c>
      <c r="B424">
        <v>54</v>
      </c>
      <c r="C424">
        <v>14</v>
      </c>
      <c r="D424">
        <v>3</v>
      </c>
      <c r="E424" t="s">
        <v>895</v>
      </c>
      <c r="F424" t="s">
        <v>906</v>
      </c>
      <c r="G424" t="s">
        <v>898</v>
      </c>
    </row>
    <row r="425" spans="1:7" x14ac:dyDescent="0.25">
      <c r="A425" t="s">
        <v>136</v>
      </c>
      <c r="B425">
        <v>216</v>
      </c>
      <c r="C425">
        <v>50</v>
      </c>
      <c r="D425">
        <v>4</v>
      </c>
      <c r="E425" t="s">
        <v>895</v>
      </c>
      <c r="F425" t="s">
        <v>903</v>
      </c>
      <c r="G425" t="s">
        <v>887</v>
      </c>
    </row>
    <row r="426" spans="1:7" x14ac:dyDescent="0.25">
      <c r="A426" t="s">
        <v>269</v>
      </c>
      <c r="B426">
        <v>215</v>
      </c>
      <c r="C426">
        <v>-30</v>
      </c>
      <c r="D426">
        <v>2</v>
      </c>
      <c r="E426" t="s">
        <v>895</v>
      </c>
      <c r="F426" t="s">
        <v>897</v>
      </c>
      <c r="G426" t="s">
        <v>887</v>
      </c>
    </row>
    <row r="427" spans="1:7" x14ac:dyDescent="0.25">
      <c r="A427" t="s">
        <v>638</v>
      </c>
      <c r="B427">
        <v>43</v>
      </c>
      <c r="C427">
        <v>8</v>
      </c>
      <c r="D427">
        <v>3</v>
      </c>
      <c r="E427" t="s">
        <v>895</v>
      </c>
      <c r="F427" t="s">
        <v>904</v>
      </c>
      <c r="G427" t="s">
        <v>887</v>
      </c>
    </row>
    <row r="428" spans="1:7" x14ac:dyDescent="0.25">
      <c r="A428" t="s">
        <v>91</v>
      </c>
      <c r="B428">
        <v>136</v>
      </c>
      <c r="C428">
        <v>-33</v>
      </c>
      <c r="D428">
        <v>5</v>
      </c>
      <c r="E428" t="s">
        <v>895</v>
      </c>
      <c r="F428" t="s">
        <v>897</v>
      </c>
      <c r="G428" t="s">
        <v>887</v>
      </c>
    </row>
    <row r="429" spans="1:7" x14ac:dyDescent="0.25">
      <c r="A429" t="s">
        <v>331</v>
      </c>
      <c r="B429">
        <v>59</v>
      </c>
      <c r="C429">
        <v>-30</v>
      </c>
      <c r="D429">
        <v>3</v>
      </c>
      <c r="E429" t="s">
        <v>895</v>
      </c>
      <c r="F429" t="s">
        <v>904</v>
      </c>
      <c r="G429" t="s">
        <v>907</v>
      </c>
    </row>
    <row r="430" spans="1:7" x14ac:dyDescent="0.25">
      <c r="A430" t="s">
        <v>3</v>
      </c>
      <c r="B430">
        <v>213</v>
      </c>
      <c r="C430">
        <v>4</v>
      </c>
      <c r="D430">
        <v>14</v>
      </c>
      <c r="E430" t="s">
        <v>895</v>
      </c>
      <c r="F430" t="s">
        <v>909</v>
      </c>
      <c r="G430" t="s">
        <v>887</v>
      </c>
    </row>
    <row r="431" spans="1:7" x14ac:dyDescent="0.25">
      <c r="A431" t="s">
        <v>192</v>
      </c>
      <c r="B431">
        <v>59</v>
      </c>
      <c r="C431">
        <v>21</v>
      </c>
      <c r="D431">
        <v>2</v>
      </c>
      <c r="E431" t="s">
        <v>895</v>
      </c>
      <c r="F431" t="s">
        <v>903</v>
      </c>
      <c r="G431" t="s">
        <v>907</v>
      </c>
    </row>
    <row r="432" spans="1:7" x14ac:dyDescent="0.25">
      <c r="A432" t="s">
        <v>376</v>
      </c>
      <c r="B432">
        <v>55</v>
      </c>
      <c r="C432">
        <v>3</v>
      </c>
      <c r="D432">
        <v>3</v>
      </c>
      <c r="E432" t="s">
        <v>895</v>
      </c>
      <c r="F432" t="s">
        <v>906</v>
      </c>
      <c r="G432" t="s">
        <v>887</v>
      </c>
    </row>
    <row r="433" spans="1:7" x14ac:dyDescent="0.25">
      <c r="A433" t="s">
        <v>23</v>
      </c>
      <c r="B433">
        <v>294</v>
      </c>
      <c r="C433">
        <v>62</v>
      </c>
      <c r="D433">
        <v>9</v>
      </c>
      <c r="E433" t="s">
        <v>895</v>
      </c>
      <c r="F433" t="s">
        <v>906</v>
      </c>
      <c r="G433" t="s">
        <v>890</v>
      </c>
    </row>
    <row r="434" spans="1:7" x14ac:dyDescent="0.25">
      <c r="A434" t="s">
        <v>550</v>
      </c>
      <c r="B434">
        <v>210</v>
      </c>
      <c r="C434">
        <v>62</v>
      </c>
      <c r="D434">
        <v>2</v>
      </c>
      <c r="E434" t="s">
        <v>885</v>
      </c>
      <c r="F434" t="s">
        <v>894</v>
      </c>
      <c r="G434" t="s">
        <v>887</v>
      </c>
    </row>
    <row r="435" spans="1:7" x14ac:dyDescent="0.25">
      <c r="A435" t="s">
        <v>650</v>
      </c>
      <c r="B435">
        <v>59</v>
      </c>
      <c r="C435">
        <v>24</v>
      </c>
      <c r="D435">
        <v>6</v>
      </c>
      <c r="E435" t="s">
        <v>895</v>
      </c>
      <c r="F435" t="s">
        <v>900</v>
      </c>
      <c r="G435" t="s">
        <v>907</v>
      </c>
    </row>
    <row r="436" spans="1:7" x14ac:dyDescent="0.25">
      <c r="A436" t="s">
        <v>434</v>
      </c>
      <c r="B436">
        <v>396</v>
      </c>
      <c r="C436">
        <v>-31</v>
      </c>
      <c r="D436">
        <v>9</v>
      </c>
      <c r="E436" t="s">
        <v>895</v>
      </c>
      <c r="F436" t="s">
        <v>897</v>
      </c>
      <c r="G436" t="s">
        <v>887</v>
      </c>
    </row>
    <row r="437" spans="1:7" x14ac:dyDescent="0.25">
      <c r="A437" t="s">
        <v>356</v>
      </c>
      <c r="B437">
        <v>284</v>
      </c>
      <c r="C437">
        <v>45</v>
      </c>
      <c r="D437">
        <v>2</v>
      </c>
      <c r="E437" t="s">
        <v>888</v>
      </c>
      <c r="F437" t="s">
        <v>891</v>
      </c>
      <c r="G437" t="s">
        <v>890</v>
      </c>
    </row>
    <row r="438" spans="1:7" x14ac:dyDescent="0.25">
      <c r="A438" t="s">
        <v>516</v>
      </c>
      <c r="B438">
        <v>276</v>
      </c>
      <c r="C438">
        <v>52</v>
      </c>
      <c r="D438">
        <v>5</v>
      </c>
      <c r="E438" t="s">
        <v>895</v>
      </c>
      <c r="F438" t="s">
        <v>897</v>
      </c>
      <c r="G438" t="s">
        <v>890</v>
      </c>
    </row>
    <row r="439" spans="1:7" x14ac:dyDescent="0.25">
      <c r="A439" t="s">
        <v>446</v>
      </c>
      <c r="B439">
        <v>23</v>
      </c>
      <c r="C439">
        <v>2</v>
      </c>
      <c r="D439">
        <v>2</v>
      </c>
      <c r="E439" t="s">
        <v>895</v>
      </c>
      <c r="F439" t="s">
        <v>901</v>
      </c>
      <c r="G439" t="s">
        <v>898</v>
      </c>
    </row>
    <row r="440" spans="1:7" x14ac:dyDescent="0.25">
      <c r="A440" t="s">
        <v>551</v>
      </c>
      <c r="B440">
        <v>209</v>
      </c>
      <c r="C440">
        <v>-63</v>
      </c>
      <c r="D440">
        <v>4</v>
      </c>
      <c r="E440" t="s">
        <v>885</v>
      </c>
      <c r="F440" t="s">
        <v>886</v>
      </c>
      <c r="G440" t="s">
        <v>887</v>
      </c>
    </row>
    <row r="441" spans="1:7" x14ac:dyDescent="0.25">
      <c r="A441" t="s">
        <v>798</v>
      </c>
      <c r="B441">
        <v>50</v>
      </c>
      <c r="C441">
        <v>-28</v>
      </c>
      <c r="D441">
        <v>5</v>
      </c>
      <c r="E441" t="s">
        <v>888</v>
      </c>
      <c r="F441" t="s">
        <v>908</v>
      </c>
      <c r="G441" t="s">
        <v>887</v>
      </c>
    </row>
    <row r="442" spans="1:7" x14ac:dyDescent="0.25">
      <c r="A442" t="s">
        <v>779</v>
      </c>
      <c r="B442">
        <v>57</v>
      </c>
      <c r="C442">
        <v>27</v>
      </c>
      <c r="D442">
        <v>2</v>
      </c>
      <c r="E442" t="s">
        <v>895</v>
      </c>
      <c r="F442" t="s">
        <v>909</v>
      </c>
      <c r="G442" t="s">
        <v>887</v>
      </c>
    </row>
    <row r="443" spans="1:7" x14ac:dyDescent="0.25">
      <c r="A443" t="s">
        <v>514</v>
      </c>
      <c r="B443">
        <v>276</v>
      </c>
      <c r="C443">
        <v>-21</v>
      </c>
      <c r="D443">
        <v>2</v>
      </c>
      <c r="E443" t="s">
        <v>885</v>
      </c>
      <c r="F443" t="s">
        <v>894</v>
      </c>
      <c r="G443" t="s">
        <v>890</v>
      </c>
    </row>
    <row r="444" spans="1:7" x14ac:dyDescent="0.25">
      <c r="A444" t="s">
        <v>75</v>
      </c>
      <c r="B444">
        <v>268</v>
      </c>
      <c r="C444">
        <v>6</v>
      </c>
      <c r="D444">
        <v>2</v>
      </c>
      <c r="E444" t="s">
        <v>888</v>
      </c>
      <c r="F444" t="s">
        <v>891</v>
      </c>
      <c r="G444" t="s">
        <v>898</v>
      </c>
    </row>
    <row r="445" spans="1:7" x14ac:dyDescent="0.25">
      <c r="A445" t="s">
        <v>224</v>
      </c>
      <c r="B445">
        <v>269</v>
      </c>
      <c r="C445">
        <v>111</v>
      </c>
      <c r="D445">
        <v>3</v>
      </c>
      <c r="E445" t="s">
        <v>895</v>
      </c>
      <c r="F445" t="s">
        <v>896</v>
      </c>
      <c r="G445" t="s">
        <v>890</v>
      </c>
    </row>
    <row r="446" spans="1:7" x14ac:dyDescent="0.25">
      <c r="A446" t="s">
        <v>179</v>
      </c>
      <c r="B446">
        <v>209</v>
      </c>
      <c r="C446">
        <v>2</v>
      </c>
      <c r="D446">
        <v>1</v>
      </c>
      <c r="E446" t="s">
        <v>895</v>
      </c>
      <c r="F446" t="s">
        <v>897</v>
      </c>
      <c r="G446" t="s">
        <v>887</v>
      </c>
    </row>
    <row r="447" spans="1:7" x14ac:dyDescent="0.25">
      <c r="A447" t="s">
        <v>122</v>
      </c>
      <c r="B447">
        <v>60</v>
      </c>
      <c r="C447">
        <v>-12</v>
      </c>
      <c r="D447">
        <v>4</v>
      </c>
      <c r="E447" t="s">
        <v>895</v>
      </c>
      <c r="F447" t="s">
        <v>899</v>
      </c>
      <c r="G447" t="s">
        <v>907</v>
      </c>
    </row>
    <row r="448" spans="1:7" x14ac:dyDescent="0.25">
      <c r="A448" t="s">
        <v>414</v>
      </c>
      <c r="B448">
        <v>269</v>
      </c>
      <c r="C448">
        <v>-86</v>
      </c>
      <c r="D448">
        <v>2</v>
      </c>
      <c r="E448" t="s">
        <v>885</v>
      </c>
      <c r="F448" t="s">
        <v>886</v>
      </c>
      <c r="G448" t="s">
        <v>890</v>
      </c>
    </row>
    <row r="449" spans="1:7" x14ac:dyDescent="0.25">
      <c r="A449" t="s">
        <v>367</v>
      </c>
      <c r="B449">
        <v>208</v>
      </c>
      <c r="C449">
        <v>-25</v>
      </c>
      <c r="D449">
        <v>2</v>
      </c>
      <c r="E449" t="s">
        <v>895</v>
      </c>
      <c r="F449" t="s">
        <v>897</v>
      </c>
      <c r="G449" t="s">
        <v>887</v>
      </c>
    </row>
    <row r="450" spans="1:7" x14ac:dyDescent="0.25">
      <c r="A450" t="s">
        <v>612</v>
      </c>
      <c r="B450">
        <v>27</v>
      </c>
      <c r="C450">
        <v>2</v>
      </c>
      <c r="D450">
        <v>2</v>
      </c>
      <c r="E450" t="s">
        <v>895</v>
      </c>
      <c r="F450" t="s">
        <v>904</v>
      </c>
      <c r="G450" t="s">
        <v>898</v>
      </c>
    </row>
    <row r="451" spans="1:7" x14ac:dyDescent="0.25">
      <c r="A451" t="s">
        <v>553</v>
      </c>
      <c r="B451">
        <v>206</v>
      </c>
      <c r="C451">
        <v>-206</v>
      </c>
      <c r="D451">
        <v>3</v>
      </c>
      <c r="E451" t="s">
        <v>895</v>
      </c>
      <c r="F451" t="s">
        <v>897</v>
      </c>
      <c r="G451" t="s">
        <v>887</v>
      </c>
    </row>
    <row r="452" spans="1:7" x14ac:dyDescent="0.25">
      <c r="A452" t="s">
        <v>482</v>
      </c>
      <c r="B452">
        <v>61</v>
      </c>
      <c r="C452">
        <v>8</v>
      </c>
      <c r="D452">
        <v>4</v>
      </c>
      <c r="E452" t="s">
        <v>895</v>
      </c>
      <c r="F452" t="s">
        <v>899</v>
      </c>
      <c r="G452" t="s">
        <v>907</v>
      </c>
    </row>
    <row r="453" spans="1:7" x14ac:dyDescent="0.25">
      <c r="A453" t="s">
        <v>367</v>
      </c>
      <c r="B453">
        <v>212</v>
      </c>
      <c r="C453">
        <v>-24</v>
      </c>
      <c r="D453">
        <v>2</v>
      </c>
      <c r="E453" t="s">
        <v>888</v>
      </c>
      <c r="F453" t="s">
        <v>889</v>
      </c>
      <c r="G453" t="s">
        <v>887</v>
      </c>
    </row>
    <row r="454" spans="1:7" x14ac:dyDescent="0.25">
      <c r="A454" t="s">
        <v>501</v>
      </c>
      <c r="B454">
        <v>262</v>
      </c>
      <c r="C454">
        <v>64</v>
      </c>
      <c r="D454">
        <v>6</v>
      </c>
      <c r="E454" t="s">
        <v>895</v>
      </c>
      <c r="F454" t="s">
        <v>897</v>
      </c>
      <c r="G454" t="s">
        <v>890</v>
      </c>
    </row>
    <row r="455" spans="1:7" x14ac:dyDescent="0.25">
      <c r="A455" t="s">
        <v>295</v>
      </c>
      <c r="B455">
        <v>204</v>
      </c>
      <c r="C455">
        <v>276</v>
      </c>
      <c r="D455">
        <v>3</v>
      </c>
      <c r="E455" t="s">
        <v>888</v>
      </c>
      <c r="F455" t="s">
        <v>891</v>
      </c>
      <c r="G455" t="s">
        <v>887</v>
      </c>
    </row>
    <row r="456" spans="1:7" x14ac:dyDescent="0.25">
      <c r="A456" t="s">
        <v>198</v>
      </c>
      <c r="B456">
        <v>59</v>
      </c>
      <c r="C456">
        <v>-46</v>
      </c>
      <c r="D456">
        <v>7</v>
      </c>
      <c r="E456" t="s">
        <v>895</v>
      </c>
      <c r="F456" t="s">
        <v>906</v>
      </c>
      <c r="G456" t="s">
        <v>898</v>
      </c>
    </row>
    <row r="457" spans="1:7" x14ac:dyDescent="0.25">
      <c r="A457" t="s">
        <v>367</v>
      </c>
      <c r="B457">
        <v>199</v>
      </c>
      <c r="C457">
        <v>-18</v>
      </c>
      <c r="D457">
        <v>2</v>
      </c>
      <c r="E457" t="s">
        <v>895</v>
      </c>
      <c r="F457" t="s">
        <v>897</v>
      </c>
      <c r="G457" t="s">
        <v>887</v>
      </c>
    </row>
    <row r="458" spans="1:7" x14ac:dyDescent="0.25">
      <c r="A458" t="s">
        <v>48</v>
      </c>
      <c r="B458">
        <v>59</v>
      </c>
      <c r="C458">
        <v>6</v>
      </c>
      <c r="D458">
        <v>1</v>
      </c>
      <c r="E458" t="s">
        <v>885</v>
      </c>
      <c r="F458" t="s">
        <v>905</v>
      </c>
      <c r="G458" t="s">
        <v>898</v>
      </c>
    </row>
    <row r="459" spans="1:7" x14ac:dyDescent="0.25">
      <c r="A459" t="s">
        <v>413</v>
      </c>
      <c r="B459">
        <v>45</v>
      </c>
      <c r="C459">
        <v>9</v>
      </c>
      <c r="D459">
        <v>3</v>
      </c>
      <c r="E459" t="s">
        <v>895</v>
      </c>
      <c r="F459" t="s">
        <v>904</v>
      </c>
      <c r="G459" t="s">
        <v>898</v>
      </c>
    </row>
    <row r="460" spans="1:7" x14ac:dyDescent="0.25">
      <c r="A460" t="s">
        <v>16</v>
      </c>
      <c r="B460">
        <v>211</v>
      </c>
      <c r="C460">
        <v>19</v>
      </c>
      <c r="D460">
        <v>8</v>
      </c>
      <c r="E460" t="s">
        <v>895</v>
      </c>
      <c r="F460" t="s">
        <v>903</v>
      </c>
      <c r="G460" t="s">
        <v>887</v>
      </c>
    </row>
    <row r="461" spans="1:7" x14ac:dyDescent="0.25">
      <c r="A461" t="s">
        <v>379</v>
      </c>
      <c r="B461">
        <v>65</v>
      </c>
      <c r="C461">
        <v>-16</v>
      </c>
      <c r="D461">
        <v>2</v>
      </c>
      <c r="E461" t="s">
        <v>885</v>
      </c>
      <c r="F461" t="s">
        <v>894</v>
      </c>
      <c r="G461" t="s">
        <v>907</v>
      </c>
    </row>
    <row r="462" spans="1:7" x14ac:dyDescent="0.25">
      <c r="A462" t="s">
        <v>341</v>
      </c>
      <c r="B462">
        <v>25</v>
      </c>
      <c r="C462">
        <v>0</v>
      </c>
      <c r="D462">
        <v>4</v>
      </c>
      <c r="E462" t="s">
        <v>895</v>
      </c>
      <c r="F462" t="s">
        <v>901</v>
      </c>
      <c r="G462" t="s">
        <v>898</v>
      </c>
    </row>
    <row r="463" spans="1:7" x14ac:dyDescent="0.25">
      <c r="A463" t="s">
        <v>562</v>
      </c>
      <c r="B463">
        <v>196</v>
      </c>
      <c r="C463">
        <v>-7</v>
      </c>
      <c r="D463">
        <v>5</v>
      </c>
      <c r="E463" t="s">
        <v>885</v>
      </c>
      <c r="F463" t="s">
        <v>894</v>
      </c>
      <c r="G463" t="s">
        <v>887</v>
      </c>
    </row>
    <row r="464" spans="1:7" x14ac:dyDescent="0.25">
      <c r="A464" t="s">
        <v>91</v>
      </c>
      <c r="B464">
        <v>261</v>
      </c>
      <c r="C464">
        <v>13</v>
      </c>
      <c r="D464">
        <v>6</v>
      </c>
      <c r="E464" t="s">
        <v>895</v>
      </c>
      <c r="F464" t="s">
        <v>909</v>
      </c>
      <c r="G464" t="s">
        <v>893</v>
      </c>
    </row>
    <row r="465" spans="1:7" x14ac:dyDescent="0.25">
      <c r="A465" t="s">
        <v>140</v>
      </c>
      <c r="B465">
        <v>195</v>
      </c>
      <c r="C465">
        <v>-117</v>
      </c>
      <c r="D465">
        <v>5</v>
      </c>
      <c r="E465" t="s">
        <v>885</v>
      </c>
      <c r="F465" t="s">
        <v>894</v>
      </c>
      <c r="G465" t="s">
        <v>887</v>
      </c>
    </row>
    <row r="466" spans="1:7" x14ac:dyDescent="0.25">
      <c r="A466" t="s">
        <v>347</v>
      </c>
      <c r="B466">
        <v>192</v>
      </c>
      <c r="C466">
        <v>-146</v>
      </c>
      <c r="D466">
        <v>3</v>
      </c>
      <c r="E466" t="s">
        <v>895</v>
      </c>
      <c r="F466" t="s">
        <v>897</v>
      </c>
      <c r="G466" t="s">
        <v>887</v>
      </c>
    </row>
    <row r="467" spans="1:7" x14ac:dyDescent="0.25">
      <c r="A467" t="s">
        <v>573</v>
      </c>
      <c r="B467">
        <v>189</v>
      </c>
      <c r="C467">
        <v>87</v>
      </c>
      <c r="D467">
        <v>7</v>
      </c>
      <c r="E467" t="s">
        <v>895</v>
      </c>
      <c r="F467" t="s">
        <v>903</v>
      </c>
      <c r="G467" t="s">
        <v>887</v>
      </c>
    </row>
    <row r="468" spans="1:7" x14ac:dyDescent="0.25">
      <c r="A468" t="s">
        <v>309</v>
      </c>
      <c r="B468">
        <v>32</v>
      </c>
      <c r="C468">
        <v>2</v>
      </c>
      <c r="D468">
        <v>2</v>
      </c>
      <c r="E468" t="s">
        <v>895</v>
      </c>
      <c r="F468" t="s">
        <v>900</v>
      </c>
      <c r="G468" t="s">
        <v>898</v>
      </c>
    </row>
    <row r="469" spans="1:7" x14ac:dyDescent="0.25">
      <c r="A469" t="s">
        <v>575</v>
      </c>
      <c r="B469">
        <v>188</v>
      </c>
      <c r="C469">
        <v>13</v>
      </c>
      <c r="D469">
        <v>7</v>
      </c>
      <c r="E469" t="s">
        <v>895</v>
      </c>
      <c r="F469" t="s">
        <v>909</v>
      </c>
      <c r="G469" t="s">
        <v>887</v>
      </c>
    </row>
    <row r="470" spans="1:7" x14ac:dyDescent="0.25">
      <c r="A470" t="s">
        <v>757</v>
      </c>
      <c r="B470">
        <v>73</v>
      </c>
      <c r="C470">
        <v>-25</v>
      </c>
      <c r="D470">
        <v>3</v>
      </c>
      <c r="E470" t="s">
        <v>895</v>
      </c>
      <c r="F470" t="s">
        <v>897</v>
      </c>
      <c r="G470" t="s">
        <v>887</v>
      </c>
    </row>
    <row r="471" spans="1:7" x14ac:dyDescent="0.25">
      <c r="A471" t="s">
        <v>89</v>
      </c>
      <c r="B471">
        <v>259</v>
      </c>
      <c r="C471">
        <v>47</v>
      </c>
      <c r="D471">
        <v>5</v>
      </c>
      <c r="E471" t="s">
        <v>895</v>
      </c>
      <c r="F471" t="s">
        <v>899</v>
      </c>
      <c r="G471" t="s">
        <v>893</v>
      </c>
    </row>
    <row r="472" spans="1:7" x14ac:dyDescent="0.25">
      <c r="A472" t="s">
        <v>577</v>
      </c>
      <c r="B472">
        <v>187</v>
      </c>
      <c r="C472">
        <v>-15</v>
      </c>
      <c r="D472">
        <v>3</v>
      </c>
      <c r="E472" t="s">
        <v>895</v>
      </c>
      <c r="F472" t="s">
        <v>896</v>
      </c>
      <c r="G472" t="s">
        <v>887</v>
      </c>
    </row>
    <row r="473" spans="1:7" x14ac:dyDescent="0.25">
      <c r="A473" t="s">
        <v>50</v>
      </c>
      <c r="B473">
        <v>26</v>
      </c>
      <c r="C473">
        <v>11</v>
      </c>
      <c r="D473">
        <v>2</v>
      </c>
      <c r="E473" t="s">
        <v>895</v>
      </c>
      <c r="F473" t="s">
        <v>899</v>
      </c>
      <c r="G473" t="s">
        <v>898</v>
      </c>
    </row>
    <row r="474" spans="1:7" x14ac:dyDescent="0.25">
      <c r="A474" t="s">
        <v>313</v>
      </c>
      <c r="B474">
        <v>185</v>
      </c>
      <c r="C474">
        <v>-26</v>
      </c>
      <c r="D474">
        <v>6</v>
      </c>
      <c r="E474" t="s">
        <v>888</v>
      </c>
      <c r="F474" t="s">
        <v>889</v>
      </c>
      <c r="G474" t="s">
        <v>887</v>
      </c>
    </row>
    <row r="475" spans="1:7" x14ac:dyDescent="0.25">
      <c r="A475" t="s">
        <v>529</v>
      </c>
      <c r="B475">
        <v>248</v>
      </c>
      <c r="C475">
        <v>8</v>
      </c>
      <c r="D475">
        <v>2</v>
      </c>
      <c r="E475" t="s">
        <v>895</v>
      </c>
      <c r="F475" t="s">
        <v>897</v>
      </c>
      <c r="G475" t="s">
        <v>893</v>
      </c>
    </row>
    <row r="476" spans="1:7" x14ac:dyDescent="0.25">
      <c r="A476" t="s">
        <v>765</v>
      </c>
      <c r="B476">
        <v>67</v>
      </c>
      <c r="C476">
        <v>9</v>
      </c>
      <c r="D476">
        <v>4</v>
      </c>
      <c r="E476" t="s">
        <v>895</v>
      </c>
      <c r="F476" t="s">
        <v>904</v>
      </c>
      <c r="G476" t="s">
        <v>907</v>
      </c>
    </row>
    <row r="477" spans="1:7" x14ac:dyDescent="0.25">
      <c r="A477" t="s">
        <v>528</v>
      </c>
      <c r="B477">
        <v>248</v>
      </c>
      <c r="C477">
        <v>-70</v>
      </c>
      <c r="D477">
        <v>3</v>
      </c>
      <c r="E477" t="s">
        <v>888</v>
      </c>
      <c r="F477" t="s">
        <v>889</v>
      </c>
      <c r="G477" t="s">
        <v>893</v>
      </c>
    </row>
    <row r="478" spans="1:7" x14ac:dyDescent="0.25">
      <c r="A478" t="s">
        <v>501</v>
      </c>
      <c r="B478">
        <v>246</v>
      </c>
      <c r="C478">
        <v>61</v>
      </c>
      <c r="D478">
        <v>2</v>
      </c>
      <c r="E478" t="s">
        <v>888</v>
      </c>
      <c r="F478" t="s">
        <v>891</v>
      </c>
      <c r="G478" t="s">
        <v>893</v>
      </c>
    </row>
    <row r="479" spans="1:7" x14ac:dyDescent="0.25">
      <c r="A479" t="s">
        <v>580</v>
      </c>
      <c r="B479">
        <v>179</v>
      </c>
      <c r="C479">
        <v>-25</v>
      </c>
      <c r="D479">
        <v>5</v>
      </c>
      <c r="E479" t="s">
        <v>895</v>
      </c>
      <c r="F479" t="s">
        <v>900</v>
      </c>
      <c r="G479" t="s">
        <v>887</v>
      </c>
    </row>
    <row r="480" spans="1:7" x14ac:dyDescent="0.25">
      <c r="A480" t="s">
        <v>585</v>
      </c>
      <c r="B480">
        <v>176</v>
      </c>
      <c r="C480">
        <v>-28</v>
      </c>
      <c r="D480">
        <v>5</v>
      </c>
      <c r="E480" t="s">
        <v>888</v>
      </c>
      <c r="F480" t="s">
        <v>908</v>
      </c>
      <c r="G480" t="s">
        <v>887</v>
      </c>
    </row>
    <row r="481" spans="1:7" x14ac:dyDescent="0.25">
      <c r="A481" t="s">
        <v>376</v>
      </c>
      <c r="B481">
        <v>176</v>
      </c>
      <c r="C481">
        <v>-13</v>
      </c>
      <c r="D481">
        <v>5</v>
      </c>
      <c r="E481" t="s">
        <v>888</v>
      </c>
      <c r="F481" t="s">
        <v>908</v>
      </c>
      <c r="G481" t="s">
        <v>887</v>
      </c>
    </row>
    <row r="482" spans="1:7" x14ac:dyDescent="0.25">
      <c r="A482" t="s">
        <v>489</v>
      </c>
      <c r="B482">
        <v>68</v>
      </c>
      <c r="C482">
        <v>-62</v>
      </c>
      <c r="D482">
        <v>2</v>
      </c>
      <c r="E482" t="s">
        <v>895</v>
      </c>
      <c r="F482" t="s">
        <v>896</v>
      </c>
      <c r="G482" t="s">
        <v>907</v>
      </c>
    </row>
    <row r="483" spans="1:7" x14ac:dyDescent="0.25">
      <c r="A483" t="s">
        <v>584</v>
      </c>
      <c r="B483">
        <v>176</v>
      </c>
      <c r="C483">
        <v>37</v>
      </c>
      <c r="D483">
        <v>6</v>
      </c>
      <c r="E483" t="s">
        <v>885</v>
      </c>
      <c r="F483" t="s">
        <v>905</v>
      </c>
      <c r="G483" t="s">
        <v>887</v>
      </c>
    </row>
    <row r="484" spans="1:7" x14ac:dyDescent="0.25">
      <c r="A484" t="s">
        <v>499</v>
      </c>
      <c r="B484">
        <v>88</v>
      </c>
      <c r="C484">
        <v>11</v>
      </c>
      <c r="D484">
        <v>7</v>
      </c>
      <c r="E484" t="s">
        <v>895</v>
      </c>
      <c r="F484" t="s">
        <v>899</v>
      </c>
      <c r="G484" t="s">
        <v>898</v>
      </c>
    </row>
    <row r="485" spans="1:7" x14ac:dyDescent="0.25">
      <c r="A485" t="s">
        <v>764</v>
      </c>
      <c r="B485">
        <v>68</v>
      </c>
      <c r="C485">
        <v>20</v>
      </c>
      <c r="D485">
        <v>5</v>
      </c>
      <c r="E485" t="s">
        <v>895</v>
      </c>
      <c r="F485" t="s">
        <v>899</v>
      </c>
      <c r="G485" t="s">
        <v>907</v>
      </c>
    </row>
    <row r="486" spans="1:7" x14ac:dyDescent="0.25">
      <c r="A486" t="s">
        <v>42</v>
      </c>
      <c r="B486">
        <v>231</v>
      </c>
      <c r="C486">
        <v>99</v>
      </c>
      <c r="D486">
        <v>2</v>
      </c>
      <c r="E486" t="s">
        <v>885</v>
      </c>
      <c r="F486" t="s">
        <v>886</v>
      </c>
      <c r="G486" t="s">
        <v>893</v>
      </c>
    </row>
    <row r="487" spans="1:7" x14ac:dyDescent="0.25">
      <c r="A487" t="s">
        <v>246</v>
      </c>
      <c r="B487">
        <v>62</v>
      </c>
      <c r="C487">
        <v>8</v>
      </c>
      <c r="D487">
        <v>2</v>
      </c>
      <c r="E487" t="s">
        <v>895</v>
      </c>
      <c r="F487" t="s">
        <v>906</v>
      </c>
      <c r="G487" t="s">
        <v>898</v>
      </c>
    </row>
    <row r="488" spans="1:7" x14ac:dyDescent="0.25">
      <c r="A488" t="s">
        <v>352</v>
      </c>
      <c r="B488">
        <v>175</v>
      </c>
      <c r="C488">
        <v>77</v>
      </c>
      <c r="D488">
        <v>3</v>
      </c>
      <c r="E488" t="s">
        <v>895</v>
      </c>
      <c r="F488" t="s">
        <v>897</v>
      </c>
      <c r="G488" t="s">
        <v>887</v>
      </c>
    </row>
    <row r="489" spans="1:7" x14ac:dyDescent="0.25">
      <c r="A489" t="s">
        <v>226</v>
      </c>
      <c r="B489">
        <v>71</v>
      </c>
      <c r="C489">
        <v>4</v>
      </c>
      <c r="D489">
        <v>5</v>
      </c>
      <c r="E489" t="s">
        <v>895</v>
      </c>
      <c r="F489" t="s">
        <v>904</v>
      </c>
      <c r="G489" t="s">
        <v>907</v>
      </c>
    </row>
    <row r="490" spans="1:7" x14ac:dyDescent="0.25">
      <c r="A490" t="s">
        <v>553</v>
      </c>
      <c r="B490">
        <v>174</v>
      </c>
      <c r="C490">
        <v>-70</v>
      </c>
      <c r="D490">
        <v>3</v>
      </c>
      <c r="E490" t="s">
        <v>885</v>
      </c>
      <c r="F490" t="s">
        <v>905</v>
      </c>
      <c r="G490" t="s">
        <v>887</v>
      </c>
    </row>
    <row r="491" spans="1:7" x14ac:dyDescent="0.25">
      <c r="A491" t="s">
        <v>219</v>
      </c>
      <c r="B491">
        <v>173</v>
      </c>
      <c r="C491">
        <v>69</v>
      </c>
      <c r="D491">
        <v>3</v>
      </c>
      <c r="E491" t="s">
        <v>888</v>
      </c>
      <c r="F491" t="s">
        <v>889</v>
      </c>
      <c r="G491" t="s">
        <v>887</v>
      </c>
    </row>
    <row r="492" spans="1:7" x14ac:dyDescent="0.25">
      <c r="A492" t="s">
        <v>230</v>
      </c>
      <c r="B492">
        <v>171</v>
      </c>
      <c r="C492">
        <v>2</v>
      </c>
      <c r="D492">
        <v>2</v>
      </c>
      <c r="E492" t="s">
        <v>885</v>
      </c>
      <c r="F492" t="s">
        <v>886</v>
      </c>
      <c r="G492" t="s">
        <v>887</v>
      </c>
    </row>
    <row r="493" spans="1:7" x14ac:dyDescent="0.25">
      <c r="A493" t="s">
        <v>347</v>
      </c>
      <c r="B493">
        <v>268</v>
      </c>
      <c r="C493">
        <v>-25</v>
      </c>
      <c r="D493">
        <v>3</v>
      </c>
      <c r="E493" t="s">
        <v>895</v>
      </c>
      <c r="F493" t="s">
        <v>897</v>
      </c>
      <c r="G493" t="s">
        <v>887</v>
      </c>
    </row>
    <row r="494" spans="1:7" x14ac:dyDescent="0.25">
      <c r="A494" t="s">
        <v>762</v>
      </c>
      <c r="B494">
        <v>71</v>
      </c>
      <c r="C494">
        <v>32</v>
      </c>
      <c r="D494">
        <v>3</v>
      </c>
      <c r="E494" t="s">
        <v>895</v>
      </c>
      <c r="F494" t="s">
        <v>897</v>
      </c>
      <c r="G494" t="s">
        <v>907</v>
      </c>
    </row>
    <row r="495" spans="1:7" x14ac:dyDescent="0.25">
      <c r="A495" t="s">
        <v>609</v>
      </c>
      <c r="B495">
        <v>29</v>
      </c>
      <c r="C495">
        <v>10</v>
      </c>
      <c r="D495">
        <v>4</v>
      </c>
      <c r="E495" t="s">
        <v>895</v>
      </c>
      <c r="F495" t="s">
        <v>899</v>
      </c>
      <c r="G495" t="s">
        <v>898</v>
      </c>
    </row>
    <row r="496" spans="1:7" x14ac:dyDescent="0.25">
      <c r="A496" t="s">
        <v>610</v>
      </c>
      <c r="B496">
        <v>65</v>
      </c>
      <c r="C496">
        <v>17</v>
      </c>
      <c r="D496">
        <v>2</v>
      </c>
      <c r="E496" t="s">
        <v>895</v>
      </c>
      <c r="F496" t="s">
        <v>906</v>
      </c>
      <c r="G496" t="s">
        <v>898</v>
      </c>
    </row>
    <row r="497" spans="1:7" x14ac:dyDescent="0.25">
      <c r="A497" t="s">
        <v>486</v>
      </c>
      <c r="B497">
        <v>72</v>
      </c>
      <c r="C497">
        <v>-46</v>
      </c>
      <c r="D497">
        <v>7</v>
      </c>
      <c r="E497" t="s">
        <v>895</v>
      </c>
      <c r="F497" t="s">
        <v>900</v>
      </c>
      <c r="G497" t="s">
        <v>907</v>
      </c>
    </row>
    <row r="498" spans="1:7" x14ac:dyDescent="0.25">
      <c r="A498" t="s">
        <v>595</v>
      </c>
      <c r="B498">
        <v>168</v>
      </c>
      <c r="C498">
        <v>-51</v>
      </c>
      <c r="D498">
        <v>2</v>
      </c>
      <c r="E498" t="s">
        <v>888</v>
      </c>
      <c r="F498" t="s">
        <v>891</v>
      </c>
      <c r="G498" t="s">
        <v>887</v>
      </c>
    </row>
    <row r="499" spans="1:7" x14ac:dyDescent="0.25">
      <c r="A499" t="s">
        <v>16</v>
      </c>
      <c r="B499">
        <v>165</v>
      </c>
      <c r="C499">
        <v>30</v>
      </c>
      <c r="D499">
        <v>3</v>
      </c>
      <c r="E499" t="s">
        <v>895</v>
      </c>
      <c r="F499" t="s">
        <v>903</v>
      </c>
      <c r="G499" t="s">
        <v>887</v>
      </c>
    </row>
    <row r="500" spans="1:7" x14ac:dyDescent="0.25">
      <c r="A500" t="s">
        <v>497</v>
      </c>
      <c r="B500">
        <v>74</v>
      </c>
      <c r="C500">
        <v>-59</v>
      </c>
      <c r="D500">
        <v>2</v>
      </c>
      <c r="E500" t="s">
        <v>885</v>
      </c>
      <c r="F500" t="s">
        <v>905</v>
      </c>
      <c r="G500" t="s">
        <v>907</v>
      </c>
    </row>
    <row r="501" spans="1:7" x14ac:dyDescent="0.25">
      <c r="A501" t="s">
        <v>387</v>
      </c>
      <c r="B501">
        <v>89</v>
      </c>
      <c r="C501">
        <v>17</v>
      </c>
      <c r="D501">
        <v>2</v>
      </c>
      <c r="E501" t="s">
        <v>895</v>
      </c>
      <c r="F501" t="s">
        <v>903</v>
      </c>
      <c r="G501" t="s">
        <v>898</v>
      </c>
    </row>
    <row r="502" spans="1:7" x14ac:dyDescent="0.25">
      <c r="A502" t="s">
        <v>474</v>
      </c>
      <c r="B502">
        <v>228</v>
      </c>
      <c r="C502">
        <v>63</v>
      </c>
      <c r="D502">
        <v>3</v>
      </c>
      <c r="E502" t="s">
        <v>885</v>
      </c>
      <c r="F502" t="s">
        <v>886</v>
      </c>
      <c r="G502" t="s">
        <v>893</v>
      </c>
    </row>
    <row r="503" spans="1:7" x14ac:dyDescent="0.25">
      <c r="A503" t="s">
        <v>20</v>
      </c>
      <c r="B503">
        <v>119</v>
      </c>
      <c r="C503">
        <v>-24</v>
      </c>
      <c r="D503">
        <v>4</v>
      </c>
      <c r="E503" t="s">
        <v>888</v>
      </c>
      <c r="F503" t="s">
        <v>908</v>
      </c>
      <c r="G503" t="s">
        <v>887</v>
      </c>
    </row>
    <row r="504" spans="1:7" x14ac:dyDescent="0.25">
      <c r="A504" t="s">
        <v>298</v>
      </c>
      <c r="B504">
        <v>75</v>
      </c>
      <c r="C504">
        <v>-25</v>
      </c>
      <c r="D504">
        <v>3</v>
      </c>
      <c r="E504" t="s">
        <v>895</v>
      </c>
      <c r="F504" t="s">
        <v>903</v>
      </c>
      <c r="G504" t="s">
        <v>898</v>
      </c>
    </row>
    <row r="505" spans="1:7" x14ac:dyDescent="0.25">
      <c r="A505" t="s">
        <v>175</v>
      </c>
      <c r="B505">
        <v>67</v>
      </c>
      <c r="C505">
        <v>20</v>
      </c>
      <c r="D505">
        <v>4</v>
      </c>
      <c r="E505" t="s">
        <v>895</v>
      </c>
      <c r="F505" t="s">
        <v>906</v>
      </c>
      <c r="G505" t="s">
        <v>898</v>
      </c>
    </row>
    <row r="506" spans="1:7" x14ac:dyDescent="0.25">
      <c r="A506" t="s">
        <v>258</v>
      </c>
      <c r="B506">
        <v>7</v>
      </c>
      <c r="C506">
        <v>0</v>
      </c>
      <c r="D506">
        <v>1</v>
      </c>
      <c r="E506" t="s">
        <v>895</v>
      </c>
      <c r="F506" t="s">
        <v>904</v>
      </c>
      <c r="G506" t="s">
        <v>887</v>
      </c>
    </row>
    <row r="507" spans="1:7" x14ac:dyDescent="0.25">
      <c r="A507" t="s">
        <v>369</v>
      </c>
      <c r="B507">
        <v>222</v>
      </c>
      <c r="C507">
        <v>35</v>
      </c>
      <c r="D507">
        <v>5</v>
      </c>
      <c r="E507" t="s">
        <v>895</v>
      </c>
      <c r="F507" t="s">
        <v>897</v>
      </c>
      <c r="G507" t="s">
        <v>893</v>
      </c>
    </row>
    <row r="508" spans="1:7" x14ac:dyDescent="0.25">
      <c r="A508" t="s">
        <v>807</v>
      </c>
      <c r="B508">
        <v>219</v>
      </c>
      <c r="C508">
        <v>-9</v>
      </c>
      <c r="D508">
        <v>4</v>
      </c>
      <c r="E508" t="s">
        <v>895</v>
      </c>
      <c r="F508" t="s">
        <v>897</v>
      </c>
      <c r="G508" t="s">
        <v>893</v>
      </c>
    </row>
    <row r="509" spans="1:7" x14ac:dyDescent="0.25">
      <c r="A509" t="s">
        <v>537</v>
      </c>
      <c r="B509">
        <v>42</v>
      </c>
      <c r="C509">
        <v>-23</v>
      </c>
      <c r="D509">
        <v>2</v>
      </c>
      <c r="E509" t="s">
        <v>888</v>
      </c>
      <c r="F509" t="s">
        <v>908</v>
      </c>
      <c r="G509" t="s">
        <v>898</v>
      </c>
    </row>
    <row r="510" spans="1:7" x14ac:dyDescent="0.25">
      <c r="A510" t="s">
        <v>148</v>
      </c>
      <c r="B510">
        <v>216</v>
      </c>
      <c r="C510">
        <v>-135</v>
      </c>
      <c r="D510">
        <v>3</v>
      </c>
      <c r="E510" t="s">
        <v>888</v>
      </c>
      <c r="F510" t="s">
        <v>889</v>
      </c>
      <c r="G510" t="s">
        <v>893</v>
      </c>
    </row>
    <row r="511" spans="1:7" x14ac:dyDescent="0.25">
      <c r="A511" t="s">
        <v>541</v>
      </c>
      <c r="B511">
        <v>47</v>
      </c>
      <c r="C511">
        <v>-21</v>
      </c>
      <c r="D511">
        <v>2</v>
      </c>
      <c r="E511" t="s">
        <v>885</v>
      </c>
      <c r="F511" t="s">
        <v>886</v>
      </c>
      <c r="G511" t="s">
        <v>887</v>
      </c>
    </row>
    <row r="512" spans="1:7" x14ac:dyDescent="0.25">
      <c r="A512" t="s">
        <v>197</v>
      </c>
      <c r="B512">
        <v>68</v>
      </c>
      <c r="C512">
        <v>-55</v>
      </c>
      <c r="D512">
        <v>5</v>
      </c>
      <c r="E512" t="s">
        <v>885</v>
      </c>
      <c r="F512" t="s">
        <v>905</v>
      </c>
      <c r="G512" t="s">
        <v>898</v>
      </c>
    </row>
    <row r="513" spans="1:7" x14ac:dyDescent="0.25">
      <c r="A513" t="s">
        <v>411</v>
      </c>
      <c r="B513">
        <v>74</v>
      </c>
      <c r="C513">
        <v>33</v>
      </c>
      <c r="D513">
        <v>2</v>
      </c>
      <c r="E513" t="s">
        <v>895</v>
      </c>
      <c r="F513" t="s">
        <v>909</v>
      </c>
      <c r="G513" t="s">
        <v>907</v>
      </c>
    </row>
    <row r="514" spans="1:7" x14ac:dyDescent="0.25">
      <c r="A514" t="s">
        <v>288</v>
      </c>
      <c r="B514">
        <v>165</v>
      </c>
      <c r="C514">
        <v>46</v>
      </c>
      <c r="D514">
        <v>3</v>
      </c>
      <c r="E514" t="s">
        <v>888</v>
      </c>
      <c r="F514" t="s">
        <v>908</v>
      </c>
      <c r="G514" t="s">
        <v>887</v>
      </c>
    </row>
    <row r="515" spans="1:7" x14ac:dyDescent="0.25">
      <c r="A515" t="s">
        <v>425</v>
      </c>
      <c r="B515">
        <v>101</v>
      </c>
      <c r="C515">
        <v>11</v>
      </c>
      <c r="D515">
        <v>2</v>
      </c>
      <c r="E515" t="s">
        <v>895</v>
      </c>
      <c r="F515" t="s">
        <v>899</v>
      </c>
      <c r="G515" t="s">
        <v>898</v>
      </c>
    </row>
    <row r="516" spans="1:7" x14ac:dyDescent="0.25">
      <c r="A516" t="s">
        <v>601</v>
      </c>
      <c r="B516">
        <v>162</v>
      </c>
      <c r="C516">
        <v>73</v>
      </c>
      <c r="D516">
        <v>2</v>
      </c>
      <c r="E516" t="s">
        <v>885</v>
      </c>
      <c r="F516" t="s">
        <v>886</v>
      </c>
      <c r="G516" t="s">
        <v>887</v>
      </c>
    </row>
    <row r="517" spans="1:7" x14ac:dyDescent="0.25">
      <c r="A517" t="s">
        <v>716</v>
      </c>
      <c r="B517">
        <v>20</v>
      </c>
      <c r="C517">
        <v>-22</v>
      </c>
      <c r="D517">
        <v>1</v>
      </c>
      <c r="E517" t="s">
        <v>888</v>
      </c>
      <c r="F517" t="s">
        <v>908</v>
      </c>
      <c r="G517" t="s">
        <v>898</v>
      </c>
    </row>
    <row r="518" spans="1:7" x14ac:dyDescent="0.25">
      <c r="A518" t="s">
        <v>350</v>
      </c>
      <c r="B518">
        <v>162</v>
      </c>
      <c r="C518">
        <v>55</v>
      </c>
      <c r="D518">
        <v>3</v>
      </c>
      <c r="E518" t="s">
        <v>895</v>
      </c>
      <c r="F518" t="s">
        <v>903</v>
      </c>
      <c r="G518" t="s">
        <v>887</v>
      </c>
    </row>
    <row r="519" spans="1:7" x14ac:dyDescent="0.25">
      <c r="A519" t="s">
        <v>414</v>
      </c>
      <c r="B519">
        <v>229</v>
      </c>
      <c r="C519">
        <v>-23</v>
      </c>
      <c r="D519">
        <v>2</v>
      </c>
      <c r="E519" t="s">
        <v>895</v>
      </c>
      <c r="F519" t="s">
        <v>897</v>
      </c>
      <c r="G519" t="s">
        <v>898</v>
      </c>
    </row>
    <row r="520" spans="1:7" x14ac:dyDescent="0.25">
      <c r="A520" t="s">
        <v>235</v>
      </c>
      <c r="B520">
        <v>27</v>
      </c>
      <c r="C520">
        <v>0</v>
      </c>
      <c r="D520">
        <v>2</v>
      </c>
      <c r="E520" t="s">
        <v>895</v>
      </c>
      <c r="F520" t="s">
        <v>904</v>
      </c>
      <c r="G520" t="s">
        <v>887</v>
      </c>
    </row>
    <row r="521" spans="1:7" x14ac:dyDescent="0.25">
      <c r="A521" t="s">
        <v>89</v>
      </c>
      <c r="B521">
        <v>685</v>
      </c>
      <c r="C521">
        <v>7</v>
      </c>
      <c r="D521">
        <v>7</v>
      </c>
      <c r="E521" t="s">
        <v>895</v>
      </c>
      <c r="F521" t="s">
        <v>896</v>
      </c>
      <c r="G521" t="s">
        <v>898</v>
      </c>
    </row>
    <row r="522" spans="1:7" x14ac:dyDescent="0.25">
      <c r="A522" t="s">
        <v>676</v>
      </c>
      <c r="B522">
        <v>75</v>
      </c>
      <c r="C522">
        <v>2</v>
      </c>
      <c r="D522">
        <v>5</v>
      </c>
      <c r="E522" t="s">
        <v>895</v>
      </c>
      <c r="F522" t="s">
        <v>904</v>
      </c>
      <c r="G522" t="s">
        <v>907</v>
      </c>
    </row>
    <row r="523" spans="1:7" x14ac:dyDescent="0.25">
      <c r="A523" t="s">
        <v>354</v>
      </c>
      <c r="B523">
        <v>161</v>
      </c>
      <c r="C523">
        <v>-229</v>
      </c>
      <c r="D523">
        <v>8</v>
      </c>
      <c r="E523" t="s">
        <v>888</v>
      </c>
      <c r="F523" t="s">
        <v>908</v>
      </c>
      <c r="G523" t="s">
        <v>887</v>
      </c>
    </row>
    <row r="524" spans="1:7" x14ac:dyDescent="0.25">
      <c r="A524" t="s">
        <v>516</v>
      </c>
      <c r="B524">
        <v>71</v>
      </c>
      <c r="C524">
        <v>19</v>
      </c>
      <c r="D524">
        <v>3</v>
      </c>
      <c r="E524" t="s">
        <v>895</v>
      </c>
      <c r="F524" t="s">
        <v>906</v>
      </c>
      <c r="G524" t="s">
        <v>887</v>
      </c>
    </row>
    <row r="525" spans="1:7" x14ac:dyDescent="0.25">
      <c r="A525" t="s">
        <v>224</v>
      </c>
      <c r="B525">
        <v>211</v>
      </c>
      <c r="C525">
        <v>-105</v>
      </c>
      <c r="D525">
        <v>2</v>
      </c>
      <c r="E525" t="s">
        <v>895</v>
      </c>
      <c r="F525" t="s">
        <v>897</v>
      </c>
      <c r="G525" t="s">
        <v>893</v>
      </c>
    </row>
    <row r="526" spans="1:7" x14ac:dyDescent="0.25">
      <c r="A526" t="s">
        <v>578</v>
      </c>
      <c r="B526">
        <v>79</v>
      </c>
      <c r="C526">
        <v>5</v>
      </c>
      <c r="D526">
        <v>6</v>
      </c>
      <c r="E526" t="s">
        <v>895</v>
      </c>
      <c r="F526" t="s">
        <v>899</v>
      </c>
      <c r="G526" t="s">
        <v>907</v>
      </c>
    </row>
    <row r="527" spans="1:7" x14ac:dyDescent="0.25">
      <c r="A527" t="s">
        <v>211</v>
      </c>
      <c r="B527">
        <v>32</v>
      </c>
      <c r="C527">
        <v>-22</v>
      </c>
      <c r="D527">
        <v>5</v>
      </c>
      <c r="E527" t="s">
        <v>895</v>
      </c>
      <c r="F527" t="s">
        <v>897</v>
      </c>
      <c r="G527" t="s">
        <v>898</v>
      </c>
    </row>
    <row r="528" spans="1:7" x14ac:dyDescent="0.25">
      <c r="A528" t="s">
        <v>216</v>
      </c>
      <c r="B528">
        <v>161</v>
      </c>
      <c r="C528">
        <v>40</v>
      </c>
      <c r="D528">
        <v>3</v>
      </c>
      <c r="E528" t="s">
        <v>895</v>
      </c>
      <c r="F528" t="s">
        <v>903</v>
      </c>
      <c r="G528" t="s">
        <v>887</v>
      </c>
    </row>
    <row r="529" spans="1:7" x14ac:dyDescent="0.25">
      <c r="A529" t="s">
        <v>258</v>
      </c>
      <c r="B529">
        <v>159</v>
      </c>
      <c r="C529">
        <v>4</v>
      </c>
      <c r="D529">
        <v>1</v>
      </c>
      <c r="E529" t="s">
        <v>895</v>
      </c>
      <c r="F529" t="s">
        <v>897</v>
      </c>
      <c r="G529" t="s">
        <v>887</v>
      </c>
    </row>
    <row r="530" spans="1:7" x14ac:dyDescent="0.25">
      <c r="A530" t="s">
        <v>548</v>
      </c>
      <c r="B530">
        <v>210</v>
      </c>
      <c r="C530">
        <v>-50</v>
      </c>
      <c r="D530">
        <v>4</v>
      </c>
      <c r="E530" t="s">
        <v>895</v>
      </c>
      <c r="F530" t="s">
        <v>899</v>
      </c>
      <c r="G530" t="s">
        <v>893</v>
      </c>
    </row>
    <row r="531" spans="1:7" x14ac:dyDescent="0.25">
      <c r="A531" t="s">
        <v>10</v>
      </c>
      <c r="B531">
        <v>79</v>
      </c>
      <c r="C531">
        <v>39</v>
      </c>
      <c r="D531">
        <v>2</v>
      </c>
      <c r="E531" t="s">
        <v>895</v>
      </c>
      <c r="F531" t="s">
        <v>909</v>
      </c>
      <c r="G531" t="s">
        <v>907</v>
      </c>
    </row>
    <row r="532" spans="1:7" x14ac:dyDescent="0.25">
      <c r="A532" t="s">
        <v>379</v>
      </c>
      <c r="B532">
        <v>207</v>
      </c>
      <c r="C532">
        <v>153</v>
      </c>
      <c r="D532">
        <v>3</v>
      </c>
      <c r="E532" t="s">
        <v>895</v>
      </c>
      <c r="F532" t="s">
        <v>897</v>
      </c>
      <c r="G532" t="s">
        <v>893</v>
      </c>
    </row>
    <row r="533" spans="1:7" x14ac:dyDescent="0.25">
      <c r="A533" t="s">
        <v>724</v>
      </c>
      <c r="B533">
        <v>36</v>
      </c>
      <c r="C533">
        <v>0</v>
      </c>
      <c r="D533">
        <v>4</v>
      </c>
      <c r="E533" t="s">
        <v>895</v>
      </c>
      <c r="F533" t="s">
        <v>900</v>
      </c>
      <c r="G533" t="s">
        <v>887</v>
      </c>
    </row>
    <row r="534" spans="1:7" x14ac:dyDescent="0.25">
      <c r="A534" t="s">
        <v>214</v>
      </c>
      <c r="B534">
        <v>206</v>
      </c>
      <c r="C534">
        <v>12</v>
      </c>
      <c r="D534">
        <v>1</v>
      </c>
      <c r="E534" t="s">
        <v>885</v>
      </c>
      <c r="F534" t="s">
        <v>892</v>
      </c>
      <c r="G534" t="s">
        <v>893</v>
      </c>
    </row>
    <row r="535" spans="1:7" x14ac:dyDescent="0.25">
      <c r="A535" t="s">
        <v>288</v>
      </c>
      <c r="B535">
        <v>46</v>
      </c>
      <c r="C535">
        <v>0</v>
      </c>
      <c r="D535">
        <v>4</v>
      </c>
      <c r="E535" t="s">
        <v>895</v>
      </c>
      <c r="F535" t="s">
        <v>904</v>
      </c>
      <c r="G535" t="s">
        <v>887</v>
      </c>
    </row>
    <row r="536" spans="1:7" x14ac:dyDescent="0.25">
      <c r="A536" t="s">
        <v>358</v>
      </c>
      <c r="B536">
        <v>156</v>
      </c>
      <c r="C536">
        <v>23</v>
      </c>
      <c r="D536">
        <v>3</v>
      </c>
      <c r="E536" t="s">
        <v>895</v>
      </c>
      <c r="F536" t="s">
        <v>903</v>
      </c>
      <c r="G536" t="s">
        <v>887</v>
      </c>
    </row>
    <row r="537" spans="1:7" x14ac:dyDescent="0.25">
      <c r="A537" t="s">
        <v>616</v>
      </c>
      <c r="B537">
        <v>154</v>
      </c>
      <c r="C537">
        <v>54</v>
      </c>
      <c r="D537">
        <v>3</v>
      </c>
      <c r="E537" t="s">
        <v>895</v>
      </c>
      <c r="F537" t="s">
        <v>899</v>
      </c>
      <c r="G537" t="s">
        <v>887</v>
      </c>
    </row>
    <row r="538" spans="1:7" x14ac:dyDescent="0.25">
      <c r="A538" t="s">
        <v>819</v>
      </c>
      <c r="B538">
        <v>36</v>
      </c>
      <c r="C538">
        <v>15</v>
      </c>
      <c r="D538">
        <v>3</v>
      </c>
      <c r="E538" t="s">
        <v>895</v>
      </c>
      <c r="F538" t="s">
        <v>903</v>
      </c>
      <c r="G538" t="s">
        <v>898</v>
      </c>
    </row>
    <row r="539" spans="1:7" x14ac:dyDescent="0.25">
      <c r="A539" t="s">
        <v>555</v>
      </c>
      <c r="B539">
        <v>206</v>
      </c>
      <c r="C539">
        <v>51</v>
      </c>
      <c r="D539">
        <v>4</v>
      </c>
      <c r="E539" t="s">
        <v>895</v>
      </c>
      <c r="F539" t="s">
        <v>899</v>
      </c>
      <c r="G539" t="s">
        <v>893</v>
      </c>
    </row>
    <row r="540" spans="1:7" x14ac:dyDescent="0.25">
      <c r="A540" t="s">
        <v>559</v>
      </c>
      <c r="B540">
        <v>200</v>
      </c>
      <c r="C540">
        <v>7</v>
      </c>
      <c r="D540">
        <v>4</v>
      </c>
      <c r="E540" t="s">
        <v>885</v>
      </c>
      <c r="F540" t="s">
        <v>886</v>
      </c>
      <c r="G540" t="s">
        <v>893</v>
      </c>
    </row>
    <row r="541" spans="1:7" x14ac:dyDescent="0.25">
      <c r="A541" t="s">
        <v>555</v>
      </c>
      <c r="B541">
        <v>199</v>
      </c>
      <c r="C541">
        <v>-1</v>
      </c>
      <c r="D541">
        <v>1</v>
      </c>
      <c r="E541" t="s">
        <v>895</v>
      </c>
      <c r="F541" t="s">
        <v>897</v>
      </c>
      <c r="G541" t="s">
        <v>893</v>
      </c>
    </row>
    <row r="542" spans="1:7" x14ac:dyDescent="0.25">
      <c r="A542" t="s">
        <v>212</v>
      </c>
      <c r="B542">
        <v>154</v>
      </c>
      <c r="C542">
        <v>22</v>
      </c>
      <c r="D542">
        <v>7</v>
      </c>
      <c r="E542" t="s">
        <v>895</v>
      </c>
      <c r="F542" t="s">
        <v>906</v>
      </c>
      <c r="G542" t="s">
        <v>887</v>
      </c>
    </row>
    <row r="543" spans="1:7" x14ac:dyDescent="0.25">
      <c r="A543" t="s">
        <v>620</v>
      </c>
      <c r="B543">
        <v>152</v>
      </c>
      <c r="C543">
        <v>23</v>
      </c>
      <c r="D543">
        <v>3</v>
      </c>
      <c r="E543" t="s">
        <v>888</v>
      </c>
      <c r="F543" t="s">
        <v>908</v>
      </c>
      <c r="G543" t="s">
        <v>887</v>
      </c>
    </row>
    <row r="544" spans="1:7" x14ac:dyDescent="0.25">
      <c r="A544" t="s">
        <v>622</v>
      </c>
      <c r="B544">
        <v>152</v>
      </c>
      <c r="C544">
        <v>50</v>
      </c>
      <c r="D544">
        <v>6</v>
      </c>
      <c r="E544" t="s">
        <v>895</v>
      </c>
      <c r="F544" t="s">
        <v>903</v>
      </c>
      <c r="G544" t="s">
        <v>887</v>
      </c>
    </row>
    <row r="545" spans="1:7" x14ac:dyDescent="0.25">
      <c r="A545" t="s">
        <v>414</v>
      </c>
      <c r="B545">
        <v>122</v>
      </c>
      <c r="C545">
        <v>-21</v>
      </c>
      <c r="D545">
        <v>3</v>
      </c>
      <c r="E545" t="s">
        <v>888</v>
      </c>
      <c r="F545" t="s">
        <v>908</v>
      </c>
      <c r="G545" t="s">
        <v>898</v>
      </c>
    </row>
    <row r="546" spans="1:7" x14ac:dyDescent="0.25">
      <c r="A546" t="s">
        <v>419</v>
      </c>
      <c r="B546">
        <v>149</v>
      </c>
      <c r="C546">
        <v>48</v>
      </c>
      <c r="D546">
        <v>6</v>
      </c>
      <c r="E546" t="s">
        <v>895</v>
      </c>
      <c r="F546" t="s">
        <v>903</v>
      </c>
      <c r="G546" t="s">
        <v>887</v>
      </c>
    </row>
    <row r="547" spans="1:7" x14ac:dyDescent="0.25">
      <c r="A547" t="s">
        <v>606</v>
      </c>
      <c r="B547">
        <v>149</v>
      </c>
      <c r="C547">
        <v>-87</v>
      </c>
      <c r="D547">
        <v>4</v>
      </c>
      <c r="E547" t="s">
        <v>895</v>
      </c>
      <c r="F547" t="s">
        <v>897</v>
      </c>
      <c r="G547" t="s">
        <v>887</v>
      </c>
    </row>
    <row r="548" spans="1:7" x14ac:dyDescent="0.25">
      <c r="A548" t="s">
        <v>560</v>
      </c>
      <c r="B548">
        <v>197</v>
      </c>
      <c r="C548">
        <v>20</v>
      </c>
      <c r="D548">
        <v>4</v>
      </c>
      <c r="E548" t="s">
        <v>895</v>
      </c>
      <c r="F548" t="s">
        <v>900</v>
      </c>
      <c r="G548" t="s">
        <v>893</v>
      </c>
    </row>
    <row r="549" spans="1:7" x14ac:dyDescent="0.25">
      <c r="A549" t="s">
        <v>753</v>
      </c>
      <c r="B549">
        <v>76</v>
      </c>
      <c r="C549">
        <v>-54</v>
      </c>
      <c r="D549">
        <v>3</v>
      </c>
      <c r="E549" t="s">
        <v>885</v>
      </c>
      <c r="F549" t="s">
        <v>886</v>
      </c>
      <c r="G549" t="s">
        <v>887</v>
      </c>
    </row>
    <row r="550" spans="1:7" x14ac:dyDescent="0.25">
      <c r="A550" t="s">
        <v>373</v>
      </c>
      <c r="B550">
        <v>221</v>
      </c>
      <c r="C550">
        <v>-15</v>
      </c>
      <c r="D550">
        <v>2</v>
      </c>
      <c r="E550" t="s">
        <v>885</v>
      </c>
      <c r="F550" t="s">
        <v>886</v>
      </c>
      <c r="G550" t="s">
        <v>887</v>
      </c>
    </row>
    <row r="551" spans="1:7" x14ac:dyDescent="0.25">
      <c r="A551" t="s">
        <v>395</v>
      </c>
      <c r="B551">
        <v>79</v>
      </c>
      <c r="C551">
        <v>32</v>
      </c>
      <c r="D551">
        <v>3</v>
      </c>
      <c r="E551" t="s">
        <v>895</v>
      </c>
      <c r="F551" t="s">
        <v>897</v>
      </c>
      <c r="G551" t="s">
        <v>907</v>
      </c>
    </row>
    <row r="552" spans="1:7" x14ac:dyDescent="0.25">
      <c r="A552" t="s">
        <v>671</v>
      </c>
      <c r="B552">
        <v>45</v>
      </c>
      <c r="C552">
        <v>12</v>
      </c>
      <c r="D552">
        <v>7</v>
      </c>
      <c r="E552" t="s">
        <v>895</v>
      </c>
      <c r="F552" t="s">
        <v>899</v>
      </c>
      <c r="G552" t="s">
        <v>898</v>
      </c>
    </row>
    <row r="553" spans="1:7" x14ac:dyDescent="0.25">
      <c r="A553" t="s">
        <v>642</v>
      </c>
      <c r="B553">
        <v>149</v>
      </c>
      <c r="C553">
        <v>-1</v>
      </c>
      <c r="D553">
        <v>1</v>
      </c>
      <c r="E553" t="s">
        <v>895</v>
      </c>
      <c r="F553" t="s">
        <v>897</v>
      </c>
      <c r="G553" t="s">
        <v>887</v>
      </c>
    </row>
    <row r="554" spans="1:7" x14ac:dyDescent="0.25">
      <c r="A554" t="s">
        <v>516</v>
      </c>
      <c r="B554">
        <v>80</v>
      </c>
      <c r="C554">
        <v>22</v>
      </c>
      <c r="D554">
        <v>3</v>
      </c>
      <c r="E554" t="s">
        <v>895</v>
      </c>
      <c r="F554" t="s">
        <v>903</v>
      </c>
      <c r="G554" t="s">
        <v>907</v>
      </c>
    </row>
    <row r="555" spans="1:7" x14ac:dyDescent="0.25">
      <c r="A555" t="s">
        <v>508</v>
      </c>
      <c r="B555">
        <v>195</v>
      </c>
      <c r="C555">
        <v>12</v>
      </c>
      <c r="D555">
        <v>9</v>
      </c>
      <c r="E555" t="s">
        <v>895</v>
      </c>
      <c r="F555" t="s">
        <v>909</v>
      </c>
      <c r="G555" t="s">
        <v>893</v>
      </c>
    </row>
    <row r="556" spans="1:7" x14ac:dyDescent="0.25">
      <c r="A556" t="s">
        <v>486</v>
      </c>
      <c r="B556">
        <v>19</v>
      </c>
      <c r="C556">
        <v>0</v>
      </c>
      <c r="D556">
        <v>3</v>
      </c>
      <c r="E556" t="s">
        <v>895</v>
      </c>
      <c r="F556" t="s">
        <v>901</v>
      </c>
      <c r="G556" t="s">
        <v>898</v>
      </c>
    </row>
    <row r="557" spans="1:7" x14ac:dyDescent="0.25">
      <c r="A557" t="s">
        <v>175</v>
      </c>
      <c r="B557">
        <v>81</v>
      </c>
      <c r="C557">
        <v>41</v>
      </c>
      <c r="D557">
        <v>3</v>
      </c>
      <c r="E557" t="s">
        <v>895</v>
      </c>
      <c r="F557" t="s">
        <v>903</v>
      </c>
      <c r="G557" t="s">
        <v>907</v>
      </c>
    </row>
    <row r="558" spans="1:7" x14ac:dyDescent="0.25">
      <c r="A558" t="s">
        <v>741</v>
      </c>
      <c r="B558">
        <v>83</v>
      </c>
      <c r="C558">
        <v>34</v>
      </c>
      <c r="D558">
        <v>5</v>
      </c>
      <c r="E558" t="s">
        <v>895</v>
      </c>
      <c r="F558" t="s">
        <v>909</v>
      </c>
      <c r="G558" t="s">
        <v>907</v>
      </c>
    </row>
    <row r="559" spans="1:7" x14ac:dyDescent="0.25">
      <c r="A559" t="s">
        <v>625</v>
      </c>
      <c r="B559">
        <v>149</v>
      </c>
      <c r="C559">
        <v>17</v>
      </c>
      <c r="D559">
        <v>4</v>
      </c>
      <c r="E559" t="s">
        <v>888</v>
      </c>
      <c r="F559" t="s">
        <v>908</v>
      </c>
      <c r="G559" t="s">
        <v>887</v>
      </c>
    </row>
    <row r="560" spans="1:7" x14ac:dyDescent="0.25">
      <c r="A560" t="s">
        <v>564</v>
      </c>
      <c r="B560">
        <v>193</v>
      </c>
      <c r="C560">
        <v>46</v>
      </c>
      <c r="D560">
        <v>1</v>
      </c>
      <c r="E560" t="s">
        <v>885</v>
      </c>
      <c r="F560" t="s">
        <v>892</v>
      </c>
      <c r="G560" t="s">
        <v>893</v>
      </c>
    </row>
    <row r="561" spans="1:7" x14ac:dyDescent="0.25">
      <c r="A561" t="s">
        <v>136</v>
      </c>
      <c r="B561">
        <v>85</v>
      </c>
      <c r="C561">
        <v>24</v>
      </c>
      <c r="D561">
        <v>10</v>
      </c>
      <c r="E561" t="s">
        <v>895</v>
      </c>
      <c r="F561" t="s">
        <v>899</v>
      </c>
      <c r="G561" t="s">
        <v>907</v>
      </c>
    </row>
    <row r="562" spans="1:7" x14ac:dyDescent="0.25">
      <c r="A562" t="s">
        <v>642</v>
      </c>
      <c r="B562">
        <v>44</v>
      </c>
      <c r="C562">
        <v>-17</v>
      </c>
      <c r="D562">
        <v>5</v>
      </c>
      <c r="E562" t="s">
        <v>895</v>
      </c>
      <c r="F562" t="s">
        <v>897</v>
      </c>
      <c r="G562" t="s">
        <v>898</v>
      </c>
    </row>
    <row r="563" spans="1:7" x14ac:dyDescent="0.25">
      <c r="A563" t="s">
        <v>571</v>
      </c>
      <c r="B563">
        <v>149</v>
      </c>
      <c r="C563">
        <v>-40</v>
      </c>
      <c r="D563">
        <v>2</v>
      </c>
      <c r="E563" t="s">
        <v>885</v>
      </c>
      <c r="F563" t="s">
        <v>894</v>
      </c>
      <c r="G563" t="s">
        <v>887</v>
      </c>
    </row>
    <row r="564" spans="1:7" x14ac:dyDescent="0.25">
      <c r="A564" t="s">
        <v>273</v>
      </c>
      <c r="B564">
        <v>26</v>
      </c>
      <c r="C564">
        <v>0</v>
      </c>
      <c r="D564">
        <v>2</v>
      </c>
      <c r="E564" t="s">
        <v>895</v>
      </c>
      <c r="F564" t="s">
        <v>900</v>
      </c>
      <c r="G564" t="s">
        <v>887</v>
      </c>
    </row>
    <row r="565" spans="1:7" x14ac:dyDescent="0.25">
      <c r="A565" t="s">
        <v>517</v>
      </c>
      <c r="B565">
        <v>86</v>
      </c>
      <c r="C565">
        <v>0</v>
      </c>
      <c r="D565">
        <v>4</v>
      </c>
      <c r="E565" t="s">
        <v>895</v>
      </c>
      <c r="F565" t="s">
        <v>906</v>
      </c>
      <c r="G565" t="s">
        <v>907</v>
      </c>
    </row>
    <row r="566" spans="1:7" x14ac:dyDescent="0.25">
      <c r="A566" t="s">
        <v>738</v>
      </c>
      <c r="B566">
        <v>86</v>
      </c>
      <c r="C566">
        <v>22</v>
      </c>
      <c r="D566">
        <v>2</v>
      </c>
      <c r="E566" t="s">
        <v>895</v>
      </c>
      <c r="F566" t="s">
        <v>897</v>
      </c>
      <c r="G566" t="s">
        <v>907</v>
      </c>
    </row>
    <row r="567" spans="1:7" x14ac:dyDescent="0.25">
      <c r="A567" t="s">
        <v>68</v>
      </c>
      <c r="B567">
        <v>79</v>
      </c>
      <c r="C567">
        <v>16</v>
      </c>
      <c r="D567">
        <v>3</v>
      </c>
      <c r="E567" t="s">
        <v>895</v>
      </c>
      <c r="F567" t="s">
        <v>906</v>
      </c>
      <c r="G567" t="s">
        <v>887</v>
      </c>
    </row>
    <row r="568" spans="1:7" x14ac:dyDescent="0.25">
      <c r="A568" t="s">
        <v>565</v>
      </c>
      <c r="B568">
        <v>193</v>
      </c>
      <c r="C568">
        <v>-275</v>
      </c>
      <c r="D568">
        <v>3</v>
      </c>
      <c r="E568" t="s">
        <v>885</v>
      </c>
      <c r="F568" t="s">
        <v>894</v>
      </c>
      <c r="G568" t="s">
        <v>893</v>
      </c>
    </row>
    <row r="569" spans="1:7" x14ac:dyDescent="0.25">
      <c r="A569" t="s">
        <v>337</v>
      </c>
      <c r="B569">
        <v>148</v>
      </c>
      <c r="C569">
        <v>0</v>
      </c>
      <c r="D569">
        <v>3</v>
      </c>
      <c r="E569" t="s">
        <v>895</v>
      </c>
      <c r="F569" t="s">
        <v>897</v>
      </c>
      <c r="G569" t="s">
        <v>887</v>
      </c>
    </row>
    <row r="570" spans="1:7" x14ac:dyDescent="0.25">
      <c r="A570" t="s">
        <v>200</v>
      </c>
      <c r="B570">
        <v>70</v>
      </c>
      <c r="C570">
        <v>-14</v>
      </c>
      <c r="D570">
        <v>2</v>
      </c>
      <c r="E570" t="s">
        <v>888</v>
      </c>
      <c r="F570" t="s">
        <v>908</v>
      </c>
      <c r="G570" t="s">
        <v>898</v>
      </c>
    </row>
    <row r="571" spans="1:7" x14ac:dyDescent="0.25">
      <c r="A571" t="s">
        <v>627</v>
      </c>
      <c r="B571">
        <v>148</v>
      </c>
      <c r="C571">
        <v>59</v>
      </c>
      <c r="D571">
        <v>3</v>
      </c>
      <c r="E571" t="s">
        <v>895</v>
      </c>
      <c r="F571" t="s">
        <v>899</v>
      </c>
      <c r="G571" t="s">
        <v>887</v>
      </c>
    </row>
    <row r="572" spans="1:7" x14ac:dyDescent="0.25">
      <c r="A572" t="s">
        <v>91</v>
      </c>
      <c r="B572">
        <v>190</v>
      </c>
      <c r="C572">
        <v>19</v>
      </c>
      <c r="D572">
        <v>9</v>
      </c>
      <c r="E572" t="s">
        <v>888</v>
      </c>
      <c r="F572" t="s">
        <v>908</v>
      </c>
      <c r="G572" t="s">
        <v>893</v>
      </c>
    </row>
    <row r="573" spans="1:7" x14ac:dyDescent="0.25">
      <c r="A573" t="s">
        <v>660</v>
      </c>
      <c r="B573">
        <v>52</v>
      </c>
      <c r="C573">
        <v>14</v>
      </c>
      <c r="D573">
        <v>2</v>
      </c>
      <c r="E573" t="s">
        <v>895</v>
      </c>
      <c r="F573" t="s">
        <v>903</v>
      </c>
      <c r="G573" t="s">
        <v>887</v>
      </c>
    </row>
    <row r="574" spans="1:7" x14ac:dyDescent="0.25">
      <c r="A574" t="s">
        <v>601</v>
      </c>
      <c r="B574">
        <v>147</v>
      </c>
      <c r="C574">
        <v>44</v>
      </c>
      <c r="D574">
        <v>3</v>
      </c>
      <c r="E574" t="s">
        <v>895</v>
      </c>
      <c r="F574" t="s">
        <v>897</v>
      </c>
      <c r="G574" t="s">
        <v>887</v>
      </c>
    </row>
    <row r="575" spans="1:7" x14ac:dyDescent="0.25">
      <c r="A575" t="s">
        <v>507</v>
      </c>
      <c r="B575">
        <v>190</v>
      </c>
      <c r="C575">
        <v>68</v>
      </c>
      <c r="D575">
        <v>8</v>
      </c>
      <c r="E575" t="s">
        <v>895</v>
      </c>
      <c r="F575" t="s">
        <v>906</v>
      </c>
      <c r="G575" t="s">
        <v>893</v>
      </c>
    </row>
    <row r="576" spans="1:7" x14ac:dyDescent="0.25">
      <c r="A576" t="s">
        <v>158</v>
      </c>
      <c r="B576">
        <v>80</v>
      </c>
      <c r="C576">
        <v>-56</v>
      </c>
      <c r="D576">
        <v>4</v>
      </c>
      <c r="E576" t="s">
        <v>885</v>
      </c>
      <c r="F576" t="s">
        <v>886</v>
      </c>
      <c r="G576" t="s">
        <v>898</v>
      </c>
    </row>
    <row r="577" spans="1:7" x14ac:dyDescent="0.25">
      <c r="A577" t="s">
        <v>219</v>
      </c>
      <c r="B577">
        <v>147</v>
      </c>
      <c r="C577">
        <v>48</v>
      </c>
      <c r="D577">
        <v>3</v>
      </c>
      <c r="E577" t="s">
        <v>895</v>
      </c>
      <c r="F577" t="s">
        <v>897</v>
      </c>
      <c r="G577" t="s">
        <v>887</v>
      </c>
    </row>
    <row r="578" spans="1:7" x14ac:dyDescent="0.25">
      <c r="A578" t="s">
        <v>160</v>
      </c>
      <c r="B578">
        <v>66</v>
      </c>
      <c r="C578">
        <v>12</v>
      </c>
      <c r="D578">
        <v>3</v>
      </c>
      <c r="E578" t="s">
        <v>895</v>
      </c>
      <c r="F578" t="s">
        <v>903</v>
      </c>
      <c r="G578" t="s">
        <v>887</v>
      </c>
    </row>
    <row r="579" spans="1:7" x14ac:dyDescent="0.25">
      <c r="A579" t="s">
        <v>734</v>
      </c>
      <c r="B579">
        <v>86</v>
      </c>
      <c r="C579">
        <v>8</v>
      </c>
      <c r="D579">
        <v>2</v>
      </c>
      <c r="E579" t="s">
        <v>895</v>
      </c>
      <c r="F579" t="s">
        <v>897</v>
      </c>
      <c r="G579" t="s">
        <v>907</v>
      </c>
    </row>
    <row r="580" spans="1:7" x14ac:dyDescent="0.25">
      <c r="A580" t="s">
        <v>358</v>
      </c>
      <c r="B580">
        <v>88</v>
      </c>
      <c r="C580">
        <v>19</v>
      </c>
      <c r="D580">
        <v>2</v>
      </c>
      <c r="E580" t="s">
        <v>895</v>
      </c>
      <c r="F580" t="s">
        <v>909</v>
      </c>
      <c r="G580" t="s">
        <v>907</v>
      </c>
    </row>
    <row r="581" spans="1:7" x14ac:dyDescent="0.25">
      <c r="A581" t="s">
        <v>175</v>
      </c>
      <c r="B581">
        <v>188</v>
      </c>
      <c r="C581">
        <v>-193</v>
      </c>
      <c r="D581">
        <v>2</v>
      </c>
      <c r="E581" t="s">
        <v>885</v>
      </c>
      <c r="F581" t="s">
        <v>886</v>
      </c>
      <c r="G581" t="s">
        <v>893</v>
      </c>
    </row>
    <row r="582" spans="1:7" x14ac:dyDescent="0.25">
      <c r="A582" t="s">
        <v>284</v>
      </c>
      <c r="B582">
        <v>89</v>
      </c>
      <c r="C582">
        <v>29</v>
      </c>
      <c r="D582">
        <v>2</v>
      </c>
      <c r="E582" t="s">
        <v>895</v>
      </c>
      <c r="F582" t="s">
        <v>903</v>
      </c>
      <c r="G582" t="s">
        <v>898</v>
      </c>
    </row>
    <row r="583" spans="1:7" x14ac:dyDescent="0.25">
      <c r="A583" t="s">
        <v>637</v>
      </c>
      <c r="B583">
        <v>146</v>
      </c>
      <c r="C583">
        <v>19</v>
      </c>
      <c r="D583">
        <v>5</v>
      </c>
      <c r="E583" t="s">
        <v>895</v>
      </c>
      <c r="F583" t="s">
        <v>903</v>
      </c>
      <c r="G583" t="s">
        <v>887</v>
      </c>
    </row>
    <row r="584" spans="1:7" x14ac:dyDescent="0.25">
      <c r="A584" t="s">
        <v>265</v>
      </c>
      <c r="B584">
        <v>143</v>
      </c>
      <c r="C584">
        <v>32</v>
      </c>
      <c r="D584">
        <v>1</v>
      </c>
      <c r="E584" t="s">
        <v>888</v>
      </c>
      <c r="F584" t="s">
        <v>891</v>
      </c>
      <c r="G584" t="s">
        <v>887</v>
      </c>
    </row>
    <row r="585" spans="1:7" x14ac:dyDescent="0.25">
      <c r="A585" t="s">
        <v>271</v>
      </c>
      <c r="B585">
        <v>25</v>
      </c>
      <c r="C585">
        <v>-1</v>
      </c>
      <c r="D585">
        <v>4</v>
      </c>
      <c r="E585" t="s">
        <v>895</v>
      </c>
      <c r="F585" t="s">
        <v>900</v>
      </c>
      <c r="G585" t="s">
        <v>887</v>
      </c>
    </row>
    <row r="586" spans="1:7" x14ac:dyDescent="0.25">
      <c r="A586" t="s">
        <v>578</v>
      </c>
      <c r="B586">
        <v>30</v>
      </c>
      <c r="C586">
        <v>12</v>
      </c>
      <c r="D586">
        <v>3</v>
      </c>
      <c r="E586" t="s">
        <v>895</v>
      </c>
      <c r="F586" t="s">
        <v>901</v>
      </c>
      <c r="G586" t="s">
        <v>898</v>
      </c>
    </row>
    <row r="587" spans="1:7" x14ac:dyDescent="0.25">
      <c r="A587" t="s">
        <v>362</v>
      </c>
      <c r="B587">
        <v>140</v>
      </c>
      <c r="C587">
        <v>-58</v>
      </c>
      <c r="D587">
        <v>4</v>
      </c>
      <c r="E587" t="s">
        <v>888</v>
      </c>
      <c r="F587" t="s">
        <v>908</v>
      </c>
      <c r="G587" t="s">
        <v>887</v>
      </c>
    </row>
    <row r="588" spans="1:7" x14ac:dyDescent="0.25">
      <c r="A588" t="s">
        <v>263</v>
      </c>
      <c r="B588">
        <v>83</v>
      </c>
      <c r="C588">
        <v>-48</v>
      </c>
      <c r="D588">
        <v>1</v>
      </c>
      <c r="E588" t="s">
        <v>888</v>
      </c>
      <c r="F588" t="s">
        <v>891</v>
      </c>
      <c r="G588" t="s">
        <v>898</v>
      </c>
    </row>
    <row r="589" spans="1:7" x14ac:dyDescent="0.25">
      <c r="A589" t="s">
        <v>233</v>
      </c>
      <c r="B589">
        <v>140</v>
      </c>
      <c r="C589">
        <v>6</v>
      </c>
      <c r="D589">
        <v>5</v>
      </c>
      <c r="E589" t="s">
        <v>895</v>
      </c>
      <c r="F589" t="s">
        <v>897</v>
      </c>
      <c r="G589" t="s">
        <v>887</v>
      </c>
    </row>
    <row r="590" spans="1:7" x14ac:dyDescent="0.25">
      <c r="A590" t="s">
        <v>724</v>
      </c>
      <c r="B590">
        <v>28</v>
      </c>
      <c r="C590">
        <v>14</v>
      </c>
      <c r="D590">
        <v>4</v>
      </c>
      <c r="E590" t="s">
        <v>895</v>
      </c>
      <c r="F590" t="s">
        <v>899</v>
      </c>
      <c r="G590" t="s">
        <v>887</v>
      </c>
    </row>
    <row r="591" spans="1:7" x14ac:dyDescent="0.25">
      <c r="A591" t="s">
        <v>647</v>
      </c>
      <c r="B591">
        <v>139</v>
      </c>
      <c r="C591">
        <v>14</v>
      </c>
      <c r="D591">
        <v>3</v>
      </c>
      <c r="E591" t="s">
        <v>895</v>
      </c>
      <c r="F591" t="s">
        <v>903</v>
      </c>
      <c r="G591" t="s">
        <v>887</v>
      </c>
    </row>
    <row r="592" spans="1:7" x14ac:dyDescent="0.25">
      <c r="A592" t="s">
        <v>50</v>
      </c>
      <c r="B592">
        <v>30</v>
      </c>
      <c r="C592">
        <v>14</v>
      </c>
      <c r="D592">
        <v>3</v>
      </c>
      <c r="E592" t="s">
        <v>895</v>
      </c>
      <c r="F592" t="s">
        <v>899</v>
      </c>
      <c r="G592" t="s">
        <v>898</v>
      </c>
    </row>
    <row r="593" spans="1:7" x14ac:dyDescent="0.25">
      <c r="A593" t="s">
        <v>504</v>
      </c>
      <c r="B593">
        <v>89</v>
      </c>
      <c r="C593">
        <v>36</v>
      </c>
      <c r="D593">
        <v>3</v>
      </c>
      <c r="E593" t="s">
        <v>895</v>
      </c>
      <c r="F593" t="s">
        <v>909</v>
      </c>
      <c r="G593" t="s">
        <v>898</v>
      </c>
    </row>
    <row r="594" spans="1:7" x14ac:dyDescent="0.25">
      <c r="A594" t="s">
        <v>181</v>
      </c>
      <c r="B594">
        <v>187</v>
      </c>
      <c r="C594">
        <v>30</v>
      </c>
      <c r="D594">
        <v>4</v>
      </c>
      <c r="E594" t="s">
        <v>885</v>
      </c>
      <c r="F594" t="s">
        <v>905</v>
      </c>
      <c r="G594" t="s">
        <v>893</v>
      </c>
    </row>
    <row r="595" spans="1:7" x14ac:dyDescent="0.25">
      <c r="A595" t="s">
        <v>358</v>
      </c>
      <c r="B595">
        <v>139</v>
      </c>
      <c r="C595">
        <v>21</v>
      </c>
      <c r="D595">
        <v>3</v>
      </c>
      <c r="E595" t="s">
        <v>885</v>
      </c>
      <c r="F595" t="s">
        <v>905</v>
      </c>
      <c r="G595" t="s">
        <v>887</v>
      </c>
    </row>
    <row r="596" spans="1:7" x14ac:dyDescent="0.25">
      <c r="A596" t="s">
        <v>528</v>
      </c>
      <c r="B596">
        <v>437</v>
      </c>
      <c r="C596">
        <v>-14</v>
      </c>
      <c r="D596">
        <v>2</v>
      </c>
      <c r="E596" t="s">
        <v>895</v>
      </c>
      <c r="F596" t="s">
        <v>897</v>
      </c>
      <c r="G596" t="s">
        <v>898</v>
      </c>
    </row>
    <row r="597" spans="1:7" x14ac:dyDescent="0.25">
      <c r="A597" t="s">
        <v>116</v>
      </c>
      <c r="B597">
        <v>138</v>
      </c>
      <c r="C597">
        <v>-3</v>
      </c>
      <c r="D597">
        <v>5</v>
      </c>
      <c r="E597" t="s">
        <v>895</v>
      </c>
      <c r="F597" t="s">
        <v>897</v>
      </c>
      <c r="G597" t="s">
        <v>887</v>
      </c>
    </row>
    <row r="598" spans="1:7" x14ac:dyDescent="0.25">
      <c r="A598" t="s">
        <v>376</v>
      </c>
      <c r="B598">
        <v>85</v>
      </c>
      <c r="C598">
        <v>13</v>
      </c>
      <c r="D598">
        <v>2</v>
      </c>
      <c r="E598" t="s">
        <v>895</v>
      </c>
      <c r="F598" t="s">
        <v>909</v>
      </c>
      <c r="G598" t="s">
        <v>898</v>
      </c>
    </row>
    <row r="599" spans="1:7" x14ac:dyDescent="0.25">
      <c r="A599" t="s">
        <v>308</v>
      </c>
      <c r="B599">
        <v>83</v>
      </c>
      <c r="C599">
        <v>12</v>
      </c>
      <c r="D599">
        <v>3</v>
      </c>
      <c r="E599" t="s">
        <v>895</v>
      </c>
      <c r="F599" t="s">
        <v>903</v>
      </c>
      <c r="G599" t="s">
        <v>898</v>
      </c>
    </row>
    <row r="600" spans="1:7" x14ac:dyDescent="0.25">
      <c r="A600" t="s">
        <v>416</v>
      </c>
      <c r="B600">
        <v>91</v>
      </c>
      <c r="C600">
        <v>22</v>
      </c>
      <c r="D600">
        <v>2</v>
      </c>
      <c r="E600" t="s">
        <v>895</v>
      </c>
      <c r="F600" t="s">
        <v>903</v>
      </c>
      <c r="G600" t="s">
        <v>898</v>
      </c>
    </row>
    <row r="601" spans="1:7" x14ac:dyDescent="0.25">
      <c r="A601" t="s">
        <v>275</v>
      </c>
      <c r="B601">
        <v>137</v>
      </c>
      <c r="C601">
        <v>5</v>
      </c>
      <c r="D601">
        <v>5</v>
      </c>
      <c r="E601" t="s">
        <v>895</v>
      </c>
      <c r="F601" t="s">
        <v>909</v>
      </c>
      <c r="G601" t="s">
        <v>887</v>
      </c>
    </row>
    <row r="602" spans="1:7" x14ac:dyDescent="0.25">
      <c r="A602" t="s">
        <v>813</v>
      </c>
      <c r="B602">
        <v>33</v>
      </c>
      <c r="C602">
        <v>-12</v>
      </c>
      <c r="D602">
        <v>7</v>
      </c>
      <c r="E602" t="s">
        <v>895</v>
      </c>
      <c r="F602" t="s">
        <v>897</v>
      </c>
      <c r="G602" t="s">
        <v>898</v>
      </c>
    </row>
    <row r="603" spans="1:7" x14ac:dyDescent="0.25">
      <c r="A603" t="s">
        <v>71</v>
      </c>
      <c r="B603">
        <v>134</v>
      </c>
      <c r="C603">
        <v>-34</v>
      </c>
      <c r="D603">
        <v>2</v>
      </c>
      <c r="E603" t="s">
        <v>888</v>
      </c>
      <c r="F603" t="s">
        <v>889</v>
      </c>
      <c r="G603" t="s">
        <v>887</v>
      </c>
    </row>
    <row r="604" spans="1:7" x14ac:dyDescent="0.25">
      <c r="A604" t="s">
        <v>653</v>
      </c>
      <c r="B604">
        <v>134</v>
      </c>
      <c r="C604">
        <v>42</v>
      </c>
      <c r="D604">
        <v>2</v>
      </c>
      <c r="E604" t="s">
        <v>888</v>
      </c>
      <c r="F604" t="s">
        <v>889</v>
      </c>
      <c r="G604" t="s">
        <v>887</v>
      </c>
    </row>
    <row r="605" spans="1:7" x14ac:dyDescent="0.25">
      <c r="A605" t="s">
        <v>655</v>
      </c>
      <c r="B605">
        <v>133</v>
      </c>
      <c r="C605">
        <v>-56</v>
      </c>
      <c r="D605">
        <v>2</v>
      </c>
      <c r="E605" t="s">
        <v>888</v>
      </c>
      <c r="F605" t="s">
        <v>889</v>
      </c>
      <c r="G605" t="s">
        <v>887</v>
      </c>
    </row>
    <row r="606" spans="1:7" x14ac:dyDescent="0.25">
      <c r="A606" t="s">
        <v>330</v>
      </c>
      <c r="B606">
        <v>93</v>
      </c>
      <c r="C606">
        <v>-84</v>
      </c>
      <c r="D606">
        <v>3</v>
      </c>
      <c r="E606" t="s">
        <v>895</v>
      </c>
      <c r="F606" t="s">
        <v>897</v>
      </c>
      <c r="G606" t="s">
        <v>898</v>
      </c>
    </row>
    <row r="607" spans="1:7" x14ac:dyDescent="0.25">
      <c r="A607" t="s">
        <v>444</v>
      </c>
      <c r="B607">
        <v>86</v>
      </c>
      <c r="C607">
        <v>-21</v>
      </c>
      <c r="D607">
        <v>1</v>
      </c>
      <c r="E607" t="s">
        <v>885</v>
      </c>
      <c r="F607" t="s">
        <v>886</v>
      </c>
      <c r="G607" t="s">
        <v>898</v>
      </c>
    </row>
    <row r="608" spans="1:7" x14ac:dyDescent="0.25">
      <c r="A608" t="s">
        <v>280</v>
      </c>
      <c r="B608">
        <v>132</v>
      </c>
      <c r="C608">
        <v>54</v>
      </c>
      <c r="D608">
        <v>5</v>
      </c>
      <c r="E608" t="s">
        <v>895</v>
      </c>
      <c r="F608" t="s">
        <v>903</v>
      </c>
      <c r="G608" t="s">
        <v>887</v>
      </c>
    </row>
    <row r="609" spans="1:7" x14ac:dyDescent="0.25">
      <c r="A609" t="s">
        <v>119</v>
      </c>
      <c r="B609">
        <v>132</v>
      </c>
      <c r="C609">
        <v>-10</v>
      </c>
      <c r="D609">
        <v>3</v>
      </c>
      <c r="E609" t="s">
        <v>895</v>
      </c>
      <c r="F609" t="s">
        <v>897</v>
      </c>
      <c r="G609" t="s">
        <v>887</v>
      </c>
    </row>
    <row r="610" spans="1:7" x14ac:dyDescent="0.25">
      <c r="A610" t="s">
        <v>315</v>
      </c>
      <c r="B610">
        <v>132</v>
      </c>
      <c r="C610">
        <v>-79</v>
      </c>
      <c r="D610">
        <v>5</v>
      </c>
      <c r="E610" t="s">
        <v>888</v>
      </c>
      <c r="F610" t="s">
        <v>908</v>
      </c>
      <c r="G610" t="s">
        <v>887</v>
      </c>
    </row>
    <row r="611" spans="1:7" x14ac:dyDescent="0.25">
      <c r="A611" t="s">
        <v>269</v>
      </c>
      <c r="B611">
        <v>93</v>
      </c>
      <c r="C611">
        <v>-65</v>
      </c>
      <c r="D611">
        <v>4</v>
      </c>
      <c r="E611" t="s">
        <v>895</v>
      </c>
      <c r="F611" t="s">
        <v>903</v>
      </c>
      <c r="G611" t="s">
        <v>898</v>
      </c>
    </row>
    <row r="612" spans="1:7" x14ac:dyDescent="0.25">
      <c r="A612" t="s">
        <v>723</v>
      </c>
      <c r="B612">
        <v>95</v>
      </c>
      <c r="C612">
        <v>5</v>
      </c>
      <c r="D612">
        <v>2</v>
      </c>
      <c r="E612" t="s">
        <v>895</v>
      </c>
      <c r="F612" t="s">
        <v>903</v>
      </c>
      <c r="G612" t="s">
        <v>898</v>
      </c>
    </row>
    <row r="613" spans="1:7" x14ac:dyDescent="0.25">
      <c r="A613" t="s">
        <v>313</v>
      </c>
      <c r="B613">
        <v>97</v>
      </c>
      <c r="C613">
        <v>12</v>
      </c>
      <c r="D613">
        <v>2</v>
      </c>
      <c r="E613" t="s">
        <v>895</v>
      </c>
      <c r="F613" t="s">
        <v>899</v>
      </c>
      <c r="G613" t="s">
        <v>898</v>
      </c>
    </row>
    <row r="614" spans="1:7" x14ac:dyDescent="0.25">
      <c r="A614" t="s">
        <v>657</v>
      </c>
      <c r="B614">
        <v>131</v>
      </c>
      <c r="C614">
        <v>-154</v>
      </c>
      <c r="D614">
        <v>8</v>
      </c>
      <c r="E614" t="s">
        <v>888</v>
      </c>
      <c r="F614" t="s">
        <v>908</v>
      </c>
      <c r="G614" t="s">
        <v>887</v>
      </c>
    </row>
    <row r="615" spans="1:7" x14ac:dyDescent="0.25">
      <c r="A615" t="s">
        <v>331</v>
      </c>
      <c r="B615">
        <v>97</v>
      </c>
      <c r="C615">
        <v>29</v>
      </c>
      <c r="D615">
        <v>2</v>
      </c>
      <c r="E615" t="s">
        <v>895</v>
      </c>
      <c r="F615" t="s">
        <v>899</v>
      </c>
      <c r="G615" t="s">
        <v>898</v>
      </c>
    </row>
    <row r="616" spans="1:7" x14ac:dyDescent="0.25">
      <c r="A616" t="s">
        <v>50</v>
      </c>
      <c r="B616">
        <v>128</v>
      </c>
      <c r="C616">
        <v>4</v>
      </c>
      <c r="D616">
        <v>3</v>
      </c>
      <c r="E616" t="s">
        <v>895</v>
      </c>
      <c r="F616" t="s">
        <v>897</v>
      </c>
      <c r="G616" t="s">
        <v>887</v>
      </c>
    </row>
    <row r="617" spans="1:7" x14ac:dyDescent="0.25">
      <c r="A617" t="s">
        <v>537</v>
      </c>
      <c r="B617">
        <v>186</v>
      </c>
      <c r="C617">
        <v>241</v>
      </c>
      <c r="D617">
        <v>9</v>
      </c>
      <c r="E617" t="s">
        <v>895</v>
      </c>
      <c r="F617" t="s">
        <v>909</v>
      </c>
      <c r="G617" t="s">
        <v>893</v>
      </c>
    </row>
    <row r="618" spans="1:7" x14ac:dyDescent="0.25">
      <c r="A618" t="s">
        <v>68</v>
      </c>
      <c r="B618">
        <v>128</v>
      </c>
      <c r="C618">
        <v>47</v>
      </c>
      <c r="D618">
        <v>4</v>
      </c>
      <c r="E618" t="s">
        <v>895</v>
      </c>
      <c r="F618" t="s">
        <v>899</v>
      </c>
      <c r="G618" t="s">
        <v>887</v>
      </c>
    </row>
    <row r="619" spans="1:7" x14ac:dyDescent="0.25">
      <c r="A619" t="s">
        <v>275</v>
      </c>
      <c r="B619">
        <v>185</v>
      </c>
      <c r="C619">
        <v>48</v>
      </c>
      <c r="D619">
        <v>4</v>
      </c>
      <c r="E619" t="s">
        <v>895</v>
      </c>
      <c r="F619" t="s">
        <v>903</v>
      </c>
      <c r="G619" t="s">
        <v>893</v>
      </c>
    </row>
    <row r="620" spans="1:7" x14ac:dyDescent="0.25">
      <c r="A620" t="s">
        <v>838</v>
      </c>
      <c r="B620">
        <v>29</v>
      </c>
      <c r="C620">
        <v>10</v>
      </c>
      <c r="D620">
        <v>2</v>
      </c>
      <c r="E620" t="s">
        <v>895</v>
      </c>
      <c r="F620" t="s">
        <v>903</v>
      </c>
      <c r="G620" t="s">
        <v>887</v>
      </c>
    </row>
    <row r="621" spans="1:7" x14ac:dyDescent="0.25">
      <c r="A621" t="s">
        <v>633</v>
      </c>
      <c r="B621">
        <v>127</v>
      </c>
      <c r="C621">
        <v>29</v>
      </c>
      <c r="D621">
        <v>3</v>
      </c>
      <c r="E621" t="s">
        <v>888</v>
      </c>
      <c r="F621" t="s">
        <v>908</v>
      </c>
      <c r="G621" t="s">
        <v>887</v>
      </c>
    </row>
    <row r="622" spans="1:7" x14ac:dyDescent="0.25">
      <c r="A622" t="s">
        <v>680</v>
      </c>
      <c r="B622">
        <v>97</v>
      </c>
      <c r="C622">
        <v>36</v>
      </c>
      <c r="D622">
        <v>7</v>
      </c>
      <c r="E622" t="s">
        <v>895</v>
      </c>
      <c r="F622" t="s">
        <v>899</v>
      </c>
      <c r="G622" t="s">
        <v>898</v>
      </c>
    </row>
    <row r="623" spans="1:7" x14ac:dyDescent="0.25">
      <c r="A623" t="s">
        <v>668</v>
      </c>
      <c r="B623">
        <v>125</v>
      </c>
      <c r="C623">
        <v>0</v>
      </c>
      <c r="D623">
        <v>3</v>
      </c>
      <c r="E623" t="s">
        <v>885</v>
      </c>
      <c r="F623" t="s">
        <v>905</v>
      </c>
      <c r="G623" t="s">
        <v>887</v>
      </c>
    </row>
    <row r="624" spans="1:7" x14ac:dyDescent="0.25">
      <c r="A624" t="s">
        <v>856</v>
      </c>
      <c r="B624">
        <v>299</v>
      </c>
      <c r="C624">
        <v>-8</v>
      </c>
      <c r="D624">
        <v>2</v>
      </c>
      <c r="E624" t="s">
        <v>895</v>
      </c>
      <c r="F624" t="s">
        <v>897</v>
      </c>
      <c r="G624" t="s">
        <v>887</v>
      </c>
    </row>
    <row r="625" spans="1:7" x14ac:dyDescent="0.25">
      <c r="A625" t="s">
        <v>669</v>
      </c>
      <c r="B625">
        <v>124</v>
      </c>
      <c r="C625">
        <v>54</v>
      </c>
      <c r="D625">
        <v>5</v>
      </c>
      <c r="E625" t="s">
        <v>895</v>
      </c>
      <c r="F625" t="s">
        <v>906</v>
      </c>
      <c r="G625" t="s">
        <v>887</v>
      </c>
    </row>
    <row r="626" spans="1:7" x14ac:dyDescent="0.25">
      <c r="A626" t="s">
        <v>116</v>
      </c>
      <c r="B626">
        <v>90</v>
      </c>
      <c r="C626">
        <v>17</v>
      </c>
      <c r="D626">
        <v>3</v>
      </c>
      <c r="E626" t="s">
        <v>895</v>
      </c>
      <c r="F626" t="s">
        <v>909</v>
      </c>
      <c r="G626" t="s">
        <v>887</v>
      </c>
    </row>
    <row r="627" spans="1:7" x14ac:dyDescent="0.25">
      <c r="A627" t="s">
        <v>112</v>
      </c>
      <c r="B627">
        <v>122</v>
      </c>
      <c r="C627">
        <v>11</v>
      </c>
      <c r="D627">
        <v>4</v>
      </c>
      <c r="E627" t="s">
        <v>895</v>
      </c>
      <c r="F627" t="s">
        <v>899</v>
      </c>
      <c r="G627" t="s">
        <v>887</v>
      </c>
    </row>
    <row r="628" spans="1:7" x14ac:dyDescent="0.25">
      <c r="A628" t="s">
        <v>671</v>
      </c>
      <c r="B628">
        <v>122</v>
      </c>
      <c r="C628">
        <v>-66</v>
      </c>
      <c r="D628">
        <v>9</v>
      </c>
      <c r="E628" t="s">
        <v>885</v>
      </c>
      <c r="F628" t="s">
        <v>905</v>
      </c>
      <c r="G628" t="s">
        <v>887</v>
      </c>
    </row>
    <row r="629" spans="1:7" x14ac:dyDescent="0.25">
      <c r="A629" t="s">
        <v>575</v>
      </c>
      <c r="B629">
        <v>90</v>
      </c>
      <c r="C629">
        <v>30</v>
      </c>
      <c r="D629">
        <v>2</v>
      </c>
      <c r="E629" t="s">
        <v>888</v>
      </c>
      <c r="F629" t="s">
        <v>889</v>
      </c>
      <c r="G629" t="s">
        <v>898</v>
      </c>
    </row>
    <row r="630" spans="1:7" x14ac:dyDescent="0.25">
      <c r="A630" t="s">
        <v>239</v>
      </c>
      <c r="B630">
        <v>182</v>
      </c>
      <c r="C630">
        <v>-11</v>
      </c>
      <c r="D630">
        <v>3</v>
      </c>
      <c r="E630" t="s">
        <v>888</v>
      </c>
      <c r="F630" t="s">
        <v>891</v>
      </c>
      <c r="G630" t="s">
        <v>893</v>
      </c>
    </row>
    <row r="631" spans="1:7" x14ac:dyDescent="0.25">
      <c r="A631" t="s">
        <v>675</v>
      </c>
      <c r="B631">
        <v>122</v>
      </c>
      <c r="C631">
        <v>59</v>
      </c>
      <c r="D631">
        <v>7</v>
      </c>
      <c r="E631" t="s">
        <v>888</v>
      </c>
      <c r="F631" t="s">
        <v>908</v>
      </c>
      <c r="G631" t="s">
        <v>887</v>
      </c>
    </row>
    <row r="632" spans="1:7" x14ac:dyDescent="0.25">
      <c r="A632" t="s">
        <v>678</v>
      </c>
      <c r="B632">
        <v>121</v>
      </c>
      <c r="C632">
        <v>19</v>
      </c>
      <c r="D632">
        <v>4</v>
      </c>
      <c r="E632" t="s">
        <v>895</v>
      </c>
      <c r="F632" t="s">
        <v>903</v>
      </c>
      <c r="G632" t="s">
        <v>887</v>
      </c>
    </row>
    <row r="633" spans="1:7" x14ac:dyDescent="0.25">
      <c r="A633" t="s">
        <v>350</v>
      </c>
      <c r="B633">
        <v>120</v>
      </c>
      <c r="C633">
        <v>1</v>
      </c>
      <c r="D633">
        <v>1</v>
      </c>
      <c r="E633" t="s">
        <v>888</v>
      </c>
      <c r="F633" t="s">
        <v>889</v>
      </c>
      <c r="G633" t="s">
        <v>887</v>
      </c>
    </row>
    <row r="634" spans="1:7" x14ac:dyDescent="0.25">
      <c r="A634" t="s">
        <v>284</v>
      </c>
      <c r="B634">
        <v>120</v>
      </c>
      <c r="C634">
        <v>23</v>
      </c>
      <c r="D634">
        <v>5</v>
      </c>
      <c r="E634" t="s">
        <v>895</v>
      </c>
      <c r="F634" t="s">
        <v>903</v>
      </c>
      <c r="G634" t="s">
        <v>887</v>
      </c>
    </row>
    <row r="635" spans="1:7" x14ac:dyDescent="0.25">
      <c r="A635" t="s">
        <v>16</v>
      </c>
      <c r="B635">
        <v>34</v>
      </c>
      <c r="C635">
        <v>-11</v>
      </c>
      <c r="D635">
        <v>5</v>
      </c>
      <c r="E635" t="s">
        <v>895</v>
      </c>
      <c r="F635" t="s">
        <v>906</v>
      </c>
      <c r="G635" t="s">
        <v>887</v>
      </c>
    </row>
    <row r="636" spans="1:7" x14ac:dyDescent="0.25">
      <c r="A636" t="s">
        <v>198</v>
      </c>
      <c r="B636">
        <v>117</v>
      </c>
      <c r="C636">
        <v>17</v>
      </c>
      <c r="D636">
        <v>6</v>
      </c>
      <c r="E636" t="s">
        <v>895</v>
      </c>
      <c r="F636" t="s">
        <v>900</v>
      </c>
      <c r="G636" t="s">
        <v>887</v>
      </c>
    </row>
    <row r="637" spans="1:7" x14ac:dyDescent="0.25">
      <c r="A637" t="s">
        <v>252</v>
      </c>
      <c r="B637">
        <v>38</v>
      </c>
      <c r="C637">
        <v>9</v>
      </c>
      <c r="D637">
        <v>2</v>
      </c>
      <c r="E637" t="s">
        <v>895</v>
      </c>
      <c r="F637" t="s">
        <v>903</v>
      </c>
      <c r="G637" t="s">
        <v>887</v>
      </c>
    </row>
    <row r="638" spans="1:7" x14ac:dyDescent="0.25">
      <c r="A638" t="s">
        <v>237</v>
      </c>
      <c r="B638">
        <v>117</v>
      </c>
      <c r="C638">
        <v>-6</v>
      </c>
      <c r="D638">
        <v>3</v>
      </c>
      <c r="E638" t="s">
        <v>885</v>
      </c>
      <c r="F638" t="s">
        <v>894</v>
      </c>
      <c r="G638" t="s">
        <v>887</v>
      </c>
    </row>
    <row r="639" spans="1:7" x14ac:dyDescent="0.25">
      <c r="A639" t="s">
        <v>579</v>
      </c>
      <c r="B639">
        <v>180</v>
      </c>
      <c r="C639">
        <v>54</v>
      </c>
      <c r="D639">
        <v>4</v>
      </c>
      <c r="E639" t="s">
        <v>895</v>
      </c>
      <c r="F639" t="s">
        <v>906</v>
      </c>
      <c r="G639" t="s">
        <v>893</v>
      </c>
    </row>
    <row r="640" spans="1:7" x14ac:dyDescent="0.25">
      <c r="A640" t="s">
        <v>385</v>
      </c>
      <c r="B640">
        <v>99</v>
      </c>
      <c r="C640">
        <v>-5</v>
      </c>
      <c r="D640">
        <v>1</v>
      </c>
      <c r="E640" t="s">
        <v>895</v>
      </c>
      <c r="F640" t="s">
        <v>897</v>
      </c>
      <c r="G640" t="s">
        <v>898</v>
      </c>
    </row>
    <row r="641" spans="1:7" x14ac:dyDescent="0.25">
      <c r="A641" t="s">
        <v>258</v>
      </c>
      <c r="B641">
        <v>172</v>
      </c>
      <c r="C641">
        <v>-103</v>
      </c>
      <c r="D641">
        <v>3</v>
      </c>
      <c r="E641" t="s">
        <v>888</v>
      </c>
      <c r="F641" t="s">
        <v>889</v>
      </c>
      <c r="G641" t="s">
        <v>890</v>
      </c>
    </row>
    <row r="642" spans="1:7" x14ac:dyDescent="0.25">
      <c r="A642" t="s">
        <v>134</v>
      </c>
      <c r="B642">
        <v>116</v>
      </c>
      <c r="C642">
        <v>16</v>
      </c>
      <c r="D642">
        <v>4</v>
      </c>
      <c r="E642" t="s">
        <v>895</v>
      </c>
      <c r="F642" t="s">
        <v>903</v>
      </c>
      <c r="G642" t="s">
        <v>887</v>
      </c>
    </row>
    <row r="643" spans="1:7" x14ac:dyDescent="0.25">
      <c r="A643" t="s">
        <v>237</v>
      </c>
      <c r="B643">
        <v>116</v>
      </c>
      <c r="C643">
        <v>-4</v>
      </c>
      <c r="D643">
        <v>1</v>
      </c>
      <c r="E643" t="s">
        <v>895</v>
      </c>
      <c r="F643" t="s">
        <v>897</v>
      </c>
      <c r="G643" t="s">
        <v>887</v>
      </c>
    </row>
    <row r="644" spans="1:7" x14ac:dyDescent="0.25">
      <c r="A644" t="s">
        <v>590</v>
      </c>
      <c r="B644">
        <v>171</v>
      </c>
      <c r="C644">
        <v>68</v>
      </c>
      <c r="D644">
        <v>7</v>
      </c>
      <c r="E644" t="s">
        <v>895</v>
      </c>
      <c r="F644" t="s">
        <v>903</v>
      </c>
      <c r="G644" t="s">
        <v>890</v>
      </c>
    </row>
    <row r="645" spans="1:7" x14ac:dyDescent="0.25">
      <c r="A645" t="s">
        <v>390</v>
      </c>
      <c r="B645">
        <v>46</v>
      </c>
      <c r="C645">
        <v>14</v>
      </c>
      <c r="D645">
        <v>5</v>
      </c>
      <c r="E645" t="s">
        <v>895</v>
      </c>
      <c r="F645" t="s">
        <v>901</v>
      </c>
      <c r="G645" t="s">
        <v>887</v>
      </c>
    </row>
    <row r="646" spans="1:7" x14ac:dyDescent="0.25">
      <c r="A646" t="s">
        <v>152</v>
      </c>
      <c r="B646">
        <v>115</v>
      </c>
      <c r="C646">
        <v>-39</v>
      </c>
      <c r="D646">
        <v>3</v>
      </c>
      <c r="E646" t="s">
        <v>895</v>
      </c>
      <c r="F646" t="s">
        <v>896</v>
      </c>
      <c r="G646" t="s">
        <v>887</v>
      </c>
    </row>
    <row r="647" spans="1:7" x14ac:dyDescent="0.25">
      <c r="A647" t="s">
        <v>714</v>
      </c>
      <c r="B647">
        <v>100</v>
      </c>
      <c r="C647">
        <v>7</v>
      </c>
      <c r="D647">
        <v>2</v>
      </c>
      <c r="E647" t="s">
        <v>895</v>
      </c>
      <c r="F647" t="s">
        <v>906</v>
      </c>
      <c r="G647" t="s">
        <v>898</v>
      </c>
    </row>
    <row r="648" spans="1:7" x14ac:dyDescent="0.25">
      <c r="A648" t="s">
        <v>7</v>
      </c>
      <c r="B648">
        <v>44</v>
      </c>
      <c r="C648">
        <v>8</v>
      </c>
      <c r="D648">
        <v>2</v>
      </c>
      <c r="E648" t="s">
        <v>895</v>
      </c>
      <c r="F648" t="s">
        <v>903</v>
      </c>
      <c r="G648" t="s">
        <v>887</v>
      </c>
    </row>
    <row r="649" spans="1:7" x14ac:dyDescent="0.25">
      <c r="A649" t="s">
        <v>650</v>
      </c>
      <c r="B649">
        <v>139</v>
      </c>
      <c r="C649">
        <v>14</v>
      </c>
      <c r="D649">
        <v>3</v>
      </c>
      <c r="E649" t="s">
        <v>895</v>
      </c>
      <c r="F649" t="s">
        <v>900</v>
      </c>
      <c r="G649" t="s">
        <v>887</v>
      </c>
    </row>
    <row r="650" spans="1:7" x14ac:dyDescent="0.25">
      <c r="A650" t="s">
        <v>589</v>
      </c>
      <c r="B650">
        <v>171</v>
      </c>
      <c r="C650">
        <v>-140</v>
      </c>
      <c r="D650">
        <v>2</v>
      </c>
      <c r="E650" t="s">
        <v>888</v>
      </c>
      <c r="F650" t="s">
        <v>891</v>
      </c>
      <c r="G650" t="s">
        <v>890</v>
      </c>
    </row>
    <row r="651" spans="1:7" x14ac:dyDescent="0.25">
      <c r="A651" t="s">
        <v>712</v>
      </c>
      <c r="B651">
        <v>100</v>
      </c>
      <c r="C651">
        <v>12</v>
      </c>
      <c r="D651">
        <v>2</v>
      </c>
      <c r="E651" t="s">
        <v>895</v>
      </c>
      <c r="F651" t="s">
        <v>906</v>
      </c>
      <c r="G651" t="s">
        <v>898</v>
      </c>
    </row>
    <row r="652" spans="1:7" x14ac:dyDescent="0.25">
      <c r="A652" t="s">
        <v>233</v>
      </c>
      <c r="B652">
        <v>115</v>
      </c>
      <c r="C652">
        <v>25</v>
      </c>
      <c r="D652">
        <v>6</v>
      </c>
      <c r="E652" t="s">
        <v>895</v>
      </c>
      <c r="F652" t="s">
        <v>903</v>
      </c>
      <c r="G652" t="s">
        <v>887</v>
      </c>
    </row>
    <row r="653" spans="1:7" x14ac:dyDescent="0.25">
      <c r="A653" t="s">
        <v>237</v>
      </c>
      <c r="B653">
        <v>168</v>
      </c>
      <c r="C653">
        <v>-9</v>
      </c>
      <c r="D653">
        <v>3</v>
      </c>
      <c r="E653" t="s">
        <v>895</v>
      </c>
      <c r="F653" t="s">
        <v>897</v>
      </c>
      <c r="G653" t="s">
        <v>887</v>
      </c>
    </row>
    <row r="654" spans="1:7" x14ac:dyDescent="0.25">
      <c r="A654" t="s">
        <v>690</v>
      </c>
      <c r="B654">
        <v>115</v>
      </c>
      <c r="C654">
        <v>47</v>
      </c>
      <c r="D654">
        <v>2</v>
      </c>
      <c r="E654" t="s">
        <v>885</v>
      </c>
      <c r="F654" t="s">
        <v>905</v>
      </c>
      <c r="G654" t="s">
        <v>887</v>
      </c>
    </row>
    <row r="655" spans="1:7" x14ac:dyDescent="0.25">
      <c r="A655" t="s">
        <v>32</v>
      </c>
      <c r="B655">
        <v>168</v>
      </c>
      <c r="C655">
        <v>-111</v>
      </c>
      <c r="D655">
        <v>2</v>
      </c>
      <c r="E655" t="s">
        <v>885</v>
      </c>
      <c r="F655" t="s">
        <v>894</v>
      </c>
      <c r="G655" t="s">
        <v>890</v>
      </c>
    </row>
    <row r="656" spans="1:7" x14ac:dyDescent="0.25">
      <c r="A656" t="s">
        <v>832</v>
      </c>
      <c r="B656">
        <v>31</v>
      </c>
      <c r="C656">
        <v>-7</v>
      </c>
      <c r="D656">
        <v>5</v>
      </c>
      <c r="E656" t="s">
        <v>895</v>
      </c>
      <c r="F656" t="s">
        <v>901</v>
      </c>
      <c r="G656" t="s">
        <v>898</v>
      </c>
    </row>
    <row r="657" spans="1:7" x14ac:dyDescent="0.25">
      <c r="A657" t="s">
        <v>68</v>
      </c>
      <c r="B657">
        <v>114</v>
      </c>
      <c r="C657">
        <v>41</v>
      </c>
      <c r="D657">
        <v>6</v>
      </c>
      <c r="E657" t="s">
        <v>888</v>
      </c>
      <c r="F657" t="s">
        <v>908</v>
      </c>
      <c r="G657" t="s">
        <v>887</v>
      </c>
    </row>
    <row r="658" spans="1:7" x14ac:dyDescent="0.25">
      <c r="A658" t="s">
        <v>286</v>
      </c>
      <c r="B658">
        <v>111</v>
      </c>
      <c r="C658">
        <v>9</v>
      </c>
      <c r="D658">
        <v>4</v>
      </c>
      <c r="E658" t="s">
        <v>895</v>
      </c>
      <c r="F658" t="s">
        <v>903</v>
      </c>
      <c r="G658" t="s">
        <v>887</v>
      </c>
    </row>
    <row r="659" spans="1:7" x14ac:dyDescent="0.25">
      <c r="A659" t="s">
        <v>875</v>
      </c>
      <c r="B659">
        <v>11</v>
      </c>
      <c r="C659">
        <v>-8</v>
      </c>
      <c r="D659">
        <v>2</v>
      </c>
      <c r="E659" t="s">
        <v>895</v>
      </c>
      <c r="F659" t="s">
        <v>901</v>
      </c>
      <c r="G659" t="s">
        <v>898</v>
      </c>
    </row>
    <row r="660" spans="1:7" x14ac:dyDescent="0.25">
      <c r="A660" t="s">
        <v>450</v>
      </c>
      <c r="B660">
        <v>110</v>
      </c>
      <c r="C660">
        <v>35</v>
      </c>
      <c r="D660">
        <v>1</v>
      </c>
      <c r="E660" t="s">
        <v>888</v>
      </c>
      <c r="F660" t="s">
        <v>908</v>
      </c>
      <c r="G660" t="s">
        <v>887</v>
      </c>
    </row>
    <row r="661" spans="1:7" x14ac:dyDescent="0.25">
      <c r="A661" t="s">
        <v>390</v>
      </c>
      <c r="B661">
        <v>59</v>
      </c>
      <c r="C661">
        <v>15</v>
      </c>
      <c r="D661">
        <v>2</v>
      </c>
      <c r="E661" t="s">
        <v>895</v>
      </c>
      <c r="F661" t="s">
        <v>906</v>
      </c>
      <c r="G661" t="s">
        <v>898</v>
      </c>
    </row>
    <row r="662" spans="1:7" x14ac:dyDescent="0.25">
      <c r="A662" t="s">
        <v>395</v>
      </c>
      <c r="B662">
        <v>166</v>
      </c>
      <c r="C662">
        <v>27</v>
      </c>
      <c r="D662">
        <v>2</v>
      </c>
      <c r="E662" t="s">
        <v>885</v>
      </c>
      <c r="F662" t="s">
        <v>905</v>
      </c>
      <c r="G662" t="s">
        <v>890</v>
      </c>
    </row>
    <row r="663" spans="1:7" x14ac:dyDescent="0.25">
      <c r="A663" t="s">
        <v>114</v>
      </c>
      <c r="B663">
        <v>109</v>
      </c>
      <c r="C663">
        <v>-6</v>
      </c>
      <c r="D663">
        <v>6</v>
      </c>
      <c r="E663" t="s">
        <v>895</v>
      </c>
      <c r="F663" t="s">
        <v>897</v>
      </c>
      <c r="G663" t="s">
        <v>887</v>
      </c>
    </row>
    <row r="664" spans="1:7" x14ac:dyDescent="0.25">
      <c r="A664" t="s">
        <v>553</v>
      </c>
      <c r="B664">
        <v>34</v>
      </c>
      <c r="C664">
        <v>-6</v>
      </c>
      <c r="D664">
        <v>4</v>
      </c>
      <c r="E664" t="s">
        <v>895</v>
      </c>
      <c r="F664" t="s">
        <v>904</v>
      </c>
      <c r="G664" t="s">
        <v>887</v>
      </c>
    </row>
    <row r="665" spans="1:7" x14ac:dyDescent="0.25">
      <c r="A665" t="s">
        <v>269</v>
      </c>
      <c r="B665">
        <v>109</v>
      </c>
      <c r="C665">
        <v>40</v>
      </c>
      <c r="D665">
        <v>1</v>
      </c>
      <c r="E665" t="s">
        <v>888</v>
      </c>
      <c r="F665" t="s">
        <v>908</v>
      </c>
      <c r="G665" t="s">
        <v>887</v>
      </c>
    </row>
    <row r="666" spans="1:7" x14ac:dyDescent="0.25">
      <c r="A666" t="s">
        <v>87</v>
      </c>
      <c r="B666">
        <v>108</v>
      </c>
      <c r="C666">
        <v>22</v>
      </c>
      <c r="D666">
        <v>3</v>
      </c>
      <c r="E666" t="s">
        <v>885</v>
      </c>
      <c r="F666" t="s">
        <v>905</v>
      </c>
      <c r="G666" t="s">
        <v>887</v>
      </c>
    </row>
    <row r="667" spans="1:7" x14ac:dyDescent="0.25">
      <c r="A667" t="s">
        <v>48</v>
      </c>
      <c r="B667">
        <v>103</v>
      </c>
      <c r="C667">
        <v>50</v>
      </c>
      <c r="D667">
        <v>2</v>
      </c>
      <c r="E667" t="s">
        <v>888</v>
      </c>
      <c r="F667" t="s">
        <v>908</v>
      </c>
      <c r="G667" t="s">
        <v>898</v>
      </c>
    </row>
    <row r="668" spans="1:7" x14ac:dyDescent="0.25">
      <c r="A668" t="s">
        <v>720</v>
      </c>
      <c r="B668">
        <v>10</v>
      </c>
      <c r="C668">
        <v>-8</v>
      </c>
      <c r="D668">
        <v>2</v>
      </c>
      <c r="E668" t="s">
        <v>895</v>
      </c>
      <c r="F668" t="s">
        <v>901</v>
      </c>
      <c r="G668" t="s">
        <v>887</v>
      </c>
    </row>
    <row r="669" spans="1:7" x14ac:dyDescent="0.25">
      <c r="A669" t="s">
        <v>142</v>
      </c>
      <c r="B669">
        <v>90</v>
      </c>
      <c r="C669">
        <v>17</v>
      </c>
      <c r="D669">
        <v>3</v>
      </c>
      <c r="E669" t="s">
        <v>895</v>
      </c>
      <c r="F669" t="s">
        <v>899</v>
      </c>
      <c r="G669" t="s">
        <v>887</v>
      </c>
    </row>
    <row r="670" spans="1:7" x14ac:dyDescent="0.25">
      <c r="A670" t="s">
        <v>414</v>
      </c>
      <c r="B670">
        <v>105</v>
      </c>
      <c r="C670">
        <v>46</v>
      </c>
      <c r="D670">
        <v>2</v>
      </c>
      <c r="E670" t="s">
        <v>895</v>
      </c>
      <c r="F670" t="s">
        <v>903</v>
      </c>
      <c r="G670" t="s">
        <v>898</v>
      </c>
    </row>
    <row r="671" spans="1:7" x14ac:dyDescent="0.25">
      <c r="A671" t="s">
        <v>606</v>
      </c>
      <c r="B671">
        <v>105</v>
      </c>
      <c r="C671">
        <v>20</v>
      </c>
      <c r="D671">
        <v>2</v>
      </c>
      <c r="E671" t="s">
        <v>895</v>
      </c>
      <c r="F671" t="s">
        <v>903</v>
      </c>
      <c r="G671" t="s">
        <v>907</v>
      </c>
    </row>
    <row r="672" spans="1:7" x14ac:dyDescent="0.25">
      <c r="A672" t="s">
        <v>849</v>
      </c>
      <c r="B672">
        <v>22</v>
      </c>
      <c r="C672">
        <v>-6</v>
      </c>
      <c r="D672">
        <v>1</v>
      </c>
      <c r="E672" t="s">
        <v>888</v>
      </c>
      <c r="F672" t="s">
        <v>908</v>
      </c>
      <c r="G672" t="s">
        <v>887</v>
      </c>
    </row>
    <row r="673" spans="1:7" x14ac:dyDescent="0.25">
      <c r="A673" t="s">
        <v>244</v>
      </c>
      <c r="B673">
        <v>105</v>
      </c>
      <c r="C673">
        <v>-33</v>
      </c>
      <c r="D673">
        <v>5</v>
      </c>
      <c r="E673" t="s">
        <v>895</v>
      </c>
      <c r="F673" t="s">
        <v>900</v>
      </c>
      <c r="G673" t="s">
        <v>887</v>
      </c>
    </row>
    <row r="674" spans="1:7" x14ac:dyDescent="0.25">
      <c r="A674" t="s">
        <v>455</v>
      </c>
      <c r="B674">
        <v>105</v>
      </c>
      <c r="C674">
        <v>25</v>
      </c>
      <c r="D674">
        <v>2</v>
      </c>
      <c r="E674" t="s">
        <v>895</v>
      </c>
      <c r="F674" t="s">
        <v>899</v>
      </c>
      <c r="G674" t="s">
        <v>890</v>
      </c>
    </row>
    <row r="675" spans="1:7" x14ac:dyDescent="0.25">
      <c r="A675" t="s">
        <v>333</v>
      </c>
      <c r="B675">
        <v>25</v>
      </c>
      <c r="C675">
        <v>-7</v>
      </c>
      <c r="D675">
        <v>5</v>
      </c>
      <c r="E675" t="s">
        <v>895</v>
      </c>
      <c r="F675" t="s">
        <v>897</v>
      </c>
      <c r="G675" t="s">
        <v>898</v>
      </c>
    </row>
    <row r="676" spans="1:7" x14ac:dyDescent="0.25">
      <c r="A676" t="s">
        <v>48</v>
      </c>
      <c r="B676">
        <v>104</v>
      </c>
      <c r="C676">
        <v>2</v>
      </c>
      <c r="D676">
        <v>2</v>
      </c>
      <c r="E676" t="s">
        <v>888</v>
      </c>
      <c r="F676" t="s">
        <v>908</v>
      </c>
      <c r="G676" t="s">
        <v>887</v>
      </c>
    </row>
    <row r="677" spans="1:7" x14ac:dyDescent="0.25">
      <c r="A677" t="s">
        <v>867</v>
      </c>
      <c r="B677">
        <v>16</v>
      </c>
      <c r="C677">
        <v>5</v>
      </c>
      <c r="D677">
        <v>1</v>
      </c>
      <c r="E677" t="s">
        <v>895</v>
      </c>
      <c r="F677" t="s">
        <v>903</v>
      </c>
      <c r="G677" t="s">
        <v>898</v>
      </c>
    </row>
    <row r="678" spans="1:7" x14ac:dyDescent="0.25">
      <c r="A678" t="s">
        <v>478</v>
      </c>
      <c r="B678">
        <v>64</v>
      </c>
      <c r="C678">
        <v>-7</v>
      </c>
      <c r="D678">
        <v>3</v>
      </c>
      <c r="E678" t="s">
        <v>895</v>
      </c>
      <c r="F678" t="s">
        <v>897</v>
      </c>
      <c r="G678" t="s">
        <v>887</v>
      </c>
    </row>
    <row r="679" spans="1:7" x14ac:dyDescent="0.25">
      <c r="A679" t="s">
        <v>817</v>
      </c>
      <c r="B679">
        <v>38</v>
      </c>
      <c r="C679">
        <v>-6</v>
      </c>
      <c r="D679">
        <v>2</v>
      </c>
      <c r="E679" t="s">
        <v>888</v>
      </c>
      <c r="F679" t="s">
        <v>908</v>
      </c>
      <c r="G679" t="s">
        <v>898</v>
      </c>
    </row>
    <row r="680" spans="1:7" x14ac:dyDescent="0.25">
      <c r="A680" t="s">
        <v>242</v>
      </c>
      <c r="B680">
        <v>83</v>
      </c>
      <c r="C680">
        <v>12</v>
      </c>
      <c r="D680">
        <v>2</v>
      </c>
      <c r="E680" t="s">
        <v>888</v>
      </c>
      <c r="F680" t="s">
        <v>889</v>
      </c>
      <c r="G680" t="s">
        <v>887</v>
      </c>
    </row>
    <row r="681" spans="1:7" x14ac:dyDescent="0.25">
      <c r="A681" t="s">
        <v>507</v>
      </c>
      <c r="B681">
        <v>103</v>
      </c>
      <c r="C681">
        <v>36</v>
      </c>
      <c r="D681">
        <v>2</v>
      </c>
      <c r="E681" t="s">
        <v>895</v>
      </c>
      <c r="F681" t="s">
        <v>899</v>
      </c>
      <c r="G681" t="s">
        <v>887</v>
      </c>
    </row>
    <row r="682" spans="1:7" x14ac:dyDescent="0.25">
      <c r="A682" t="s">
        <v>337</v>
      </c>
      <c r="B682">
        <v>37</v>
      </c>
      <c r="C682">
        <v>-6</v>
      </c>
      <c r="D682">
        <v>1</v>
      </c>
      <c r="E682" t="s">
        <v>895</v>
      </c>
      <c r="F682" t="s">
        <v>897</v>
      </c>
      <c r="G682" t="s">
        <v>898</v>
      </c>
    </row>
    <row r="683" spans="1:7" x14ac:dyDescent="0.25">
      <c r="A683" t="s">
        <v>701</v>
      </c>
      <c r="B683">
        <v>105</v>
      </c>
      <c r="C683">
        <v>33</v>
      </c>
      <c r="D683">
        <v>6</v>
      </c>
      <c r="E683" t="s">
        <v>895</v>
      </c>
      <c r="F683" t="s">
        <v>897</v>
      </c>
      <c r="G683" t="s">
        <v>890</v>
      </c>
    </row>
    <row r="684" spans="1:7" x14ac:dyDescent="0.25">
      <c r="A684" t="s">
        <v>367</v>
      </c>
      <c r="B684">
        <v>78</v>
      </c>
      <c r="C684">
        <v>-6</v>
      </c>
      <c r="D684">
        <v>2</v>
      </c>
      <c r="E684" t="s">
        <v>888</v>
      </c>
      <c r="F684" t="s">
        <v>908</v>
      </c>
      <c r="G684" t="s">
        <v>898</v>
      </c>
    </row>
    <row r="685" spans="1:7" x14ac:dyDescent="0.25">
      <c r="A685" t="s">
        <v>46</v>
      </c>
      <c r="B685">
        <v>102</v>
      </c>
      <c r="C685">
        <v>-90</v>
      </c>
      <c r="D685">
        <v>1</v>
      </c>
      <c r="E685" t="s">
        <v>895</v>
      </c>
      <c r="F685" t="s">
        <v>897</v>
      </c>
      <c r="G685" t="s">
        <v>887</v>
      </c>
    </row>
    <row r="686" spans="1:7" x14ac:dyDescent="0.25">
      <c r="A686" t="s">
        <v>705</v>
      </c>
      <c r="B686">
        <v>102</v>
      </c>
      <c r="C686">
        <v>11</v>
      </c>
      <c r="D686">
        <v>6</v>
      </c>
      <c r="E686" t="s">
        <v>895</v>
      </c>
      <c r="F686" t="s">
        <v>906</v>
      </c>
      <c r="G686" t="s">
        <v>887</v>
      </c>
    </row>
    <row r="687" spans="1:7" x14ac:dyDescent="0.25">
      <c r="A687" t="s">
        <v>373</v>
      </c>
      <c r="B687">
        <v>10</v>
      </c>
      <c r="C687">
        <v>-8</v>
      </c>
      <c r="D687">
        <v>1</v>
      </c>
      <c r="E687" t="s">
        <v>895</v>
      </c>
      <c r="F687" t="s">
        <v>900</v>
      </c>
      <c r="G687" t="s">
        <v>898</v>
      </c>
    </row>
    <row r="688" spans="1:7" x14ac:dyDescent="0.25">
      <c r="A688" t="s">
        <v>124</v>
      </c>
      <c r="B688">
        <v>101</v>
      </c>
      <c r="C688">
        <v>18</v>
      </c>
      <c r="D688">
        <v>9</v>
      </c>
      <c r="E688" t="s">
        <v>895</v>
      </c>
      <c r="F688" t="s">
        <v>901</v>
      </c>
      <c r="G688" t="s">
        <v>887</v>
      </c>
    </row>
    <row r="689" spans="1:7" x14ac:dyDescent="0.25">
      <c r="A689" t="s">
        <v>810</v>
      </c>
      <c r="B689">
        <v>42</v>
      </c>
      <c r="C689">
        <v>-6</v>
      </c>
      <c r="D689">
        <v>4</v>
      </c>
      <c r="E689" t="s">
        <v>895</v>
      </c>
      <c r="F689" t="s">
        <v>897</v>
      </c>
      <c r="G689" t="s">
        <v>898</v>
      </c>
    </row>
    <row r="690" spans="1:7" x14ac:dyDescent="0.25">
      <c r="A690" t="s">
        <v>544</v>
      </c>
      <c r="B690">
        <v>56</v>
      </c>
      <c r="C690">
        <v>18</v>
      </c>
      <c r="D690">
        <v>2</v>
      </c>
      <c r="E690" t="s">
        <v>895</v>
      </c>
      <c r="F690" t="s">
        <v>899</v>
      </c>
      <c r="G690" t="s">
        <v>898</v>
      </c>
    </row>
    <row r="691" spans="1:7" x14ac:dyDescent="0.25">
      <c r="A691" t="s">
        <v>333</v>
      </c>
      <c r="B691">
        <v>95</v>
      </c>
      <c r="C691">
        <v>5</v>
      </c>
      <c r="D691">
        <v>2</v>
      </c>
      <c r="E691" t="s">
        <v>895</v>
      </c>
      <c r="F691" t="s">
        <v>903</v>
      </c>
      <c r="G691" t="s">
        <v>887</v>
      </c>
    </row>
    <row r="692" spans="1:7" x14ac:dyDescent="0.25">
      <c r="A692" t="s">
        <v>604</v>
      </c>
      <c r="B692">
        <v>159</v>
      </c>
      <c r="C692">
        <v>2</v>
      </c>
      <c r="D692">
        <v>3</v>
      </c>
      <c r="E692" t="s">
        <v>888</v>
      </c>
      <c r="F692" t="s">
        <v>908</v>
      </c>
      <c r="G692" t="s">
        <v>890</v>
      </c>
    </row>
    <row r="693" spans="1:7" x14ac:dyDescent="0.25">
      <c r="A693" t="s">
        <v>606</v>
      </c>
      <c r="B693">
        <v>158</v>
      </c>
      <c r="C693">
        <v>69</v>
      </c>
      <c r="D693">
        <v>3</v>
      </c>
      <c r="E693" t="s">
        <v>895</v>
      </c>
      <c r="F693" t="s">
        <v>903</v>
      </c>
      <c r="G693" t="s">
        <v>890</v>
      </c>
    </row>
    <row r="694" spans="1:7" x14ac:dyDescent="0.25">
      <c r="A694" t="s">
        <v>373</v>
      </c>
      <c r="B694">
        <v>106</v>
      </c>
      <c r="C694">
        <v>0</v>
      </c>
      <c r="D694">
        <v>2</v>
      </c>
      <c r="E694" t="s">
        <v>885</v>
      </c>
      <c r="F694" t="s">
        <v>894</v>
      </c>
      <c r="G694" t="s">
        <v>890</v>
      </c>
    </row>
    <row r="695" spans="1:7" x14ac:dyDescent="0.25">
      <c r="A695" t="s">
        <v>267</v>
      </c>
      <c r="B695">
        <v>101</v>
      </c>
      <c r="C695">
        <v>16</v>
      </c>
      <c r="D695">
        <v>4</v>
      </c>
      <c r="E695" t="s">
        <v>895</v>
      </c>
      <c r="F695" t="s">
        <v>906</v>
      </c>
      <c r="G695" t="s">
        <v>887</v>
      </c>
    </row>
    <row r="696" spans="1:7" x14ac:dyDescent="0.25">
      <c r="A696" t="s">
        <v>387</v>
      </c>
      <c r="B696">
        <v>107</v>
      </c>
      <c r="C696">
        <v>37</v>
      </c>
      <c r="D696">
        <v>3</v>
      </c>
      <c r="E696" t="s">
        <v>895</v>
      </c>
      <c r="F696" t="s">
        <v>909</v>
      </c>
      <c r="G696" t="s">
        <v>887</v>
      </c>
    </row>
    <row r="697" spans="1:7" x14ac:dyDescent="0.25">
      <c r="A697" t="s">
        <v>484</v>
      </c>
      <c r="B697">
        <v>156</v>
      </c>
      <c r="C697">
        <v>36</v>
      </c>
      <c r="D697">
        <v>5</v>
      </c>
      <c r="E697" t="s">
        <v>895</v>
      </c>
      <c r="F697" t="s">
        <v>906</v>
      </c>
      <c r="G697" t="s">
        <v>890</v>
      </c>
    </row>
    <row r="698" spans="1:7" x14ac:dyDescent="0.25">
      <c r="A698" t="s">
        <v>698</v>
      </c>
      <c r="B698">
        <v>108</v>
      </c>
      <c r="C698">
        <v>-19</v>
      </c>
      <c r="D698">
        <v>3</v>
      </c>
      <c r="E698" t="s">
        <v>885</v>
      </c>
      <c r="F698" t="s">
        <v>886</v>
      </c>
      <c r="G698" t="s">
        <v>898</v>
      </c>
    </row>
    <row r="699" spans="1:7" x14ac:dyDescent="0.25">
      <c r="A699" t="s">
        <v>197</v>
      </c>
      <c r="B699">
        <v>107</v>
      </c>
      <c r="C699">
        <v>-54</v>
      </c>
      <c r="D699">
        <v>4</v>
      </c>
      <c r="E699" t="s">
        <v>895</v>
      </c>
      <c r="F699" t="s">
        <v>903</v>
      </c>
      <c r="G699" t="s">
        <v>890</v>
      </c>
    </row>
    <row r="700" spans="1:7" x14ac:dyDescent="0.25">
      <c r="A700" t="s">
        <v>709</v>
      </c>
      <c r="B700">
        <v>100</v>
      </c>
      <c r="C700">
        <v>-58</v>
      </c>
      <c r="D700">
        <v>4</v>
      </c>
      <c r="E700" t="s">
        <v>895</v>
      </c>
      <c r="F700" t="s">
        <v>899</v>
      </c>
      <c r="G700" t="s">
        <v>887</v>
      </c>
    </row>
    <row r="701" spans="1:7" x14ac:dyDescent="0.25">
      <c r="A701" t="s">
        <v>560</v>
      </c>
      <c r="B701">
        <v>108</v>
      </c>
      <c r="C701">
        <v>26</v>
      </c>
      <c r="D701">
        <v>4</v>
      </c>
      <c r="E701" t="s">
        <v>895</v>
      </c>
      <c r="F701" t="s">
        <v>909</v>
      </c>
      <c r="G701" t="s">
        <v>898</v>
      </c>
    </row>
    <row r="702" spans="1:7" x14ac:dyDescent="0.25">
      <c r="A702" t="s">
        <v>710</v>
      </c>
      <c r="B702">
        <v>100</v>
      </c>
      <c r="C702">
        <v>6</v>
      </c>
      <c r="D702">
        <v>4</v>
      </c>
      <c r="E702" t="s">
        <v>895</v>
      </c>
      <c r="F702" t="s">
        <v>903</v>
      </c>
      <c r="G702" t="s">
        <v>887</v>
      </c>
    </row>
    <row r="703" spans="1:7" x14ac:dyDescent="0.25">
      <c r="A703" t="s">
        <v>659</v>
      </c>
      <c r="B703">
        <v>100</v>
      </c>
      <c r="C703">
        <v>-23</v>
      </c>
      <c r="D703">
        <v>1</v>
      </c>
      <c r="E703" t="s">
        <v>885</v>
      </c>
      <c r="F703" t="s">
        <v>894</v>
      </c>
      <c r="G703" t="s">
        <v>887</v>
      </c>
    </row>
    <row r="704" spans="1:7" x14ac:dyDescent="0.25">
      <c r="A704" t="s">
        <v>279</v>
      </c>
      <c r="B704">
        <v>43</v>
      </c>
      <c r="C704">
        <v>17</v>
      </c>
      <c r="D704">
        <v>2</v>
      </c>
      <c r="E704" t="s">
        <v>895</v>
      </c>
      <c r="F704" t="s">
        <v>906</v>
      </c>
      <c r="G704" t="s">
        <v>898</v>
      </c>
    </row>
    <row r="705" spans="1:7" x14ac:dyDescent="0.25">
      <c r="A705" t="s">
        <v>612</v>
      </c>
      <c r="B705">
        <v>155</v>
      </c>
      <c r="C705">
        <v>26</v>
      </c>
      <c r="D705">
        <v>3</v>
      </c>
      <c r="E705" t="s">
        <v>895</v>
      </c>
      <c r="F705" t="s">
        <v>903</v>
      </c>
      <c r="G705" t="s">
        <v>890</v>
      </c>
    </row>
    <row r="706" spans="1:7" x14ac:dyDescent="0.25">
      <c r="A706" t="s">
        <v>623</v>
      </c>
      <c r="B706">
        <v>151</v>
      </c>
      <c r="C706">
        <v>9</v>
      </c>
      <c r="D706">
        <v>3</v>
      </c>
      <c r="E706" t="s">
        <v>895</v>
      </c>
      <c r="F706" t="s">
        <v>899</v>
      </c>
      <c r="G706" t="s">
        <v>890</v>
      </c>
    </row>
    <row r="707" spans="1:7" x14ac:dyDescent="0.25">
      <c r="A707" t="s">
        <v>348</v>
      </c>
      <c r="B707">
        <v>151</v>
      </c>
      <c r="C707">
        <v>29</v>
      </c>
      <c r="D707">
        <v>5</v>
      </c>
      <c r="E707" t="s">
        <v>895</v>
      </c>
      <c r="F707" t="s">
        <v>899</v>
      </c>
      <c r="G707" t="s">
        <v>890</v>
      </c>
    </row>
    <row r="708" spans="1:7" x14ac:dyDescent="0.25">
      <c r="A708" t="s">
        <v>434</v>
      </c>
      <c r="B708">
        <v>110</v>
      </c>
      <c r="C708">
        <v>-68</v>
      </c>
      <c r="D708">
        <v>4</v>
      </c>
      <c r="E708" t="s">
        <v>895</v>
      </c>
      <c r="F708" t="s">
        <v>897</v>
      </c>
      <c r="G708" t="s">
        <v>890</v>
      </c>
    </row>
    <row r="709" spans="1:7" x14ac:dyDescent="0.25">
      <c r="A709" t="s">
        <v>16</v>
      </c>
      <c r="B709">
        <v>98</v>
      </c>
      <c r="C709">
        <v>9</v>
      </c>
      <c r="D709">
        <v>2</v>
      </c>
      <c r="E709" t="s">
        <v>888</v>
      </c>
      <c r="F709" t="s">
        <v>908</v>
      </c>
      <c r="G709" t="s">
        <v>887</v>
      </c>
    </row>
    <row r="710" spans="1:7" x14ac:dyDescent="0.25">
      <c r="A710" t="s">
        <v>434</v>
      </c>
      <c r="B710">
        <v>97</v>
      </c>
      <c r="C710">
        <v>-62</v>
      </c>
      <c r="D710">
        <v>2</v>
      </c>
      <c r="E710" t="s">
        <v>895</v>
      </c>
      <c r="F710" t="s">
        <v>896</v>
      </c>
      <c r="G710" t="s">
        <v>887</v>
      </c>
    </row>
    <row r="711" spans="1:7" x14ac:dyDescent="0.25">
      <c r="A711" t="s">
        <v>265</v>
      </c>
      <c r="B711">
        <v>111</v>
      </c>
      <c r="C711">
        <v>35</v>
      </c>
      <c r="D711">
        <v>5</v>
      </c>
      <c r="E711" t="s">
        <v>895</v>
      </c>
      <c r="F711" t="s">
        <v>909</v>
      </c>
      <c r="G711" t="s">
        <v>887</v>
      </c>
    </row>
    <row r="712" spans="1:7" x14ac:dyDescent="0.25">
      <c r="A712" t="s">
        <v>638</v>
      </c>
      <c r="B712">
        <v>45</v>
      </c>
      <c r="C712">
        <v>17</v>
      </c>
      <c r="D712">
        <v>1</v>
      </c>
      <c r="E712" t="s">
        <v>885</v>
      </c>
      <c r="F712" t="s">
        <v>905</v>
      </c>
      <c r="G712" t="s">
        <v>887</v>
      </c>
    </row>
    <row r="713" spans="1:7" x14ac:dyDescent="0.25">
      <c r="A713" t="s">
        <v>692</v>
      </c>
      <c r="B713">
        <v>112</v>
      </c>
      <c r="C713">
        <v>15</v>
      </c>
      <c r="D713">
        <v>2</v>
      </c>
      <c r="E713" t="s">
        <v>888</v>
      </c>
      <c r="F713" t="s">
        <v>889</v>
      </c>
      <c r="G713" t="s">
        <v>887</v>
      </c>
    </row>
    <row r="714" spans="1:7" x14ac:dyDescent="0.25">
      <c r="A714" t="s">
        <v>23</v>
      </c>
      <c r="B714">
        <v>110</v>
      </c>
      <c r="C714">
        <v>20</v>
      </c>
      <c r="D714">
        <v>5</v>
      </c>
      <c r="E714" t="s">
        <v>895</v>
      </c>
      <c r="F714" t="s">
        <v>903</v>
      </c>
      <c r="G714" t="s">
        <v>907</v>
      </c>
    </row>
    <row r="715" spans="1:7" x14ac:dyDescent="0.25">
      <c r="A715" t="s">
        <v>144</v>
      </c>
      <c r="B715">
        <v>98</v>
      </c>
      <c r="C715">
        <v>-5</v>
      </c>
      <c r="D715">
        <v>2</v>
      </c>
      <c r="E715" t="s">
        <v>895</v>
      </c>
      <c r="F715" t="s">
        <v>897</v>
      </c>
      <c r="G715" t="s">
        <v>898</v>
      </c>
    </row>
    <row r="716" spans="1:7" x14ac:dyDescent="0.25">
      <c r="A716" t="s">
        <v>96</v>
      </c>
      <c r="B716">
        <v>110</v>
      </c>
      <c r="C716">
        <v>12</v>
      </c>
      <c r="D716">
        <v>7</v>
      </c>
      <c r="E716" t="s">
        <v>895</v>
      </c>
      <c r="F716" t="s">
        <v>903</v>
      </c>
      <c r="G716" t="s">
        <v>907</v>
      </c>
    </row>
    <row r="717" spans="1:7" x14ac:dyDescent="0.25">
      <c r="A717" t="s">
        <v>50</v>
      </c>
      <c r="B717">
        <v>95</v>
      </c>
      <c r="C717">
        <v>11</v>
      </c>
      <c r="D717">
        <v>4</v>
      </c>
      <c r="E717" t="s">
        <v>888</v>
      </c>
      <c r="F717" t="s">
        <v>908</v>
      </c>
      <c r="G717" t="s">
        <v>887</v>
      </c>
    </row>
    <row r="718" spans="1:7" x14ac:dyDescent="0.25">
      <c r="A718" t="s">
        <v>174</v>
      </c>
      <c r="B718">
        <v>1228</v>
      </c>
      <c r="C718">
        <v>14</v>
      </c>
      <c r="D718">
        <v>3</v>
      </c>
      <c r="E718" t="s">
        <v>888</v>
      </c>
      <c r="F718" t="s">
        <v>889</v>
      </c>
      <c r="G718" t="s">
        <v>898</v>
      </c>
    </row>
    <row r="719" spans="1:7" x14ac:dyDescent="0.25">
      <c r="A719" t="s">
        <v>192</v>
      </c>
      <c r="B719">
        <v>29</v>
      </c>
      <c r="C719">
        <v>0</v>
      </c>
      <c r="D719">
        <v>3</v>
      </c>
      <c r="E719" t="s">
        <v>888</v>
      </c>
      <c r="F719" t="s">
        <v>908</v>
      </c>
      <c r="G719" t="s">
        <v>887</v>
      </c>
    </row>
    <row r="720" spans="1:7" x14ac:dyDescent="0.25">
      <c r="A720" t="s">
        <v>3</v>
      </c>
      <c r="B720">
        <v>94</v>
      </c>
      <c r="C720">
        <v>27</v>
      </c>
      <c r="D720">
        <v>2</v>
      </c>
      <c r="E720" t="s">
        <v>895</v>
      </c>
      <c r="F720" t="s">
        <v>906</v>
      </c>
      <c r="G720" t="s">
        <v>887</v>
      </c>
    </row>
    <row r="721" spans="1:7" x14ac:dyDescent="0.25">
      <c r="A721" t="s">
        <v>140</v>
      </c>
      <c r="B721">
        <v>115</v>
      </c>
      <c r="C721">
        <v>25</v>
      </c>
      <c r="D721">
        <v>1</v>
      </c>
      <c r="E721" t="s">
        <v>885</v>
      </c>
      <c r="F721" t="s">
        <v>905</v>
      </c>
      <c r="G721" t="s">
        <v>887</v>
      </c>
    </row>
    <row r="722" spans="1:7" x14ac:dyDescent="0.25">
      <c r="A722" t="s">
        <v>308</v>
      </c>
      <c r="B722">
        <v>149</v>
      </c>
      <c r="C722">
        <v>15</v>
      </c>
      <c r="D722">
        <v>3</v>
      </c>
      <c r="E722" t="s">
        <v>895</v>
      </c>
      <c r="F722" t="s">
        <v>897</v>
      </c>
      <c r="G722" t="s">
        <v>890</v>
      </c>
    </row>
    <row r="723" spans="1:7" x14ac:dyDescent="0.25">
      <c r="A723" t="s">
        <v>267</v>
      </c>
      <c r="B723">
        <v>148</v>
      </c>
      <c r="C723">
        <v>23</v>
      </c>
      <c r="D723">
        <v>4</v>
      </c>
      <c r="E723" t="s">
        <v>895</v>
      </c>
      <c r="F723" t="s">
        <v>900</v>
      </c>
      <c r="G723" t="s">
        <v>890</v>
      </c>
    </row>
    <row r="724" spans="1:7" x14ac:dyDescent="0.25">
      <c r="A724" t="s">
        <v>57</v>
      </c>
      <c r="B724">
        <v>93</v>
      </c>
      <c r="C724">
        <v>15</v>
      </c>
      <c r="D724">
        <v>2</v>
      </c>
      <c r="E724" t="s">
        <v>885</v>
      </c>
      <c r="F724" t="s">
        <v>905</v>
      </c>
      <c r="G724" t="s">
        <v>887</v>
      </c>
    </row>
    <row r="725" spans="1:7" x14ac:dyDescent="0.25">
      <c r="A725" t="s">
        <v>252</v>
      </c>
      <c r="B725">
        <v>113</v>
      </c>
      <c r="C725">
        <v>24</v>
      </c>
      <c r="D725">
        <v>4</v>
      </c>
      <c r="E725" t="s">
        <v>895</v>
      </c>
      <c r="F725" t="s">
        <v>899</v>
      </c>
      <c r="G725" t="s">
        <v>907</v>
      </c>
    </row>
    <row r="726" spans="1:7" x14ac:dyDescent="0.25">
      <c r="A726" t="s">
        <v>246</v>
      </c>
      <c r="B726">
        <v>48</v>
      </c>
      <c r="C726">
        <v>2</v>
      </c>
      <c r="D726">
        <v>3</v>
      </c>
      <c r="E726" t="s">
        <v>895</v>
      </c>
      <c r="F726" t="s">
        <v>903</v>
      </c>
      <c r="G726" t="s">
        <v>887</v>
      </c>
    </row>
    <row r="727" spans="1:7" x14ac:dyDescent="0.25">
      <c r="A727" t="s">
        <v>235</v>
      </c>
      <c r="B727">
        <v>148</v>
      </c>
      <c r="C727">
        <v>9</v>
      </c>
      <c r="D727">
        <v>1</v>
      </c>
      <c r="E727" t="s">
        <v>885</v>
      </c>
      <c r="F727" t="s">
        <v>886</v>
      </c>
      <c r="G727" t="s">
        <v>898</v>
      </c>
    </row>
    <row r="728" spans="1:7" x14ac:dyDescent="0.25">
      <c r="A728" t="s">
        <v>684</v>
      </c>
      <c r="B728">
        <v>114</v>
      </c>
      <c r="C728">
        <v>11</v>
      </c>
      <c r="D728">
        <v>4</v>
      </c>
      <c r="E728" t="s">
        <v>895</v>
      </c>
      <c r="F728" t="s">
        <v>906</v>
      </c>
      <c r="G728" t="s">
        <v>907</v>
      </c>
    </row>
    <row r="729" spans="1:7" x14ac:dyDescent="0.25">
      <c r="A729" t="s">
        <v>187</v>
      </c>
      <c r="B729">
        <v>92</v>
      </c>
      <c r="C729">
        <v>42</v>
      </c>
      <c r="D729">
        <v>2</v>
      </c>
      <c r="E729" t="s">
        <v>895</v>
      </c>
      <c r="F729" t="s">
        <v>903</v>
      </c>
      <c r="G729" t="s">
        <v>887</v>
      </c>
    </row>
    <row r="730" spans="1:7" x14ac:dyDescent="0.25">
      <c r="A730" t="s">
        <v>687</v>
      </c>
      <c r="B730">
        <v>117</v>
      </c>
      <c r="C730">
        <v>14</v>
      </c>
      <c r="D730">
        <v>3</v>
      </c>
      <c r="E730" t="s">
        <v>895</v>
      </c>
      <c r="F730" t="s">
        <v>909</v>
      </c>
      <c r="G730" t="s">
        <v>898</v>
      </c>
    </row>
    <row r="731" spans="1:7" x14ac:dyDescent="0.25">
      <c r="A731" t="s">
        <v>766</v>
      </c>
      <c r="B731">
        <v>21</v>
      </c>
      <c r="C731">
        <v>-10</v>
      </c>
      <c r="D731">
        <v>4</v>
      </c>
      <c r="E731" t="s">
        <v>895</v>
      </c>
      <c r="F731" t="s">
        <v>904</v>
      </c>
      <c r="G731" t="s">
        <v>887</v>
      </c>
    </row>
    <row r="732" spans="1:7" x14ac:dyDescent="0.25">
      <c r="A732" t="s">
        <v>826</v>
      </c>
      <c r="B732">
        <v>33</v>
      </c>
      <c r="C732">
        <v>-10</v>
      </c>
      <c r="D732">
        <v>6</v>
      </c>
      <c r="E732" t="s">
        <v>895</v>
      </c>
      <c r="F732" t="s">
        <v>904</v>
      </c>
      <c r="G732" t="s">
        <v>898</v>
      </c>
    </row>
    <row r="733" spans="1:7" x14ac:dyDescent="0.25">
      <c r="A733" t="s">
        <v>152</v>
      </c>
      <c r="B733">
        <v>114</v>
      </c>
      <c r="C733">
        <v>8</v>
      </c>
      <c r="D733">
        <v>3</v>
      </c>
      <c r="E733" t="s">
        <v>885</v>
      </c>
      <c r="F733" t="s">
        <v>905</v>
      </c>
      <c r="G733" t="s">
        <v>907</v>
      </c>
    </row>
    <row r="734" spans="1:7" x14ac:dyDescent="0.25">
      <c r="A734" t="s">
        <v>162</v>
      </c>
      <c r="B734">
        <v>115</v>
      </c>
      <c r="C734">
        <v>0</v>
      </c>
      <c r="D734">
        <v>1</v>
      </c>
      <c r="E734" t="s">
        <v>885</v>
      </c>
      <c r="F734" t="s">
        <v>905</v>
      </c>
      <c r="G734" t="s">
        <v>907</v>
      </c>
    </row>
    <row r="735" spans="1:7" x14ac:dyDescent="0.25">
      <c r="A735" t="s">
        <v>470</v>
      </c>
      <c r="B735">
        <v>90</v>
      </c>
      <c r="C735">
        <v>29</v>
      </c>
      <c r="D735">
        <v>5</v>
      </c>
      <c r="E735" t="s">
        <v>895</v>
      </c>
      <c r="F735" t="s">
        <v>906</v>
      </c>
      <c r="G735" t="s">
        <v>887</v>
      </c>
    </row>
    <row r="736" spans="1:7" x14ac:dyDescent="0.25">
      <c r="A736" t="s">
        <v>773</v>
      </c>
      <c r="B736">
        <v>61</v>
      </c>
      <c r="C736">
        <v>1</v>
      </c>
      <c r="D736">
        <v>2</v>
      </c>
      <c r="E736" t="s">
        <v>888</v>
      </c>
      <c r="F736" t="s">
        <v>908</v>
      </c>
      <c r="G736" t="s">
        <v>887</v>
      </c>
    </row>
    <row r="737" spans="1:7" x14ac:dyDescent="0.25">
      <c r="A737" t="s">
        <v>682</v>
      </c>
      <c r="B737">
        <v>119</v>
      </c>
      <c r="C737">
        <v>1</v>
      </c>
      <c r="D737">
        <v>1</v>
      </c>
      <c r="E737" t="s">
        <v>888</v>
      </c>
      <c r="F737" t="s">
        <v>889</v>
      </c>
      <c r="G737" t="s">
        <v>887</v>
      </c>
    </row>
    <row r="738" spans="1:7" x14ac:dyDescent="0.25">
      <c r="A738" t="s">
        <v>228</v>
      </c>
      <c r="B738">
        <v>117</v>
      </c>
      <c r="C738">
        <v>36</v>
      </c>
      <c r="D738">
        <v>2</v>
      </c>
      <c r="E738" t="s">
        <v>895</v>
      </c>
      <c r="F738" t="s">
        <v>896</v>
      </c>
      <c r="G738" t="s">
        <v>907</v>
      </c>
    </row>
    <row r="739" spans="1:7" x14ac:dyDescent="0.25">
      <c r="A739" t="s">
        <v>631</v>
      </c>
      <c r="B739">
        <v>148</v>
      </c>
      <c r="C739">
        <v>54</v>
      </c>
      <c r="D739">
        <v>2</v>
      </c>
      <c r="E739" t="s">
        <v>888</v>
      </c>
      <c r="F739" t="s">
        <v>889</v>
      </c>
      <c r="G739" t="s">
        <v>898</v>
      </c>
    </row>
    <row r="740" spans="1:7" x14ac:dyDescent="0.25">
      <c r="A740" t="s">
        <v>397</v>
      </c>
      <c r="B740">
        <v>249</v>
      </c>
      <c r="C740">
        <v>-5</v>
      </c>
      <c r="D740">
        <v>4</v>
      </c>
      <c r="E740" t="s">
        <v>895</v>
      </c>
      <c r="F740" t="s">
        <v>897</v>
      </c>
      <c r="G740" t="s">
        <v>887</v>
      </c>
    </row>
    <row r="741" spans="1:7" x14ac:dyDescent="0.25">
      <c r="A741" t="s">
        <v>230</v>
      </c>
      <c r="B741">
        <v>147</v>
      </c>
      <c r="C741">
        <v>73</v>
      </c>
      <c r="D741">
        <v>3</v>
      </c>
      <c r="E741" t="s">
        <v>895</v>
      </c>
      <c r="F741" t="s">
        <v>903</v>
      </c>
      <c r="G741" t="s">
        <v>898</v>
      </c>
    </row>
    <row r="742" spans="1:7" x14ac:dyDescent="0.25">
      <c r="A742" t="s">
        <v>407</v>
      </c>
      <c r="B742">
        <v>118</v>
      </c>
      <c r="C742">
        <v>35</v>
      </c>
      <c r="D742">
        <v>7</v>
      </c>
      <c r="E742" t="s">
        <v>895</v>
      </c>
      <c r="F742" t="s">
        <v>906</v>
      </c>
      <c r="G742" t="s">
        <v>890</v>
      </c>
    </row>
    <row r="743" spans="1:7" x14ac:dyDescent="0.25">
      <c r="A743" t="s">
        <v>493</v>
      </c>
      <c r="B743">
        <v>119</v>
      </c>
      <c r="C743">
        <v>56</v>
      </c>
      <c r="D743">
        <v>7</v>
      </c>
      <c r="E743" t="s">
        <v>895</v>
      </c>
      <c r="F743" t="s">
        <v>897</v>
      </c>
      <c r="G743" t="s">
        <v>890</v>
      </c>
    </row>
    <row r="744" spans="1:7" x14ac:dyDescent="0.25">
      <c r="A744" t="s">
        <v>604</v>
      </c>
      <c r="B744">
        <v>90</v>
      </c>
      <c r="C744">
        <v>27</v>
      </c>
      <c r="D744">
        <v>2</v>
      </c>
      <c r="E744" t="s">
        <v>895</v>
      </c>
      <c r="F744" t="s">
        <v>906</v>
      </c>
      <c r="G744" t="s">
        <v>887</v>
      </c>
    </row>
    <row r="745" spans="1:7" x14ac:dyDescent="0.25">
      <c r="A745" t="s">
        <v>614</v>
      </c>
      <c r="B745">
        <v>32</v>
      </c>
      <c r="C745">
        <v>1</v>
      </c>
      <c r="D745">
        <v>2</v>
      </c>
      <c r="E745" t="s">
        <v>895</v>
      </c>
      <c r="F745" t="s">
        <v>903</v>
      </c>
      <c r="G745" t="s">
        <v>887</v>
      </c>
    </row>
    <row r="746" spans="1:7" x14ac:dyDescent="0.25">
      <c r="A746" t="s">
        <v>729</v>
      </c>
      <c r="B746">
        <v>89</v>
      </c>
      <c r="C746">
        <v>-89</v>
      </c>
      <c r="D746">
        <v>2</v>
      </c>
      <c r="E746" t="s">
        <v>888</v>
      </c>
      <c r="F746" t="s">
        <v>908</v>
      </c>
      <c r="G746" t="s">
        <v>887</v>
      </c>
    </row>
    <row r="747" spans="1:7" x14ac:dyDescent="0.25">
      <c r="A747" t="s">
        <v>235</v>
      </c>
      <c r="B747">
        <v>146</v>
      </c>
      <c r="C747">
        <v>66</v>
      </c>
      <c r="D747">
        <v>1</v>
      </c>
      <c r="E747" t="s">
        <v>885</v>
      </c>
      <c r="F747" t="s">
        <v>894</v>
      </c>
      <c r="G747" t="s">
        <v>898</v>
      </c>
    </row>
    <row r="748" spans="1:7" x14ac:dyDescent="0.25">
      <c r="A748" t="s">
        <v>400</v>
      </c>
      <c r="B748">
        <v>89</v>
      </c>
      <c r="C748">
        <v>-37</v>
      </c>
      <c r="D748">
        <v>4</v>
      </c>
      <c r="E748" t="s">
        <v>895</v>
      </c>
      <c r="F748" t="s">
        <v>909</v>
      </c>
      <c r="G748" t="s">
        <v>887</v>
      </c>
    </row>
    <row r="749" spans="1:7" x14ac:dyDescent="0.25">
      <c r="A749" t="s">
        <v>413</v>
      </c>
      <c r="B749">
        <v>88</v>
      </c>
      <c r="C749">
        <v>11</v>
      </c>
      <c r="D749">
        <v>3</v>
      </c>
      <c r="E749" t="s">
        <v>885</v>
      </c>
      <c r="F749" t="s">
        <v>905</v>
      </c>
      <c r="G749" t="s">
        <v>887</v>
      </c>
    </row>
    <row r="750" spans="1:7" x14ac:dyDescent="0.25">
      <c r="A750" t="s">
        <v>53</v>
      </c>
      <c r="B750">
        <v>121</v>
      </c>
      <c r="C750">
        <v>41</v>
      </c>
      <c r="D750">
        <v>4</v>
      </c>
      <c r="E750" t="s">
        <v>895</v>
      </c>
      <c r="F750" t="s">
        <v>903</v>
      </c>
      <c r="G750" t="s">
        <v>890</v>
      </c>
    </row>
    <row r="751" spans="1:7" x14ac:dyDescent="0.25">
      <c r="A751" t="s">
        <v>358</v>
      </c>
      <c r="B751">
        <v>88</v>
      </c>
      <c r="C751">
        <v>20</v>
      </c>
      <c r="D751">
        <v>2</v>
      </c>
      <c r="E751" t="s">
        <v>895</v>
      </c>
      <c r="F751" t="s">
        <v>897</v>
      </c>
      <c r="G751" t="s">
        <v>887</v>
      </c>
    </row>
    <row r="752" spans="1:7" x14ac:dyDescent="0.25">
      <c r="A752" t="s">
        <v>379</v>
      </c>
      <c r="B752">
        <v>87</v>
      </c>
      <c r="C752">
        <v>-83</v>
      </c>
      <c r="D752">
        <v>5</v>
      </c>
      <c r="E752" t="s">
        <v>895</v>
      </c>
      <c r="F752" t="s">
        <v>900</v>
      </c>
      <c r="G752" t="s">
        <v>887</v>
      </c>
    </row>
    <row r="753" spans="1:7" x14ac:dyDescent="0.25">
      <c r="A753" t="s">
        <v>730</v>
      </c>
      <c r="B753">
        <v>87</v>
      </c>
      <c r="C753">
        <v>4</v>
      </c>
      <c r="D753">
        <v>2</v>
      </c>
      <c r="E753" t="s">
        <v>895</v>
      </c>
      <c r="F753" t="s">
        <v>909</v>
      </c>
      <c r="G753" t="s">
        <v>887</v>
      </c>
    </row>
    <row r="754" spans="1:7" x14ac:dyDescent="0.25">
      <c r="A754" t="s">
        <v>673</v>
      </c>
      <c r="B754">
        <v>122</v>
      </c>
      <c r="C754">
        <v>15</v>
      </c>
      <c r="D754">
        <v>3</v>
      </c>
      <c r="E754" t="s">
        <v>885</v>
      </c>
      <c r="F754" t="s">
        <v>905</v>
      </c>
      <c r="G754" t="s">
        <v>890</v>
      </c>
    </row>
    <row r="755" spans="1:7" x14ac:dyDescent="0.25">
      <c r="A755" t="s">
        <v>732</v>
      </c>
      <c r="B755">
        <v>87</v>
      </c>
      <c r="C755">
        <v>10</v>
      </c>
      <c r="D755">
        <v>3</v>
      </c>
      <c r="E755" t="s">
        <v>895</v>
      </c>
      <c r="F755" t="s">
        <v>903</v>
      </c>
      <c r="G755" t="s">
        <v>887</v>
      </c>
    </row>
    <row r="756" spans="1:7" x14ac:dyDescent="0.25">
      <c r="A756" t="s">
        <v>790</v>
      </c>
      <c r="B756">
        <v>53</v>
      </c>
      <c r="C756">
        <v>8</v>
      </c>
      <c r="D756">
        <v>3</v>
      </c>
      <c r="E756" t="s">
        <v>888</v>
      </c>
      <c r="F756" t="s">
        <v>908</v>
      </c>
      <c r="G756" t="s">
        <v>898</v>
      </c>
    </row>
    <row r="757" spans="1:7" x14ac:dyDescent="0.25">
      <c r="A757" t="s">
        <v>219</v>
      </c>
      <c r="B757">
        <v>87</v>
      </c>
      <c r="C757">
        <v>-32</v>
      </c>
      <c r="D757">
        <v>9</v>
      </c>
      <c r="E757" t="s">
        <v>895</v>
      </c>
      <c r="F757" t="s">
        <v>901</v>
      </c>
      <c r="G757" t="s">
        <v>887</v>
      </c>
    </row>
    <row r="758" spans="1:7" x14ac:dyDescent="0.25">
      <c r="A758" t="s">
        <v>421</v>
      </c>
      <c r="B758">
        <v>86</v>
      </c>
      <c r="C758">
        <v>-55</v>
      </c>
      <c r="D758">
        <v>6</v>
      </c>
      <c r="E758" t="s">
        <v>895</v>
      </c>
      <c r="F758" t="s">
        <v>897</v>
      </c>
      <c r="G758" t="s">
        <v>887</v>
      </c>
    </row>
    <row r="759" spans="1:7" x14ac:dyDescent="0.25">
      <c r="A759" t="s">
        <v>409</v>
      </c>
      <c r="B759">
        <v>125</v>
      </c>
      <c r="C759">
        <v>22</v>
      </c>
      <c r="D759">
        <v>3</v>
      </c>
      <c r="E759" t="s">
        <v>895</v>
      </c>
      <c r="F759" t="s">
        <v>903</v>
      </c>
      <c r="G759" t="s">
        <v>890</v>
      </c>
    </row>
    <row r="760" spans="1:7" x14ac:dyDescent="0.25">
      <c r="A760" t="s">
        <v>369</v>
      </c>
      <c r="B760">
        <v>128</v>
      </c>
      <c r="C760">
        <v>-3</v>
      </c>
      <c r="D760">
        <v>3</v>
      </c>
      <c r="E760" t="s">
        <v>895</v>
      </c>
      <c r="F760" t="s">
        <v>897</v>
      </c>
      <c r="G760" t="s">
        <v>907</v>
      </c>
    </row>
    <row r="761" spans="1:7" x14ac:dyDescent="0.25">
      <c r="A761" t="s">
        <v>385</v>
      </c>
      <c r="B761">
        <v>143</v>
      </c>
      <c r="C761">
        <v>-124</v>
      </c>
      <c r="D761">
        <v>5</v>
      </c>
      <c r="E761" t="s">
        <v>895</v>
      </c>
      <c r="F761" t="s">
        <v>897</v>
      </c>
      <c r="G761" t="s">
        <v>898</v>
      </c>
    </row>
    <row r="762" spans="1:7" x14ac:dyDescent="0.25">
      <c r="A762" t="s">
        <v>119</v>
      </c>
      <c r="B762">
        <v>86</v>
      </c>
      <c r="C762">
        <v>22</v>
      </c>
      <c r="D762">
        <v>2</v>
      </c>
      <c r="E762" t="s">
        <v>895</v>
      </c>
      <c r="F762" t="s">
        <v>897</v>
      </c>
      <c r="G762" t="s">
        <v>887</v>
      </c>
    </row>
    <row r="763" spans="1:7" x14ac:dyDescent="0.25">
      <c r="A763" t="s">
        <v>736</v>
      </c>
      <c r="B763">
        <v>86</v>
      </c>
      <c r="C763">
        <v>9</v>
      </c>
      <c r="D763">
        <v>3</v>
      </c>
      <c r="E763" t="s">
        <v>895</v>
      </c>
      <c r="F763" t="s">
        <v>897</v>
      </c>
      <c r="G763" t="s">
        <v>887</v>
      </c>
    </row>
    <row r="764" spans="1:7" x14ac:dyDescent="0.25">
      <c r="A764" t="s">
        <v>528</v>
      </c>
      <c r="B764">
        <v>85</v>
      </c>
      <c r="C764">
        <v>-9</v>
      </c>
      <c r="D764">
        <v>4</v>
      </c>
      <c r="E764" t="s">
        <v>895</v>
      </c>
      <c r="F764" t="s">
        <v>897</v>
      </c>
      <c r="G764" t="s">
        <v>887</v>
      </c>
    </row>
    <row r="765" spans="1:7" x14ac:dyDescent="0.25">
      <c r="A765" t="s">
        <v>661</v>
      </c>
      <c r="B765">
        <v>129</v>
      </c>
      <c r="C765">
        <v>-75</v>
      </c>
      <c r="D765">
        <v>5</v>
      </c>
      <c r="E765" t="s">
        <v>895</v>
      </c>
      <c r="F765" t="s">
        <v>909</v>
      </c>
      <c r="G765" t="s">
        <v>907</v>
      </c>
    </row>
    <row r="766" spans="1:7" x14ac:dyDescent="0.25">
      <c r="A766" t="s">
        <v>591</v>
      </c>
      <c r="B766">
        <v>84</v>
      </c>
      <c r="C766">
        <v>-42</v>
      </c>
      <c r="D766">
        <v>2</v>
      </c>
      <c r="E766" t="s">
        <v>885</v>
      </c>
      <c r="F766" t="s">
        <v>905</v>
      </c>
      <c r="G766" t="s">
        <v>887</v>
      </c>
    </row>
    <row r="767" spans="1:7" x14ac:dyDescent="0.25">
      <c r="A767" t="s">
        <v>181</v>
      </c>
      <c r="B767">
        <v>83</v>
      </c>
      <c r="C767">
        <v>-81</v>
      </c>
      <c r="D767">
        <v>3</v>
      </c>
      <c r="E767" t="s">
        <v>888</v>
      </c>
      <c r="F767" t="s">
        <v>889</v>
      </c>
      <c r="G767" t="s">
        <v>887</v>
      </c>
    </row>
    <row r="768" spans="1:7" x14ac:dyDescent="0.25">
      <c r="A768" t="s">
        <v>638</v>
      </c>
      <c r="B768">
        <v>143</v>
      </c>
      <c r="C768">
        <v>6</v>
      </c>
      <c r="D768">
        <v>2</v>
      </c>
      <c r="E768" t="s">
        <v>885</v>
      </c>
      <c r="F768" t="s">
        <v>905</v>
      </c>
      <c r="G768" t="s">
        <v>898</v>
      </c>
    </row>
    <row r="769" spans="1:7" x14ac:dyDescent="0.25">
      <c r="A769" t="s">
        <v>468</v>
      </c>
      <c r="B769">
        <v>336</v>
      </c>
      <c r="C769">
        <v>123</v>
      </c>
      <c r="D769">
        <v>3</v>
      </c>
      <c r="E769" t="s">
        <v>885</v>
      </c>
      <c r="F769" t="s">
        <v>894</v>
      </c>
      <c r="G769" t="s">
        <v>898</v>
      </c>
    </row>
    <row r="770" spans="1:7" x14ac:dyDescent="0.25">
      <c r="A770" t="s">
        <v>87</v>
      </c>
      <c r="B770">
        <v>323</v>
      </c>
      <c r="C770">
        <v>122</v>
      </c>
      <c r="D770">
        <v>5</v>
      </c>
      <c r="E770" t="s">
        <v>885</v>
      </c>
      <c r="F770" t="s">
        <v>894</v>
      </c>
      <c r="G770" t="s">
        <v>898</v>
      </c>
    </row>
    <row r="771" spans="1:7" x14ac:dyDescent="0.25">
      <c r="A771" t="s">
        <v>660</v>
      </c>
      <c r="B771">
        <v>130</v>
      </c>
      <c r="C771">
        <v>61</v>
      </c>
      <c r="D771">
        <v>3</v>
      </c>
      <c r="E771" t="s">
        <v>895</v>
      </c>
      <c r="F771" t="s">
        <v>909</v>
      </c>
      <c r="G771" t="s">
        <v>907</v>
      </c>
    </row>
    <row r="772" spans="1:7" x14ac:dyDescent="0.25">
      <c r="A772" t="s">
        <v>269</v>
      </c>
      <c r="B772">
        <v>152</v>
      </c>
      <c r="C772">
        <v>-3</v>
      </c>
      <c r="D772">
        <v>5</v>
      </c>
      <c r="E772" t="s">
        <v>895</v>
      </c>
      <c r="F772" t="s">
        <v>897</v>
      </c>
      <c r="G772" t="s">
        <v>887</v>
      </c>
    </row>
    <row r="773" spans="1:7" x14ac:dyDescent="0.25">
      <c r="A773" t="s">
        <v>673</v>
      </c>
      <c r="B773">
        <v>25</v>
      </c>
      <c r="C773">
        <v>10</v>
      </c>
      <c r="D773">
        <v>1</v>
      </c>
      <c r="E773" t="s">
        <v>888</v>
      </c>
      <c r="F773" t="s">
        <v>908</v>
      </c>
      <c r="G773" t="s">
        <v>898</v>
      </c>
    </row>
    <row r="774" spans="1:7" x14ac:dyDescent="0.25">
      <c r="A774" t="s">
        <v>288</v>
      </c>
      <c r="B774">
        <v>140</v>
      </c>
      <c r="C774">
        <v>15</v>
      </c>
      <c r="D774">
        <v>5</v>
      </c>
      <c r="E774" t="s">
        <v>895</v>
      </c>
      <c r="F774" t="s">
        <v>903</v>
      </c>
      <c r="G774" t="s">
        <v>898</v>
      </c>
    </row>
    <row r="775" spans="1:7" x14ac:dyDescent="0.25">
      <c r="A775" t="s">
        <v>524</v>
      </c>
      <c r="B775">
        <v>45</v>
      </c>
      <c r="C775">
        <v>0</v>
      </c>
      <c r="D775">
        <v>2</v>
      </c>
      <c r="E775" t="s">
        <v>895</v>
      </c>
      <c r="F775" t="s">
        <v>903</v>
      </c>
      <c r="G775" t="s">
        <v>898</v>
      </c>
    </row>
    <row r="776" spans="1:7" x14ac:dyDescent="0.25">
      <c r="A776" t="s">
        <v>309</v>
      </c>
      <c r="B776">
        <v>132</v>
      </c>
      <c r="C776">
        <v>49</v>
      </c>
      <c r="D776">
        <v>3</v>
      </c>
      <c r="E776" t="s">
        <v>895</v>
      </c>
      <c r="F776" t="s">
        <v>909</v>
      </c>
      <c r="G776" t="s">
        <v>887</v>
      </c>
    </row>
    <row r="777" spans="1:7" x14ac:dyDescent="0.25">
      <c r="A777" t="s">
        <v>641</v>
      </c>
      <c r="B777">
        <v>133</v>
      </c>
      <c r="C777">
        <v>12</v>
      </c>
      <c r="D777">
        <v>5</v>
      </c>
      <c r="E777" t="s">
        <v>895</v>
      </c>
      <c r="F777" t="s">
        <v>903</v>
      </c>
      <c r="G777" t="s">
        <v>907</v>
      </c>
    </row>
    <row r="778" spans="1:7" x14ac:dyDescent="0.25">
      <c r="A778" t="s">
        <v>34</v>
      </c>
      <c r="B778">
        <v>82</v>
      </c>
      <c r="C778">
        <v>13</v>
      </c>
      <c r="D778">
        <v>2</v>
      </c>
      <c r="E778" t="s">
        <v>895</v>
      </c>
      <c r="F778" t="s">
        <v>909</v>
      </c>
      <c r="G778" t="s">
        <v>887</v>
      </c>
    </row>
    <row r="779" spans="1:7" x14ac:dyDescent="0.25">
      <c r="A779" t="s">
        <v>413</v>
      </c>
      <c r="B779">
        <v>140</v>
      </c>
      <c r="C779">
        <v>56</v>
      </c>
      <c r="D779">
        <v>4</v>
      </c>
      <c r="E779" t="s">
        <v>895</v>
      </c>
      <c r="F779" t="s">
        <v>909</v>
      </c>
      <c r="G779" t="s">
        <v>898</v>
      </c>
    </row>
    <row r="780" spans="1:7" x14ac:dyDescent="0.25">
      <c r="A780" t="s">
        <v>216</v>
      </c>
      <c r="B780">
        <v>81</v>
      </c>
      <c r="C780">
        <v>19</v>
      </c>
      <c r="D780">
        <v>7</v>
      </c>
      <c r="E780" t="s">
        <v>895</v>
      </c>
      <c r="F780" t="s">
        <v>899</v>
      </c>
      <c r="G780" t="s">
        <v>887</v>
      </c>
    </row>
    <row r="781" spans="1:7" x14ac:dyDescent="0.25">
      <c r="A781" t="s">
        <v>108</v>
      </c>
      <c r="B781">
        <v>137</v>
      </c>
      <c r="C781">
        <v>38</v>
      </c>
      <c r="D781">
        <v>5</v>
      </c>
      <c r="E781" t="s">
        <v>895</v>
      </c>
      <c r="F781" t="s">
        <v>899</v>
      </c>
      <c r="G781" t="s">
        <v>907</v>
      </c>
    </row>
    <row r="782" spans="1:7" x14ac:dyDescent="0.25">
      <c r="A782" t="s">
        <v>651</v>
      </c>
      <c r="B782">
        <v>137</v>
      </c>
      <c r="C782">
        <v>-41</v>
      </c>
      <c r="D782">
        <v>3</v>
      </c>
      <c r="E782" t="s">
        <v>885</v>
      </c>
      <c r="F782" t="s">
        <v>894</v>
      </c>
      <c r="G782" t="s">
        <v>907</v>
      </c>
    </row>
    <row r="783" spans="1:7" x14ac:dyDescent="0.25">
      <c r="A783" t="s">
        <v>623</v>
      </c>
      <c r="B783">
        <v>140</v>
      </c>
      <c r="C783">
        <v>57</v>
      </c>
      <c r="D783">
        <v>2</v>
      </c>
      <c r="E783" t="s">
        <v>895</v>
      </c>
      <c r="F783" t="s">
        <v>896</v>
      </c>
      <c r="G783" t="s">
        <v>907</v>
      </c>
    </row>
    <row r="784" spans="1:7" x14ac:dyDescent="0.25">
      <c r="A784" t="s">
        <v>649</v>
      </c>
      <c r="B784">
        <v>139</v>
      </c>
      <c r="C784">
        <v>30</v>
      </c>
      <c r="D784">
        <v>3</v>
      </c>
      <c r="E784" t="s">
        <v>895</v>
      </c>
      <c r="F784" t="s">
        <v>909</v>
      </c>
      <c r="G784" t="s">
        <v>898</v>
      </c>
    </row>
    <row r="785" spans="1:7" x14ac:dyDescent="0.25">
      <c r="A785" t="s">
        <v>358</v>
      </c>
      <c r="B785">
        <v>138</v>
      </c>
      <c r="C785">
        <v>11</v>
      </c>
      <c r="D785">
        <v>5</v>
      </c>
      <c r="E785" t="s">
        <v>895</v>
      </c>
      <c r="F785" t="s">
        <v>903</v>
      </c>
      <c r="G785" t="s">
        <v>898</v>
      </c>
    </row>
    <row r="786" spans="1:7" x14ac:dyDescent="0.25">
      <c r="A786" t="s">
        <v>745</v>
      </c>
      <c r="B786">
        <v>79</v>
      </c>
      <c r="C786">
        <v>-124</v>
      </c>
      <c r="D786">
        <v>9</v>
      </c>
      <c r="E786" t="s">
        <v>895</v>
      </c>
      <c r="F786" t="s">
        <v>901</v>
      </c>
      <c r="G786" t="s">
        <v>887</v>
      </c>
    </row>
    <row r="787" spans="1:7" x14ac:dyDescent="0.25">
      <c r="A787" t="s">
        <v>403</v>
      </c>
      <c r="B787">
        <v>136</v>
      </c>
      <c r="C787">
        <v>41</v>
      </c>
      <c r="D787">
        <v>3</v>
      </c>
      <c r="E787" t="s">
        <v>885</v>
      </c>
      <c r="F787" t="s">
        <v>905</v>
      </c>
      <c r="G787" t="s">
        <v>898</v>
      </c>
    </row>
    <row r="788" spans="1:7" x14ac:dyDescent="0.25">
      <c r="A788" t="s">
        <v>638</v>
      </c>
      <c r="B788">
        <v>145</v>
      </c>
      <c r="C788">
        <v>16</v>
      </c>
      <c r="D788">
        <v>3</v>
      </c>
      <c r="E788" t="s">
        <v>895</v>
      </c>
      <c r="F788" t="s">
        <v>906</v>
      </c>
      <c r="G788" t="s">
        <v>907</v>
      </c>
    </row>
    <row r="789" spans="1:7" x14ac:dyDescent="0.25">
      <c r="A789" t="s">
        <v>360</v>
      </c>
      <c r="B789">
        <v>44</v>
      </c>
      <c r="C789">
        <v>20</v>
      </c>
      <c r="D789">
        <v>2</v>
      </c>
      <c r="E789" t="s">
        <v>895</v>
      </c>
      <c r="F789" t="s">
        <v>906</v>
      </c>
      <c r="G789" t="s">
        <v>898</v>
      </c>
    </row>
    <row r="790" spans="1:7" x14ac:dyDescent="0.25">
      <c r="A790" t="s">
        <v>75</v>
      </c>
      <c r="B790">
        <v>79</v>
      </c>
      <c r="C790">
        <v>6</v>
      </c>
      <c r="D790">
        <v>7</v>
      </c>
      <c r="E790" t="s">
        <v>895</v>
      </c>
      <c r="F790" t="s">
        <v>897</v>
      </c>
      <c r="G790" t="s">
        <v>887</v>
      </c>
    </row>
    <row r="791" spans="1:7" x14ac:dyDescent="0.25">
      <c r="A791" t="s">
        <v>166</v>
      </c>
      <c r="B791">
        <v>79</v>
      </c>
      <c r="C791">
        <v>36</v>
      </c>
      <c r="D791">
        <v>4</v>
      </c>
      <c r="E791" t="s">
        <v>895</v>
      </c>
      <c r="F791" t="s">
        <v>909</v>
      </c>
      <c r="G791" t="s">
        <v>887</v>
      </c>
    </row>
    <row r="792" spans="1:7" x14ac:dyDescent="0.25">
      <c r="A792" t="s">
        <v>422</v>
      </c>
      <c r="B792">
        <v>134</v>
      </c>
      <c r="C792">
        <v>-13</v>
      </c>
      <c r="D792">
        <v>3</v>
      </c>
      <c r="E792" t="s">
        <v>885</v>
      </c>
      <c r="F792" t="s">
        <v>886</v>
      </c>
      <c r="G792" t="s">
        <v>898</v>
      </c>
    </row>
    <row r="793" spans="1:7" x14ac:dyDescent="0.25">
      <c r="A793" t="s">
        <v>91</v>
      </c>
      <c r="B793">
        <v>133</v>
      </c>
      <c r="C793">
        <v>5</v>
      </c>
      <c r="D793">
        <v>5</v>
      </c>
      <c r="E793" t="s">
        <v>895</v>
      </c>
      <c r="F793" t="s">
        <v>903</v>
      </c>
      <c r="G793" t="s">
        <v>898</v>
      </c>
    </row>
    <row r="794" spans="1:7" x14ac:dyDescent="0.25">
      <c r="A794" t="s">
        <v>425</v>
      </c>
      <c r="B794">
        <v>47</v>
      </c>
      <c r="C794">
        <v>20</v>
      </c>
      <c r="D794">
        <v>7</v>
      </c>
      <c r="E794" t="s">
        <v>895</v>
      </c>
      <c r="F794" t="s">
        <v>899</v>
      </c>
      <c r="G794" t="s">
        <v>898</v>
      </c>
    </row>
    <row r="795" spans="1:7" x14ac:dyDescent="0.25">
      <c r="A795" t="s">
        <v>517</v>
      </c>
      <c r="B795">
        <v>133</v>
      </c>
      <c r="C795">
        <v>-42</v>
      </c>
      <c r="D795">
        <v>1</v>
      </c>
      <c r="E795" t="s">
        <v>885</v>
      </c>
      <c r="F795" t="s">
        <v>892</v>
      </c>
      <c r="G795" t="s">
        <v>898</v>
      </c>
    </row>
    <row r="796" spans="1:7" x14ac:dyDescent="0.25">
      <c r="A796" t="s">
        <v>747</v>
      </c>
      <c r="B796">
        <v>78</v>
      </c>
      <c r="C796">
        <v>27</v>
      </c>
      <c r="D796">
        <v>3</v>
      </c>
      <c r="E796" t="s">
        <v>895</v>
      </c>
      <c r="F796" t="s">
        <v>903</v>
      </c>
      <c r="G796" t="s">
        <v>887</v>
      </c>
    </row>
    <row r="797" spans="1:7" x14ac:dyDescent="0.25">
      <c r="A797" t="s">
        <v>749</v>
      </c>
      <c r="B797">
        <v>78</v>
      </c>
      <c r="C797">
        <v>7</v>
      </c>
      <c r="D797">
        <v>1</v>
      </c>
      <c r="E797" t="s">
        <v>888</v>
      </c>
      <c r="F797" t="s">
        <v>889</v>
      </c>
      <c r="G797" t="s">
        <v>887</v>
      </c>
    </row>
    <row r="798" spans="1:7" x14ac:dyDescent="0.25">
      <c r="A798" t="s">
        <v>750</v>
      </c>
      <c r="B798">
        <v>76</v>
      </c>
      <c r="C798">
        <v>-92</v>
      </c>
      <c r="D798">
        <v>8</v>
      </c>
      <c r="E798" t="s">
        <v>888</v>
      </c>
      <c r="F798" t="s">
        <v>908</v>
      </c>
      <c r="G798" t="s">
        <v>887</v>
      </c>
    </row>
    <row r="799" spans="1:7" x14ac:dyDescent="0.25">
      <c r="A799" t="s">
        <v>751</v>
      </c>
      <c r="B799">
        <v>76</v>
      </c>
      <c r="C799">
        <v>-50</v>
      </c>
      <c r="D799">
        <v>1</v>
      </c>
      <c r="E799" t="s">
        <v>895</v>
      </c>
      <c r="F799" t="s">
        <v>897</v>
      </c>
      <c r="G799" t="s">
        <v>887</v>
      </c>
    </row>
    <row r="800" spans="1:7" x14ac:dyDescent="0.25">
      <c r="A800" t="s">
        <v>419</v>
      </c>
      <c r="B800">
        <v>76</v>
      </c>
      <c r="C800">
        <v>19</v>
      </c>
      <c r="D800">
        <v>3</v>
      </c>
      <c r="E800" t="s">
        <v>895</v>
      </c>
      <c r="F800" t="s">
        <v>899</v>
      </c>
      <c r="G800" t="s">
        <v>887</v>
      </c>
    </row>
    <row r="801" spans="1:7" x14ac:dyDescent="0.25">
      <c r="A801" t="s">
        <v>318</v>
      </c>
      <c r="B801">
        <v>74</v>
      </c>
      <c r="C801">
        <v>29</v>
      </c>
      <c r="D801">
        <v>3</v>
      </c>
      <c r="E801" t="s">
        <v>895</v>
      </c>
      <c r="F801" t="s">
        <v>903</v>
      </c>
      <c r="G801" t="s">
        <v>887</v>
      </c>
    </row>
    <row r="802" spans="1:7" x14ac:dyDescent="0.25">
      <c r="A802" t="s">
        <v>756</v>
      </c>
      <c r="B802">
        <v>74</v>
      </c>
      <c r="C802">
        <v>-25</v>
      </c>
      <c r="D802">
        <v>3</v>
      </c>
      <c r="E802" t="s">
        <v>895</v>
      </c>
      <c r="F802" t="s">
        <v>903</v>
      </c>
      <c r="G802" t="s">
        <v>887</v>
      </c>
    </row>
    <row r="803" spans="1:7" x14ac:dyDescent="0.25">
      <c r="A803" t="s">
        <v>548</v>
      </c>
      <c r="B803">
        <v>146</v>
      </c>
      <c r="C803">
        <v>-63</v>
      </c>
      <c r="D803">
        <v>3</v>
      </c>
      <c r="E803" t="s">
        <v>885</v>
      </c>
      <c r="F803" t="s">
        <v>886</v>
      </c>
      <c r="G803" t="s">
        <v>907</v>
      </c>
    </row>
    <row r="804" spans="1:7" x14ac:dyDescent="0.25">
      <c r="A804" t="s">
        <v>367</v>
      </c>
      <c r="B804">
        <v>73</v>
      </c>
      <c r="C804">
        <v>-31</v>
      </c>
      <c r="D804">
        <v>1</v>
      </c>
      <c r="E804" t="s">
        <v>888</v>
      </c>
      <c r="F804" t="s">
        <v>891</v>
      </c>
      <c r="G804" t="s">
        <v>887</v>
      </c>
    </row>
    <row r="805" spans="1:7" x14ac:dyDescent="0.25">
      <c r="A805" t="s">
        <v>136</v>
      </c>
      <c r="B805">
        <v>80</v>
      </c>
      <c r="C805">
        <v>22</v>
      </c>
      <c r="D805">
        <v>3</v>
      </c>
      <c r="E805" t="s">
        <v>895</v>
      </c>
      <c r="F805" t="s">
        <v>903</v>
      </c>
      <c r="G805" t="s">
        <v>898</v>
      </c>
    </row>
    <row r="806" spans="1:7" x14ac:dyDescent="0.25">
      <c r="A806" t="s">
        <v>416</v>
      </c>
      <c r="B806">
        <v>133</v>
      </c>
      <c r="C806">
        <v>46</v>
      </c>
      <c r="D806">
        <v>5</v>
      </c>
      <c r="E806" t="s">
        <v>895</v>
      </c>
      <c r="F806" t="s">
        <v>909</v>
      </c>
      <c r="G806" t="s">
        <v>890</v>
      </c>
    </row>
    <row r="807" spans="1:7" x14ac:dyDescent="0.25">
      <c r="A807" t="s">
        <v>635</v>
      </c>
      <c r="B807">
        <v>146</v>
      </c>
      <c r="C807">
        <v>7</v>
      </c>
      <c r="D807">
        <v>2</v>
      </c>
      <c r="E807" t="s">
        <v>885</v>
      </c>
      <c r="F807" t="s">
        <v>894</v>
      </c>
      <c r="G807" t="s">
        <v>907</v>
      </c>
    </row>
    <row r="808" spans="1:7" x14ac:dyDescent="0.25">
      <c r="A808" t="s">
        <v>659</v>
      </c>
      <c r="B808">
        <v>130</v>
      </c>
      <c r="C808">
        <v>-41</v>
      </c>
      <c r="D808">
        <v>4</v>
      </c>
      <c r="E808" t="s">
        <v>895</v>
      </c>
      <c r="F808" t="s">
        <v>897</v>
      </c>
      <c r="G808" t="s">
        <v>890</v>
      </c>
    </row>
    <row r="809" spans="1:7" x14ac:dyDescent="0.25">
      <c r="A809" t="s">
        <v>646</v>
      </c>
      <c r="B809">
        <v>141</v>
      </c>
      <c r="C809">
        <v>41</v>
      </c>
      <c r="D809">
        <v>3</v>
      </c>
      <c r="E809" t="s">
        <v>895</v>
      </c>
      <c r="F809" t="s">
        <v>909</v>
      </c>
      <c r="G809" t="s">
        <v>898</v>
      </c>
    </row>
    <row r="810" spans="1:7" x14ac:dyDescent="0.25">
      <c r="A810" t="s">
        <v>320</v>
      </c>
      <c r="B810">
        <v>147</v>
      </c>
      <c r="C810">
        <v>21</v>
      </c>
      <c r="D810">
        <v>3</v>
      </c>
      <c r="E810" t="s">
        <v>888</v>
      </c>
      <c r="F810" t="s">
        <v>908</v>
      </c>
      <c r="G810" t="s">
        <v>907</v>
      </c>
    </row>
    <row r="811" spans="1:7" x14ac:dyDescent="0.25">
      <c r="A811" t="s">
        <v>152</v>
      </c>
      <c r="B811">
        <v>73</v>
      </c>
      <c r="C811">
        <v>-7</v>
      </c>
      <c r="D811">
        <v>1</v>
      </c>
      <c r="E811" t="s">
        <v>885</v>
      </c>
      <c r="F811" t="s">
        <v>894</v>
      </c>
      <c r="G811" t="s">
        <v>887</v>
      </c>
    </row>
    <row r="812" spans="1:7" x14ac:dyDescent="0.25">
      <c r="A812" t="s">
        <v>629</v>
      </c>
      <c r="B812">
        <v>148</v>
      </c>
      <c r="C812">
        <v>72</v>
      </c>
      <c r="D812">
        <v>7</v>
      </c>
      <c r="E812" t="s">
        <v>895</v>
      </c>
      <c r="F812" t="s">
        <v>906</v>
      </c>
      <c r="G812" t="s">
        <v>907</v>
      </c>
    </row>
    <row r="813" spans="1:7" x14ac:dyDescent="0.25">
      <c r="A813" t="s">
        <v>774</v>
      </c>
      <c r="B813">
        <v>58</v>
      </c>
      <c r="C813">
        <v>0</v>
      </c>
      <c r="D813">
        <v>4</v>
      </c>
      <c r="E813" t="s">
        <v>895</v>
      </c>
      <c r="F813" t="s">
        <v>897</v>
      </c>
      <c r="G813" t="s">
        <v>898</v>
      </c>
    </row>
    <row r="814" spans="1:7" x14ac:dyDescent="0.25">
      <c r="A814" t="s">
        <v>553</v>
      </c>
      <c r="B814">
        <v>21</v>
      </c>
      <c r="C814">
        <v>-13</v>
      </c>
      <c r="D814">
        <v>3</v>
      </c>
      <c r="E814" t="s">
        <v>895</v>
      </c>
      <c r="F814" t="s">
        <v>904</v>
      </c>
      <c r="G814" t="s">
        <v>898</v>
      </c>
    </row>
    <row r="815" spans="1:7" x14ac:dyDescent="0.25">
      <c r="A815" t="s">
        <v>26</v>
      </c>
      <c r="B815">
        <v>148</v>
      </c>
      <c r="C815">
        <v>25</v>
      </c>
      <c r="D815">
        <v>3</v>
      </c>
      <c r="E815" t="s">
        <v>895</v>
      </c>
      <c r="F815" t="s">
        <v>897</v>
      </c>
      <c r="G815" t="s">
        <v>907</v>
      </c>
    </row>
    <row r="816" spans="1:7" x14ac:dyDescent="0.25">
      <c r="A816" t="s">
        <v>639</v>
      </c>
      <c r="B816">
        <v>144</v>
      </c>
      <c r="C816">
        <v>-7</v>
      </c>
      <c r="D816">
        <v>4</v>
      </c>
      <c r="E816" t="s">
        <v>885</v>
      </c>
      <c r="F816" t="s">
        <v>886</v>
      </c>
      <c r="G816" t="s">
        <v>887</v>
      </c>
    </row>
    <row r="817" spans="1:7" x14ac:dyDescent="0.25">
      <c r="A817" t="s">
        <v>539</v>
      </c>
      <c r="B817">
        <v>145</v>
      </c>
      <c r="C817">
        <v>-104</v>
      </c>
      <c r="D817">
        <v>5</v>
      </c>
      <c r="E817" t="s">
        <v>888</v>
      </c>
      <c r="F817" t="s">
        <v>889</v>
      </c>
      <c r="G817" t="s">
        <v>898</v>
      </c>
    </row>
    <row r="818" spans="1:7" x14ac:dyDescent="0.25">
      <c r="A818" t="s">
        <v>335</v>
      </c>
      <c r="B818">
        <v>72</v>
      </c>
      <c r="C818">
        <v>-49</v>
      </c>
      <c r="D818">
        <v>1</v>
      </c>
      <c r="E818" t="s">
        <v>885</v>
      </c>
      <c r="F818" t="s">
        <v>894</v>
      </c>
      <c r="G818" t="s">
        <v>887</v>
      </c>
    </row>
    <row r="819" spans="1:7" x14ac:dyDescent="0.25">
      <c r="A819" t="s">
        <v>89</v>
      </c>
      <c r="B819">
        <v>125</v>
      </c>
      <c r="C819">
        <v>15</v>
      </c>
      <c r="D819">
        <v>5</v>
      </c>
      <c r="E819" t="s">
        <v>895</v>
      </c>
      <c r="F819" t="s">
        <v>909</v>
      </c>
      <c r="G819" t="s">
        <v>890</v>
      </c>
    </row>
    <row r="820" spans="1:7" x14ac:dyDescent="0.25">
      <c r="A820" t="s">
        <v>108</v>
      </c>
      <c r="B820">
        <v>149</v>
      </c>
      <c r="C820">
        <v>15</v>
      </c>
      <c r="D820">
        <v>3</v>
      </c>
      <c r="E820" t="s">
        <v>895</v>
      </c>
      <c r="F820" t="s">
        <v>897</v>
      </c>
      <c r="G820" t="s">
        <v>907</v>
      </c>
    </row>
    <row r="821" spans="1:7" x14ac:dyDescent="0.25">
      <c r="A821" t="s">
        <v>256</v>
      </c>
      <c r="B821">
        <v>72</v>
      </c>
      <c r="C821">
        <v>16</v>
      </c>
      <c r="D821">
        <v>2</v>
      </c>
      <c r="E821" t="s">
        <v>895</v>
      </c>
      <c r="F821" t="s">
        <v>909</v>
      </c>
      <c r="G821" t="s">
        <v>887</v>
      </c>
    </row>
    <row r="822" spans="1:7" x14ac:dyDescent="0.25">
      <c r="A822" t="s">
        <v>57</v>
      </c>
      <c r="B822">
        <v>71</v>
      </c>
      <c r="C822">
        <v>0</v>
      </c>
      <c r="D822">
        <v>8</v>
      </c>
      <c r="E822" t="s">
        <v>895</v>
      </c>
      <c r="F822" t="s">
        <v>901</v>
      </c>
      <c r="G822" t="s">
        <v>887</v>
      </c>
    </row>
    <row r="823" spans="1:7" x14ac:dyDescent="0.25">
      <c r="A823" t="s">
        <v>760</v>
      </c>
      <c r="B823">
        <v>71</v>
      </c>
      <c r="C823">
        <v>-14</v>
      </c>
      <c r="D823">
        <v>4</v>
      </c>
      <c r="E823" t="s">
        <v>888</v>
      </c>
      <c r="F823" t="s">
        <v>908</v>
      </c>
      <c r="G823" t="s">
        <v>887</v>
      </c>
    </row>
    <row r="824" spans="1:7" x14ac:dyDescent="0.25">
      <c r="A824" t="s">
        <v>148</v>
      </c>
      <c r="B824">
        <v>154</v>
      </c>
      <c r="C824">
        <v>-85</v>
      </c>
      <c r="D824">
        <v>3</v>
      </c>
      <c r="E824" t="s">
        <v>888</v>
      </c>
      <c r="F824" t="s">
        <v>889</v>
      </c>
      <c r="G824" t="s">
        <v>890</v>
      </c>
    </row>
    <row r="825" spans="1:7" x14ac:dyDescent="0.25">
      <c r="A825" t="s">
        <v>304</v>
      </c>
      <c r="B825">
        <v>191</v>
      </c>
      <c r="C825">
        <v>13</v>
      </c>
      <c r="D825">
        <v>8</v>
      </c>
      <c r="E825" t="s">
        <v>888</v>
      </c>
      <c r="F825" t="s">
        <v>908</v>
      </c>
      <c r="G825" t="s">
        <v>887</v>
      </c>
    </row>
    <row r="826" spans="1:7" x14ac:dyDescent="0.25">
      <c r="A826" t="s">
        <v>591</v>
      </c>
      <c r="B826">
        <v>170</v>
      </c>
      <c r="C826">
        <v>19</v>
      </c>
      <c r="D826">
        <v>5</v>
      </c>
      <c r="E826" t="s">
        <v>895</v>
      </c>
      <c r="F826" t="s">
        <v>906</v>
      </c>
      <c r="G826" t="s">
        <v>898</v>
      </c>
    </row>
    <row r="827" spans="1:7" x14ac:dyDescent="0.25">
      <c r="A827" t="s">
        <v>71</v>
      </c>
      <c r="B827">
        <v>47</v>
      </c>
      <c r="C827">
        <v>-3</v>
      </c>
      <c r="D827">
        <v>2</v>
      </c>
      <c r="E827" t="s">
        <v>895</v>
      </c>
      <c r="F827" t="s">
        <v>903</v>
      </c>
      <c r="G827" t="s">
        <v>898</v>
      </c>
    </row>
    <row r="828" spans="1:7" x14ac:dyDescent="0.25">
      <c r="A828" t="s">
        <v>489</v>
      </c>
      <c r="B828">
        <v>122</v>
      </c>
      <c r="C828">
        <v>-47</v>
      </c>
      <c r="D828">
        <v>4</v>
      </c>
      <c r="E828" t="s">
        <v>895</v>
      </c>
      <c r="F828" t="s">
        <v>897</v>
      </c>
      <c r="G828" t="s">
        <v>890</v>
      </c>
    </row>
    <row r="829" spans="1:7" x14ac:dyDescent="0.25">
      <c r="A829" t="s">
        <v>216</v>
      </c>
      <c r="B829">
        <v>70</v>
      </c>
      <c r="C829">
        <v>26</v>
      </c>
      <c r="D829">
        <v>5</v>
      </c>
      <c r="E829" t="s">
        <v>895</v>
      </c>
      <c r="F829" t="s">
        <v>899</v>
      </c>
      <c r="G829" t="s">
        <v>887</v>
      </c>
    </row>
    <row r="830" spans="1:7" x14ac:dyDescent="0.25">
      <c r="A830" t="s">
        <v>614</v>
      </c>
      <c r="B830">
        <v>155</v>
      </c>
      <c r="C830">
        <v>5</v>
      </c>
      <c r="D830">
        <v>3</v>
      </c>
      <c r="E830" t="s">
        <v>895</v>
      </c>
      <c r="F830" t="s">
        <v>903</v>
      </c>
      <c r="G830" t="s">
        <v>890</v>
      </c>
    </row>
    <row r="831" spans="1:7" x14ac:dyDescent="0.25">
      <c r="A831" t="s">
        <v>490</v>
      </c>
      <c r="B831">
        <v>67</v>
      </c>
      <c r="C831">
        <v>-86</v>
      </c>
      <c r="D831">
        <v>9</v>
      </c>
      <c r="E831" t="s">
        <v>888</v>
      </c>
      <c r="F831" t="s">
        <v>908</v>
      </c>
      <c r="G831" t="s">
        <v>887</v>
      </c>
    </row>
    <row r="832" spans="1:7" x14ac:dyDescent="0.25">
      <c r="A832" t="s">
        <v>152</v>
      </c>
      <c r="B832">
        <v>67</v>
      </c>
      <c r="C832">
        <v>-42</v>
      </c>
      <c r="D832">
        <v>3</v>
      </c>
      <c r="E832" t="s">
        <v>895</v>
      </c>
      <c r="F832" t="s">
        <v>903</v>
      </c>
      <c r="G832" t="s">
        <v>887</v>
      </c>
    </row>
    <row r="833" spans="1:7" x14ac:dyDescent="0.25">
      <c r="A833" t="s">
        <v>81</v>
      </c>
      <c r="B833">
        <v>148</v>
      </c>
      <c r="C833">
        <v>-101</v>
      </c>
      <c r="D833">
        <v>2</v>
      </c>
      <c r="E833" t="s">
        <v>888</v>
      </c>
      <c r="F833" t="s">
        <v>891</v>
      </c>
      <c r="G833" t="s">
        <v>898</v>
      </c>
    </row>
    <row r="834" spans="1:7" x14ac:dyDescent="0.25">
      <c r="A834" t="s">
        <v>676</v>
      </c>
      <c r="B834">
        <v>122</v>
      </c>
      <c r="C834">
        <v>38</v>
      </c>
      <c r="D834">
        <v>6</v>
      </c>
      <c r="E834" t="s">
        <v>895</v>
      </c>
      <c r="F834" t="s">
        <v>906</v>
      </c>
      <c r="G834" t="s">
        <v>893</v>
      </c>
    </row>
    <row r="835" spans="1:7" x14ac:dyDescent="0.25">
      <c r="A835" t="s">
        <v>865</v>
      </c>
      <c r="B835">
        <v>16</v>
      </c>
      <c r="C835">
        <v>-5</v>
      </c>
      <c r="D835">
        <v>2</v>
      </c>
      <c r="E835" t="s">
        <v>895</v>
      </c>
      <c r="F835" t="s">
        <v>903</v>
      </c>
      <c r="G835" t="s">
        <v>898</v>
      </c>
    </row>
    <row r="836" spans="1:7" x14ac:dyDescent="0.25">
      <c r="A836" t="s">
        <v>414</v>
      </c>
      <c r="B836">
        <v>121</v>
      </c>
      <c r="C836">
        <v>-17</v>
      </c>
      <c r="D836">
        <v>3</v>
      </c>
      <c r="E836" t="s">
        <v>888</v>
      </c>
      <c r="F836" t="s">
        <v>908</v>
      </c>
      <c r="G836" t="s">
        <v>893</v>
      </c>
    </row>
    <row r="837" spans="1:7" x14ac:dyDescent="0.25">
      <c r="A837" t="s">
        <v>367</v>
      </c>
      <c r="B837">
        <v>42</v>
      </c>
      <c r="C837">
        <v>-15</v>
      </c>
      <c r="D837">
        <v>12</v>
      </c>
      <c r="E837" t="s">
        <v>895</v>
      </c>
      <c r="F837" t="s">
        <v>901</v>
      </c>
      <c r="G837" t="s">
        <v>898</v>
      </c>
    </row>
    <row r="838" spans="1:7" x14ac:dyDescent="0.25">
      <c r="A838" t="s">
        <v>373</v>
      </c>
      <c r="B838">
        <v>65</v>
      </c>
      <c r="C838">
        <v>-4</v>
      </c>
      <c r="D838">
        <v>6</v>
      </c>
      <c r="E838" t="s">
        <v>895</v>
      </c>
      <c r="F838" t="s">
        <v>899</v>
      </c>
      <c r="G838" t="s">
        <v>887</v>
      </c>
    </row>
    <row r="839" spans="1:7" x14ac:dyDescent="0.25">
      <c r="A839" t="s">
        <v>684</v>
      </c>
      <c r="B839">
        <v>119</v>
      </c>
      <c r="C839">
        <v>-43</v>
      </c>
      <c r="D839">
        <v>7</v>
      </c>
      <c r="E839" t="s">
        <v>895</v>
      </c>
      <c r="F839" t="s">
        <v>900</v>
      </c>
      <c r="G839" t="s">
        <v>893</v>
      </c>
    </row>
    <row r="840" spans="1:7" x14ac:dyDescent="0.25">
      <c r="A840" t="s">
        <v>421</v>
      </c>
      <c r="B840">
        <v>155</v>
      </c>
      <c r="C840">
        <v>56</v>
      </c>
      <c r="D840">
        <v>3</v>
      </c>
      <c r="E840" t="s">
        <v>888</v>
      </c>
      <c r="F840" t="s">
        <v>908</v>
      </c>
      <c r="G840" t="s">
        <v>890</v>
      </c>
    </row>
    <row r="841" spans="1:7" x14ac:dyDescent="0.25">
      <c r="A841" t="s">
        <v>32</v>
      </c>
      <c r="B841">
        <v>119</v>
      </c>
      <c r="C841">
        <v>-5</v>
      </c>
      <c r="D841">
        <v>8</v>
      </c>
      <c r="E841" t="s">
        <v>895</v>
      </c>
      <c r="F841" t="s">
        <v>897</v>
      </c>
      <c r="G841" t="s">
        <v>893</v>
      </c>
    </row>
    <row r="842" spans="1:7" x14ac:dyDescent="0.25">
      <c r="A842" t="s">
        <v>685</v>
      </c>
      <c r="B842">
        <v>118</v>
      </c>
      <c r="C842">
        <v>25</v>
      </c>
      <c r="D842">
        <v>4</v>
      </c>
      <c r="E842" t="s">
        <v>895</v>
      </c>
      <c r="F842" t="s">
        <v>899</v>
      </c>
      <c r="G842" t="s">
        <v>893</v>
      </c>
    </row>
    <row r="843" spans="1:7" x14ac:dyDescent="0.25">
      <c r="A843" t="s">
        <v>175</v>
      </c>
      <c r="B843">
        <v>116</v>
      </c>
      <c r="C843">
        <v>22</v>
      </c>
      <c r="D843">
        <v>1</v>
      </c>
      <c r="E843" t="s">
        <v>885</v>
      </c>
      <c r="F843" t="s">
        <v>905</v>
      </c>
      <c r="G843" t="s">
        <v>893</v>
      </c>
    </row>
    <row r="844" spans="1:7" x14ac:dyDescent="0.25">
      <c r="A844" t="s">
        <v>91</v>
      </c>
      <c r="B844">
        <v>158</v>
      </c>
      <c r="C844">
        <v>-29</v>
      </c>
      <c r="D844">
        <v>10</v>
      </c>
      <c r="E844" t="s">
        <v>895</v>
      </c>
      <c r="F844" t="s">
        <v>899</v>
      </c>
      <c r="G844" t="s">
        <v>890</v>
      </c>
    </row>
    <row r="845" spans="1:7" x14ac:dyDescent="0.25">
      <c r="A845" t="s">
        <v>609</v>
      </c>
      <c r="B845">
        <v>158</v>
      </c>
      <c r="C845">
        <v>69</v>
      </c>
      <c r="D845">
        <v>3</v>
      </c>
      <c r="E845" t="s">
        <v>895</v>
      </c>
      <c r="F845" t="s">
        <v>903</v>
      </c>
      <c r="G845" t="s">
        <v>890</v>
      </c>
    </row>
    <row r="846" spans="1:7" x14ac:dyDescent="0.25">
      <c r="A846" t="s">
        <v>212</v>
      </c>
      <c r="B846">
        <v>65</v>
      </c>
      <c r="C846">
        <v>-52</v>
      </c>
      <c r="D846">
        <v>3</v>
      </c>
      <c r="E846" t="s">
        <v>885</v>
      </c>
      <c r="F846" t="s">
        <v>905</v>
      </c>
      <c r="G846" t="s">
        <v>887</v>
      </c>
    </row>
    <row r="847" spans="1:7" x14ac:dyDescent="0.25">
      <c r="A847" t="s">
        <v>603</v>
      </c>
      <c r="B847">
        <v>160</v>
      </c>
      <c r="C847">
        <v>-59</v>
      </c>
      <c r="D847">
        <v>2</v>
      </c>
      <c r="E847" t="s">
        <v>895</v>
      </c>
      <c r="F847" t="s">
        <v>897</v>
      </c>
      <c r="G847" t="s">
        <v>890</v>
      </c>
    </row>
    <row r="848" spans="1:7" x14ac:dyDescent="0.25">
      <c r="A848" t="s">
        <v>77</v>
      </c>
      <c r="B848">
        <v>162</v>
      </c>
      <c r="C848">
        <v>20</v>
      </c>
      <c r="D848">
        <v>3</v>
      </c>
      <c r="E848" t="s">
        <v>888</v>
      </c>
      <c r="F848" t="s">
        <v>889</v>
      </c>
      <c r="G848" t="s">
        <v>890</v>
      </c>
    </row>
    <row r="849" spans="1:7" x14ac:dyDescent="0.25">
      <c r="A849" t="s">
        <v>387</v>
      </c>
      <c r="B849">
        <v>63</v>
      </c>
      <c r="C849">
        <v>1</v>
      </c>
      <c r="D849">
        <v>4</v>
      </c>
      <c r="E849" t="s">
        <v>895</v>
      </c>
      <c r="F849" t="s">
        <v>906</v>
      </c>
      <c r="G849" t="s">
        <v>887</v>
      </c>
    </row>
    <row r="850" spans="1:7" x14ac:dyDescent="0.25">
      <c r="A850" t="s">
        <v>768</v>
      </c>
      <c r="B850">
        <v>64</v>
      </c>
      <c r="C850">
        <v>27</v>
      </c>
      <c r="D850">
        <v>5</v>
      </c>
      <c r="E850" t="s">
        <v>895</v>
      </c>
      <c r="F850" t="s">
        <v>899</v>
      </c>
      <c r="G850" t="s">
        <v>898</v>
      </c>
    </row>
    <row r="851" spans="1:7" x14ac:dyDescent="0.25">
      <c r="A851" t="s">
        <v>599</v>
      </c>
      <c r="B851">
        <v>166</v>
      </c>
      <c r="C851">
        <v>-113</v>
      </c>
      <c r="D851">
        <v>4</v>
      </c>
      <c r="E851" t="s">
        <v>885</v>
      </c>
      <c r="F851" t="s">
        <v>905</v>
      </c>
      <c r="G851" t="s">
        <v>890</v>
      </c>
    </row>
    <row r="852" spans="1:7" x14ac:dyDescent="0.25">
      <c r="A852" t="s">
        <v>597</v>
      </c>
      <c r="B852">
        <v>167</v>
      </c>
      <c r="C852">
        <v>43</v>
      </c>
      <c r="D852">
        <v>7</v>
      </c>
      <c r="E852" t="s">
        <v>895</v>
      </c>
      <c r="F852" t="s">
        <v>906</v>
      </c>
      <c r="G852" t="s">
        <v>890</v>
      </c>
    </row>
    <row r="853" spans="1:7" x14ac:dyDescent="0.25">
      <c r="A853" t="s">
        <v>670</v>
      </c>
      <c r="B853">
        <v>123</v>
      </c>
      <c r="C853">
        <v>17</v>
      </c>
      <c r="D853">
        <v>3</v>
      </c>
      <c r="E853" t="s">
        <v>888</v>
      </c>
      <c r="F853" t="s">
        <v>908</v>
      </c>
      <c r="G853" t="s">
        <v>887</v>
      </c>
    </row>
    <row r="854" spans="1:7" x14ac:dyDescent="0.25">
      <c r="A854" t="s">
        <v>277</v>
      </c>
      <c r="B854">
        <v>63</v>
      </c>
      <c r="C854">
        <v>14</v>
      </c>
      <c r="D854">
        <v>2</v>
      </c>
      <c r="E854" t="s">
        <v>895</v>
      </c>
      <c r="F854" t="s">
        <v>909</v>
      </c>
      <c r="G854" t="s">
        <v>887</v>
      </c>
    </row>
    <row r="855" spans="1:7" x14ac:dyDescent="0.25">
      <c r="A855" t="s">
        <v>235</v>
      </c>
      <c r="B855">
        <v>891</v>
      </c>
      <c r="C855">
        <v>0</v>
      </c>
      <c r="D855">
        <v>5</v>
      </c>
      <c r="E855" t="s">
        <v>895</v>
      </c>
      <c r="F855" t="s">
        <v>897</v>
      </c>
      <c r="G855" t="s">
        <v>887</v>
      </c>
    </row>
    <row r="856" spans="1:7" x14ac:dyDescent="0.25">
      <c r="A856" t="s">
        <v>724</v>
      </c>
      <c r="B856">
        <v>75</v>
      </c>
      <c r="C856">
        <v>28</v>
      </c>
      <c r="D856">
        <v>9</v>
      </c>
      <c r="E856" t="s">
        <v>895</v>
      </c>
      <c r="F856" t="s">
        <v>899</v>
      </c>
      <c r="G856" t="s">
        <v>898</v>
      </c>
    </row>
    <row r="857" spans="1:7" x14ac:dyDescent="0.25">
      <c r="A857" t="s">
        <v>544</v>
      </c>
      <c r="B857">
        <v>62</v>
      </c>
      <c r="C857">
        <v>6</v>
      </c>
      <c r="D857">
        <v>5</v>
      </c>
      <c r="E857" t="s">
        <v>895</v>
      </c>
      <c r="F857" t="s">
        <v>899</v>
      </c>
      <c r="G857" t="s">
        <v>887</v>
      </c>
    </row>
    <row r="858" spans="1:7" x14ac:dyDescent="0.25">
      <c r="A858" t="s">
        <v>571</v>
      </c>
      <c r="B858">
        <v>29</v>
      </c>
      <c r="C858">
        <v>-18</v>
      </c>
      <c r="D858">
        <v>7</v>
      </c>
      <c r="E858" t="s">
        <v>895</v>
      </c>
      <c r="F858" t="s">
        <v>901</v>
      </c>
      <c r="G858" t="s">
        <v>898</v>
      </c>
    </row>
    <row r="859" spans="1:7" x14ac:dyDescent="0.25">
      <c r="A859" t="s">
        <v>596</v>
      </c>
      <c r="B859">
        <v>168</v>
      </c>
      <c r="C859">
        <v>18</v>
      </c>
      <c r="D859">
        <v>6</v>
      </c>
      <c r="E859" t="s">
        <v>895</v>
      </c>
      <c r="F859" t="s">
        <v>903</v>
      </c>
      <c r="G859" t="s">
        <v>907</v>
      </c>
    </row>
    <row r="860" spans="1:7" x14ac:dyDescent="0.25">
      <c r="A860" t="s">
        <v>425</v>
      </c>
      <c r="B860">
        <v>70</v>
      </c>
      <c r="C860">
        <v>24</v>
      </c>
      <c r="D860">
        <v>3</v>
      </c>
      <c r="E860" t="s">
        <v>895</v>
      </c>
      <c r="F860" t="s">
        <v>903</v>
      </c>
      <c r="G860" t="s">
        <v>898</v>
      </c>
    </row>
    <row r="861" spans="1:7" x14ac:dyDescent="0.25">
      <c r="A861" t="s">
        <v>395</v>
      </c>
      <c r="B861">
        <v>169</v>
      </c>
      <c r="C861">
        <v>55</v>
      </c>
      <c r="D861">
        <v>4</v>
      </c>
      <c r="E861" t="s">
        <v>895</v>
      </c>
      <c r="F861" t="s">
        <v>897</v>
      </c>
      <c r="G861" t="s">
        <v>907</v>
      </c>
    </row>
    <row r="862" spans="1:7" x14ac:dyDescent="0.25">
      <c r="A862" t="s">
        <v>304</v>
      </c>
      <c r="B862">
        <v>32</v>
      </c>
      <c r="C862">
        <v>-8</v>
      </c>
      <c r="D862">
        <v>2</v>
      </c>
      <c r="E862" t="s">
        <v>895</v>
      </c>
      <c r="F862" t="s">
        <v>903</v>
      </c>
      <c r="G862" t="s">
        <v>887</v>
      </c>
    </row>
    <row r="863" spans="1:7" x14ac:dyDescent="0.25">
      <c r="A863" t="s">
        <v>258</v>
      </c>
      <c r="B863">
        <v>44</v>
      </c>
      <c r="C863">
        <v>-8</v>
      </c>
      <c r="D863">
        <v>3</v>
      </c>
      <c r="E863" t="s">
        <v>895</v>
      </c>
      <c r="F863" t="s">
        <v>903</v>
      </c>
      <c r="G863" t="s">
        <v>898</v>
      </c>
    </row>
    <row r="864" spans="1:7" x14ac:dyDescent="0.25">
      <c r="A864" t="s">
        <v>689</v>
      </c>
      <c r="B864">
        <v>116</v>
      </c>
      <c r="C864">
        <v>-56</v>
      </c>
      <c r="D864">
        <v>5</v>
      </c>
      <c r="E864" t="s">
        <v>895</v>
      </c>
      <c r="F864" t="s">
        <v>903</v>
      </c>
      <c r="G864" t="s">
        <v>893</v>
      </c>
    </row>
    <row r="865" spans="1:7" x14ac:dyDescent="0.25">
      <c r="A865" t="s">
        <v>611</v>
      </c>
      <c r="B865">
        <v>156</v>
      </c>
      <c r="C865">
        <v>21</v>
      </c>
      <c r="D865">
        <v>3</v>
      </c>
      <c r="E865" t="s">
        <v>888</v>
      </c>
      <c r="F865" t="s">
        <v>889</v>
      </c>
      <c r="G865" t="s">
        <v>887</v>
      </c>
    </row>
    <row r="866" spans="1:7" x14ac:dyDescent="0.25">
      <c r="A866" t="s">
        <v>476</v>
      </c>
      <c r="B866">
        <v>62</v>
      </c>
      <c r="C866">
        <v>6</v>
      </c>
      <c r="D866">
        <v>6</v>
      </c>
      <c r="E866" t="s">
        <v>895</v>
      </c>
      <c r="F866" t="s">
        <v>901</v>
      </c>
      <c r="G866" t="s">
        <v>887</v>
      </c>
    </row>
    <row r="867" spans="1:7" x14ac:dyDescent="0.25">
      <c r="A867" t="s">
        <v>57</v>
      </c>
      <c r="B867">
        <v>54</v>
      </c>
      <c r="C867">
        <v>1</v>
      </c>
      <c r="D867">
        <v>2</v>
      </c>
      <c r="E867" t="s">
        <v>895</v>
      </c>
      <c r="F867" t="s">
        <v>897</v>
      </c>
      <c r="G867" t="s">
        <v>898</v>
      </c>
    </row>
    <row r="868" spans="1:7" x14ac:dyDescent="0.25">
      <c r="A868" t="s">
        <v>284</v>
      </c>
      <c r="B868">
        <v>111</v>
      </c>
      <c r="C868">
        <v>11</v>
      </c>
      <c r="D868">
        <v>9</v>
      </c>
      <c r="E868" t="s">
        <v>895</v>
      </c>
      <c r="F868" t="s">
        <v>899</v>
      </c>
      <c r="G868" t="s">
        <v>893</v>
      </c>
    </row>
    <row r="869" spans="1:7" x14ac:dyDescent="0.25">
      <c r="A869" t="s">
        <v>607</v>
      </c>
      <c r="B869">
        <v>158</v>
      </c>
      <c r="C869">
        <v>-63</v>
      </c>
      <c r="D869">
        <v>4</v>
      </c>
      <c r="E869" t="s">
        <v>888</v>
      </c>
      <c r="F869" t="s">
        <v>889</v>
      </c>
      <c r="G869" t="s">
        <v>898</v>
      </c>
    </row>
    <row r="870" spans="1:7" x14ac:dyDescent="0.25">
      <c r="A870" t="s">
        <v>478</v>
      </c>
      <c r="B870">
        <v>7</v>
      </c>
      <c r="C870">
        <v>-3</v>
      </c>
      <c r="D870">
        <v>2</v>
      </c>
      <c r="E870" t="s">
        <v>895</v>
      </c>
      <c r="F870" t="s">
        <v>901</v>
      </c>
      <c r="G870" t="s">
        <v>898</v>
      </c>
    </row>
    <row r="871" spans="1:7" x14ac:dyDescent="0.25">
      <c r="A871" t="s">
        <v>604</v>
      </c>
      <c r="B871">
        <v>61</v>
      </c>
      <c r="C871">
        <v>28</v>
      </c>
      <c r="D871">
        <v>2</v>
      </c>
      <c r="E871" t="s">
        <v>895</v>
      </c>
      <c r="F871" t="s">
        <v>899</v>
      </c>
      <c r="G871" t="s">
        <v>898</v>
      </c>
    </row>
    <row r="872" spans="1:7" x14ac:dyDescent="0.25">
      <c r="A872" t="s">
        <v>28</v>
      </c>
      <c r="B872">
        <v>61</v>
      </c>
      <c r="C872">
        <v>-50</v>
      </c>
      <c r="D872">
        <v>4</v>
      </c>
      <c r="E872" t="s">
        <v>895</v>
      </c>
      <c r="F872" t="s">
        <v>899</v>
      </c>
      <c r="G872" t="s">
        <v>887</v>
      </c>
    </row>
    <row r="873" spans="1:7" x14ac:dyDescent="0.25">
      <c r="A873" t="s">
        <v>75</v>
      </c>
      <c r="B873">
        <v>154</v>
      </c>
      <c r="C873">
        <v>26</v>
      </c>
      <c r="D873">
        <v>4</v>
      </c>
      <c r="E873" t="s">
        <v>885</v>
      </c>
      <c r="F873" t="s">
        <v>905</v>
      </c>
      <c r="G873" t="s">
        <v>887</v>
      </c>
    </row>
    <row r="874" spans="1:7" x14ac:dyDescent="0.25">
      <c r="A874" t="s">
        <v>470</v>
      </c>
      <c r="B874">
        <v>62</v>
      </c>
      <c r="C874">
        <v>1</v>
      </c>
      <c r="D874">
        <v>3</v>
      </c>
      <c r="E874" t="s">
        <v>895</v>
      </c>
      <c r="F874" t="s">
        <v>897</v>
      </c>
      <c r="G874" t="s">
        <v>887</v>
      </c>
    </row>
    <row r="875" spans="1:7" x14ac:dyDescent="0.25">
      <c r="A875" t="s">
        <v>593</v>
      </c>
      <c r="B875">
        <v>169</v>
      </c>
      <c r="C875">
        <v>38</v>
      </c>
      <c r="D875">
        <v>3</v>
      </c>
      <c r="E875" t="s">
        <v>895</v>
      </c>
      <c r="F875" t="s">
        <v>897</v>
      </c>
      <c r="G875" t="s">
        <v>907</v>
      </c>
    </row>
    <row r="876" spans="1:7" x14ac:dyDescent="0.25">
      <c r="A876" t="s">
        <v>403</v>
      </c>
      <c r="B876">
        <v>61</v>
      </c>
      <c r="C876">
        <v>18</v>
      </c>
      <c r="D876">
        <v>2</v>
      </c>
      <c r="E876" t="s">
        <v>885</v>
      </c>
      <c r="F876" t="s">
        <v>905</v>
      </c>
      <c r="G876" t="s">
        <v>887</v>
      </c>
    </row>
    <row r="877" spans="1:7" x14ac:dyDescent="0.25">
      <c r="A877" t="s">
        <v>124</v>
      </c>
      <c r="B877">
        <v>61</v>
      </c>
      <c r="C877">
        <v>-23</v>
      </c>
      <c r="D877">
        <v>2</v>
      </c>
      <c r="E877" t="s">
        <v>895</v>
      </c>
      <c r="F877" t="s">
        <v>897</v>
      </c>
      <c r="G877" t="s">
        <v>887</v>
      </c>
    </row>
    <row r="878" spans="1:7" x14ac:dyDescent="0.25">
      <c r="A878" t="s">
        <v>587</v>
      </c>
      <c r="B878">
        <v>171</v>
      </c>
      <c r="C878">
        <v>14</v>
      </c>
      <c r="D878">
        <v>9</v>
      </c>
      <c r="E878" t="s">
        <v>895</v>
      </c>
      <c r="F878" t="s">
        <v>909</v>
      </c>
      <c r="G878" t="s">
        <v>907</v>
      </c>
    </row>
    <row r="879" spans="1:7" x14ac:dyDescent="0.25">
      <c r="A879" t="s">
        <v>271</v>
      </c>
      <c r="B879">
        <v>60</v>
      </c>
      <c r="C879">
        <v>-49</v>
      </c>
      <c r="D879">
        <v>8</v>
      </c>
      <c r="E879" t="s">
        <v>895</v>
      </c>
      <c r="F879" t="s">
        <v>899</v>
      </c>
      <c r="G879" t="s">
        <v>887</v>
      </c>
    </row>
    <row r="880" spans="1:7" x14ac:dyDescent="0.25">
      <c r="A880" t="s">
        <v>826</v>
      </c>
      <c r="B880">
        <v>25</v>
      </c>
      <c r="C880">
        <v>-11</v>
      </c>
      <c r="D880">
        <v>1</v>
      </c>
      <c r="E880" t="s">
        <v>895</v>
      </c>
      <c r="F880" t="s">
        <v>903</v>
      </c>
      <c r="G880" t="s">
        <v>898</v>
      </c>
    </row>
    <row r="881" spans="1:7" x14ac:dyDescent="0.25">
      <c r="A881" t="s">
        <v>536</v>
      </c>
      <c r="B881">
        <v>163</v>
      </c>
      <c r="C881">
        <v>26</v>
      </c>
      <c r="D881">
        <v>4</v>
      </c>
      <c r="E881" t="s">
        <v>895</v>
      </c>
      <c r="F881" t="s">
        <v>909</v>
      </c>
      <c r="G881" t="s">
        <v>887</v>
      </c>
    </row>
    <row r="882" spans="1:7" x14ac:dyDescent="0.25">
      <c r="A882" t="s">
        <v>7</v>
      </c>
      <c r="B882">
        <v>173</v>
      </c>
      <c r="C882">
        <v>86</v>
      </c>
      <c r="D882">
        <v>1</v>
      </c>
      <c r="E882" t="s">
        <v>885</v>
      </c>
      <c r="F882" t="s">
        <v>892</v>
      </c>
      <c r="G882" t="s">
        <v>907</v>
      </c>
    </row>
    <row r="883" spans="1:7" x14ac:dyDescent="0.25">
      <c r="A883" t="s">
        <v>71</v>
      </c>
      <c r="B883">
        <v>257</v>
      </c>
      <c r="C883">
        <v>-3</v>
      </c>
      <c r="D883">
        <v>2</v>
      </c>
      <c r="E883" t="s">
        <v>888</v>
      </c>
      <c r="F883" t="s">
        <v>891</v>
      </c>
      <c r="G883" t="s">
        <v>898</v>
      </c>
    </row>
    <row r="884" spans="1:7" x14ac:dyDescent="0.25">
      <c r="A884" t="s">
        <v>699</v>
      </c>
      <c r="B884">
        <v>108</v>
      </c>
      <c r="C884">
        <v>37</v>
      </c>
      <c r="D884">
        <v>2</v>
      </c>
      <c r="E884" t="s">
        <v>895</v>
      </c>
      <c r="F884" t="s">
        <v>903</v>
      </c>
      <c r="G884" t="s">
        <v>893</v>
      </c>
    </row>
    <row r="885" spans="1:7" x14ac:dyDescent="0.25">
      <c r="A885" t="s">
        <v>582</v>
      </c>
      <c r="B885">
        <v>177</v>
      </c>
      <c r="C885">
        <v>41</v>
      </c>
      <c r="D885">
        <v>4</v>
      </c>
      <c r="E885" t="s">
        <v>895</v>
      </c>
      <c r="F885" t="s">
        <v>909</v>
      </c>
      <c r="G885" t="s">
        <v>907</v>
      </c>
    </row>
    <row r="886" spans="1:7" x14ac:dyDescent="0.25">
      <c r="A886" t="s">
        <v>16</v>
      </c>
      <c r="B886">
        <v>106</v>
      </c>
      <c r="C886">
        <v>15</v>
      </c>
      <c r="D886">
        <v>7</v>
      </c>
      <c r="E886" t="s">
        <v>895</v>
      </c>
      <c r="F886" t="s">
        <v>899</v>
      </c>
      <c r="G886" t="s">
        <v>893</v>
      </c>
    </row>
    <row r="887" spans="1:7" x14ac:dyDescent="0.25">
      <c r="A887" t="s">
        <v>486</v>
      </c>
      <c r="B887">
        <v>41</v>
      </c>
      <c r="C887">
        <v>-14</v>
      </c>
      <c r="D887">
        <v>5</v>
      </c>
      <c r="E887" t="s">
        <v>895</v>
      </c>
      <c r="F887" t="s">
        <v>904</v>
      </c>
      <c r="G887" t="s">
        <v>898</v>
      </c>
    </row>
    <row r="888" spans="1:7" x14ac:dyDescent="0.25">
      <c r="A888" t="s">
        <v>140</v>
      </c>
      <c r="B888">
        <v>168</v>
      </c>
      <c r="C888">
        <v>-10</v>
      </c>
      <c r="D888">
        <v>3</v>
      </c>
      <c r="E888" t="s">
        <v>885</v>
      </c>
      <c r="F888" t="s">
        <v>905</v>
      </c>
      <c r="G888" t="s">
        <v>898</v>
      </c>
    </row>
    <row r="889" spans="1:7" x14ac:dyDescent="0.25">
      <c r="A889" t="s">
        <v>668</v>
      </c>
      <c r="B889">
        <v>60</v>
      </c>
      <c r="C889">
        <v>21</v>
      </c>
      <c r="D889">
        <v>4</v>
      </c>
      <c r="E889" t="s">
        <v>895</v>
      </c>
      <c r="F889" t="s">
        <v>903</v>
      </c>
      <c r="G889" t="s">
        <v>887</v>
      </c>
    </row>
    <row r="890" spans="1:7" x14ac:dyDescent="0.25">
      <c r="A890" t="s">
        <v>830</v>
      </c>
      <c r="B890">
        <v>31</v>
      </c>
      <c r="C890">
        <v>-11</v>
      </c>
      <c r="D890">
        <v>4</v>
      </c>
      <c r="E890" t="s">
        <v>895</v>
      </c>
      <c r="F890" t="s">
        <v>903</v>
      </c>
      <c r="G890" t="s">
        <v>887</v>
      </c>
    </row>
    <row r="891" spans="1:7" x14ac:dyDescent="0.25">
      <c r="A891" t="s">
        <v>676</v>
      </c>
      <c r="B891">
        <v>179</v>
      </c>
      <c r="C891">
        <v>0</v>
      </c>
      <c r="D891">
        <v>2</v>
      </c>
      <c r="E891" t="s">
        <v>895</v>
      </c>
      <c r="F891" t="s">
        <v>897</v>
      </c>
      <c r="G891" t="s">
        <v>907</v>
      </c>
    </row>
    <row r="892" spans="1:7" x14ac:dyDescent="0.25">
      <c r="A892" t="s">
        <v>275</v>
      </c>
      <c r="B892">
        <v>106</v>
      </c>
      <c r="C892">
        <v>12</v>
      </c>
      <c r="D892">
        <v>3</v>
      </c>
      <c r="E892" t="s">
        <v>895</v>
      </c>
      <c r="F892" t="s">
        <v>896</v>
      </c>
      <c r="G892" t="s">
        <v>893</v>
      </c>
    </row>
    <row r="893" spans="1:7" x14ac:dyDescent="0.25">
      <c r="A893" t="s">
        <v>416</v>
      </c>
      <c r="B893">
        <v>60</v>
      </c>
      <c r="C893">
        <v>13</v>
      </c>
      <c r="D893">
        <v>2</v>
      </c>
      <c r="E893" t="s">
        <v>895</v>
      </c>
      <c r="F893" t="s">
        <v>906</v>
      </c>
      <c r="G893" t="s">
        <v>887</v>
      </c>
    </row>
    <row r="894" spans="1:7" x14ac:dyDescent="0.25">
      <c r="A894" t="s">
        <v>134</v>
      </c>
      <c r="B894">
        <v>180</v>
      </c>
      <c r="C894">
        <v>5</v>
      </c>
      <c r="D894">
        <v>3</v>
      </c>
      <c r="E894" t="s">
        <v>895</v>
      </c>
      <c r="F894" t="s">
        <v>896</v>
      </c>
      <c r="G894" t="s">
        <v>907</v>
      </c>
    </row>
    <row r="895" spans="1:7" x14ac:dyDescent="0.25">
      <c r="A895" t="s">
        <v>411</v>
      </c>
      <c r="B895">
        <v>60</v>
      </c>
      <c r="C895">
        <v>-10</v>
      </c>
      <c r="D895">
        <v>2</v>
      </c>
      <c r="E895" t="s">
        <v>888</v>
      </c>
      <c r="F895" t="s">
        <v>908</v>
      </c>
      <c r="G895" t="s">
        <v>887</v>
      </c>
    </row>
    <row r="896" spans="1:7" x14ac:dyDescent="0.25">
      <c r="A896" t="s">
        <v>773</v>
      </c>
      <c r="B896">
        <v>59</v>
      </c>
      <c r="C896">
        <v>25</v>
      </c>
      <c r="D896">
        <v>3</v>
      </c>
      <c r="E896" t="s">
        <v>895</v>
      </c>
      <c r="F896" t="s">
        <v>903</v>
      </c>
      <c r="G896" t="s">
        <v>887</v>
      </c>
    </row>
    <row r="897" spans="1:7" x14ac:dyDescent="0.25">
      <c r="A897" t="s">
        <v>189</v>
      </c>
      <c r="B897">
        <v>170</v>
      </c>
      <c r="C897">
        <v>73</v>
      </c>
      <c r="D897">
        <v>2</v>
      </c>
      <c r="E897" t="s">
        <v>885</v>
      </c>
      <c r="F897" t="s">
        <v>905</v>
      </c>
      <c r="G897" t="s">
        <v>898</v>
      </c>
    </row>
    <row r="898" spans="1:7" x14ac:dyDescent="0.25">
      <c r="A898" t="s">
        <v>400</v>
      </c>
      <c r="B898">
        <v>59</v>
      </c>
      <c r="C898">
        <v>10</v>
      </c>
      <c r="D898">
        <v>2</v>
      </c>
      <c r="E898" t="s">
        <v>895</v>
      </c>
      <c r="F898" t="s">
        <v>899</v>
      </c>
      <c r="G898" t="s">
        <v>887</v>
      </c>
    </row>
    <row r="899" spans="1:7" x14ac:dyDescent="0.25">
      <c r="A899" t="s">
        <v>553</v>
      </c>
      <c r="B899">
        <v>24</v>
      </c>
      <c r="C899">
        <v>-21</v>
      </c>
      <c r="D899">
        <v>7</v>
      </c>
      <c r="E899" t="s">
        <v>895</v>
      </c>
      <c r="F899" t="s">
        <v>901</v>
      </c>
      <c r="G899" t="s">
        <v>887</v>
      </c>
    </row>
    <row r="900" spans="1:7" x14ac:dyDescent="0.25">
      <c r="A900" t="s">
        <v>633</v>
      </c>
      <c r="B900">
        <v>105</v>
      </c>
      <c r="C900">
        <v>-26</v>
      </c>
      <c r="D900">
        <v>8</v>
      </c>
      <c r="E900" t="s">
        <v>895</v>
      </c>
      <c r="F900" t="s">
        <v>904</v>
      </c>
      <c r="G900" t="s">
        <v>893</v>
      </c>
    </row>
    <row r="901" spans="1:7" x14ac:dyDescent="0.25">
      <c r="A901" t="s">
        <v>413</v>
      </c>
      <c r="B901">
        <v>103</v>
      </c>
      <c r="C901">
        <v>46</v>
      </c>
      <c r="D901">
        <v>2</v>
      </c>
      <c r="E901" t="s">
        <v>895</v>
      </c>
      <c r="F901" t="s">
        <v>897</v>
      </c>
      <c r="G901" t="s">
        <v>893</v>
      </c>
    </row>
    <row r="902" spans="1:7" x14ac:dyDescent="0.25">
      <c r="A902" t="s">
        <v>36</v>
      </c>
      <c r="B902">
        <v>171</v>
      </c>
      <c r="C902">
        <v>17</v>
      </c>
      <c r="D902">
        <v>6</v>
      </c>
      <c r="E902" t="s">
        <v>895</v>
      </c>
      <c r="F902" t="s">
        <v>906</v>
      </c>
      <c r="G902" t="s">
        <v>898</v>
      </c>
    </row>
    <row r="903" spans="1:7" x14ac:dyDescent="0.25">
      <c r="A903" t="s">
        <v>284</v>
      </c>
      <c r="B903">
        <v>102</v>
      </c>
      <c r="C903">
        <v>13</v>
      </c>
      <c r="D903">
        <v>2</v>
      </c>
      <c r="E903" t="s">
        <v>895</v>
      </c>
      <c r="F903" t="s">
        <v>903</v>
      </c>
      <c r="G903" t="s">
        <v>893</v>
      </c>
    </row>
    <row r="904" spans="1:7" x14ac:dyDescent="0.25">
      <c r="A904" t="s">
        <v>142</v>
      </c>
      <c r="B904">
        <v>98</v>
      </c>
      <c r="C904">
        <v>12</v>
      </c>
      <c r="D904">
        <v>2</v>
      </c>
      <c r="E904" t="s">
        <v>895</v>
      </c>
      <c r="F904" t="s">
        <v>899</v>
      </c>
      <c r="G904" t="s">
        <v>893</v>
      </c>
    </row>
    <row r="905" spans="1:7" x14ac:dyDescent="0.25">
      <c r="A905" t="s">
        <v>609</v>
      </c>
      <c r="B905">
        <v>59</v>
      </c>
      <c r="C905">
        <v>10</v>
      </c>
      <c r="D905">
        <v>4</v>
      </c>
      <c r="E905" t="s">
        <v>895</v>
      </c>
      <c r="F905" t="s">
        <v>904</v>
      </c>
      <c r="G905" t="s">
        <v>887</v>
      </c>
    </row>
    <row r="906" spans="1:7" x14ac:dyDescent="0.25">
      <c r="A906" t="s">
        <v>235</v>
      </c>
      <c r="B906">
        <v>189</v>
      </c>
      <c r="C906">
        <v>60</v>
      </c>
      <c r="D906">
        <v>4</v>
      </c>
      <c r="E906" t="s">
        <v>888</v>
      </c>
      <c r="F906" t="s">
        <v>908</v>
      </c>
      <c r="G906" t="s">
        <v>907</v>
      </c>
    </row>
    <row r="907" spans="1:7" x14ac:dyDescent="0.25">
      <c r="A907" t="s">
        <v>777</v>
      </c>
      <c r="B907">
        <v>58</v>
      </c>
      <c r="C907">
        <v>-52</v>
      </c>
      <c r="D907">
        <v>3</v>
      </c>
      <c r="E907" t="s">
        <v>888</v>
      </c>
      <c r="F907" t="s">
        <v>889</v>
      </c>
      <c r="G907" t="s">
        <v>887</v>
      </c>
    </row>
    <row r="908" spans="1:7" x14ac:dyDescent="0.25">
      <c r="A908" t="s">
        <v>277</v>
      </c>
      <c r="B908">
        <v>60</v>
      </c>
      <c r="C908">
        <v>3</v>
      </c>
      <c r="D908">
        <v>3</v>
      </c>
      <c r="E908" t="s">
        <v>895</v>
      </c>
      <c r="F908" t="s">
        <v>897</v>
      </c>
      <c r="G908" t="s">
        <v>898</v>
      </c>
    </row>
    <row r="909" spans="1:7" x14ac:dyDescent="0.25">
      <c r="A909" t="s">
        <v>775</v>
      </c>
      <c r="B909">
        <v>58</v>
      </c>
      <c r="C909">
        <v>-8</v>
      </c>
      <c r="D909">
        <v>2</v>
      </c>
      <c r="E909" t="s">
        <v>895</v>
      </c>
      <c r="F909" t="s">
        <v>897</v>
      </c>
      <c r="G909" t="s">
        <v>887</v>
      </c>
    </row>
    <row r="910" spans="1:7" x14ac:dyDescent="0.25">
      <c r="A910" t="s">
        <v>724</v>
      </c>
      <c r="B910">
        <v>94</v>
      </c>
      <c r="C910">
        <v>20</v>
      </c>
      <c r="D910">
        <v>2</v>
      </c>
      <c r="E910" t="s">
        <v>888</v>
      </c>
      <c r="F910" t="s">
        <v>908</v>
      </c>
      <c r="G910" t="s">
        <v>898</v>
      </c>
    </row>
    <row r="911" spans="1:7" x14ac:dyDescent="0.25">
      <c r="A911" t="s">
        <v>134</v>
      </c>
      <c r="B911">
        <v>193</v>
      </c>
      <c r="C911">
        <v>-166</v>
      </c>
      <c r="D911">
        <v>3</v>
      </c>
      <c r="E911" t="s">
        <v>895</v>
      </c>
      <c r="F911" t="s">
        <v>897</v>
      </c>
      <c r="G911" t="s">
        <v>890</v>
      </c>
    </row>
    <row r="912" spans="1:7" x14ac:dyDescent="0.25">
      <c r="A912" t="s">
        <v>164</v>
      </c>
      <c r="B912">
        <v>199</v>
      </c>
      <c r="C912">
        <v>0</v>
      </c>
      <c r="D912">
        <v>4</v>
      </c>
      <c r="E912" t="s">
        <v>895</v>
      </c>
      <c r="F912" t="s">
        <v>903</v>
      </c>
      <c r="G912" t="s">
        <v>890</v>
      </c>
    </row>
    <row r="913" spans="1:7" x14ac:dyDescent="0.25">
      <c r="A913" t="s">
        <v>348</v>
      </c>
      <c r="B913">
        <v>202</v>
      </c>
      <c r="C913">
        <v>89</v>
      </c>
      <c r="D913">
        <v>9</v>
      </c>
      <c r="E913" t="s">
        <v>895</v>
      </c>
      <c r="F913" t="s">
        <v>906</v>
      </c>
      <c r="G913" t="s">
        <v>890</v>
      </c>
    </row>
    <row r="914" spans="1:7" x14ac:dyDescent="0.25">
      <c r="A914" t="s">
        <v>348</v>
      </c>
      <c r="B914">
        <v>58</v>
      </c>
      <c r="C914">
        <v>17</v>
      </c>
      <c r="D914">
        <v>2</v>
      </c>
      <c r="E914" t="s">
        <v>895</v>
      </c>
      <c r="F914" t="s">
        <v>899</v>
      </c>
      <c r="G914" t="s">
        <v>887</v>
      </c>
    </row>
    <row r="915" spans="1:7" x14ac:dyDescent="0.25">
      <c r="A915" t="s">
        <v>780</v>
      </c>
      <c r="B915">
        <v>57</v>
      </c>
      <c r="C915">
        <v>-28</v>
      </c>
      <c r="D915">
        <v>2</v>
      </c>
      <c r="E915" t="s">
        <v>895</v>
      </c>
      <c r="F915" t="s">
        <v>900</v>
      </c>
      <c r="G915" t="s">
        <v>887</v>
      </c>
    </row>
    <row r="916" spans="1:7" x14ac:dyDescent="0.25">
      <c r="A916" t="s">
        <v>411</v>
      </c>
      <c r="B916">
        <v>204</v>
      </c>
      <c r="C916">
        <v>-94</v>
      </c>
      <c r="D916">
        <v>4</v>
      </c>
      <c r="E916" t="s">
        <v>895</v>
      </c>
      <c r="F916" t="s">
        <v>899</v>
      </c>
      <c r="G916" t="s">
        <v>890</v>
      </c>
    </row>
    <row r="917" spans="1:7" x14ac:dyDescent="0.25">
      <c r="A917" t="s">
        <v>391</v>
      </c>
      <c r="B917">
        <v>98</v>
      </c>
      <c r="C917">
        <v>-12</v>
      </c>
      <c r="D917">
        <v>2</v>
      </c>
      <c r="E917" t="s">
        <v>885</v>
      </c>
      <c r="F917" t="s">
        <v>886</v>
      </c>
      <c r="G917" t="s">
        <v>893</v>
      </c>
    </row>
    <row r="918" spans="1:7" x14ac:dyDescent="0.25">
      <c r="A918" t="s">
        <v>367</v>
      </c>
      <c r="B918">
        <v>22</v>
      </c>
      <c r="C918">
        <v>-12</v>
      </c>
      <c r="D918">
        <v>3</v>
      </c>
      <c r="E918" t="s">
        <v>895</v>
      </c>
      <c r="F918" t="s">
        <v>903</v>
      </c>
      <c r="G918" t="s">
        <v>887</v>
      </c>
    </row>
    <row r="919" spans="1:7" x14ac:dyDescent="0.25">
      <c r="A919" t="s">
        <v>244</v>
      </c>
      <c r="B919">
        <v>97</v>
      </c>
      <c r="C919">
        <v>17</v>
      </c>
      <c r="D919">
        <v>2</v>
      </c>
      <c r="E919" t="s">
        <v>895</v>
      </c>
      <c r="F919" t="s">
        <v>903</v>
      </c>
      <c r="G919" t="s">
        <v>893</v>
      </c>
    </row>
    <row r="920" spans="1:7" x14ac:dyDescent="0.25">
      <c r="A920" t="s">
        <v>555</v>
      </c>
      <c r="B920">
        <v>57</v>
      </c>
      <c r="C920">
        <v>24</v>
      </c>
      <c r="D920">
        <v>5</v>
      </c>
      <c r="E920" t="s">
        <v>895</v>
      </c>
      <c r="F920" t="s">
        <v>904</v>
      </c>
      <c r="G920" t="s">
        <v>887</v>
      </c>
    </row>
    <row r="921" spans="1:7" x14ac:dyDescent="0.25">
      <c r="A921" t="s">
        <v>722</v>
      </c>
      <c r="B921">
        <v>97</v>
      </c>
      <c r="C921">
        <v>14</v>
      </c>
      <c r="D921">
        <v>2</v>
      </c>
      <c r="E921" t="s">
        <v>895</v>
      </c>
      <c r="F921" t="s">
        <v>906</v>
      </c>
      <c r="G921" t="s">
        <v>893</v>
      </c>
    </row>
    <row r="922" spans="1:7" x14ac:dyDescent="0.25">
      <c r="A922" t="s">
        <v>401</v>
      </c>
      <c r="B922">
        <v>97</v>
      </c>
      <c r="C922">
        <v>17</v>
      </c>
      <c r="D922">
        <v>2</v>
      </c>
      <c r="E922" t="s">
        <v>895</v>
      </c>
      <c r="F922" t="s">
        <v>903</v>
      </c>
      <c r="G922" t="s">
        <v>893</v>
      </c>
    </row>
    <row r="923" spans="1:7" x14ac:dyDescent="0.25">
      <c r="A923" t="s">
        <v>181</v>
      </c>
      <c r="B923">
        <v>96</v>
      </c>
      <c r="C923">
        <v>22</v>
      </c>
      <c r="D923">
        <v>5</v>
      </c>
      <c r="E923" t="s">
        <v>895</v>
      </c>
      <c r="F923" t="s">
        <v>903</v>
      </c>
      <c r="G923" t="s">
        <v>893</v>
      </c>
    </row>
    <row r="924" spans="1:7" x14ac:dyDescent="0.25">
      <c r="A924" t="s">
        <v>292</v>
      </c>
      <c r="B924">
        <v>94</v>
      </c>
      <c r="C924">
        <v>27</v>
      </c>
      <c r="D924">
        <v>2</v>
      </c>
      <c r="E924" t="s">
        <v>895</v>
      </c>
      <c r="F924" t="s">
        <v>909</v>
      </c>
      <c r="G924" t="s">
        <v>893</v>
      </c>
    </row>
    <row r="925" spans="1:7" x14ac:dyDescent="0.25">
      <c r="A925" t="s">
        <v>269</v>
      </c>
      <c r="B925">
        <v>26</v>
      </c>
      <c r="C925">
        <v>-17</v>
      </c>
      <c r="D925">
        <v>1</v>
      </c>
      <c r="E925" t="s">
        <v>895</v>
      </c>
      <c r="F925" t="s">
        <v>903</v>
      </c>
      <c r="G925" t="s">
        <v>887</v>
      </c>
    </row>
    <row r="926" spans="1:7" x14ac:dyDescent="0.25">
      <c r="A926" t="s">
        <v>728</v>
      </c>
      <c r="B926">
        <v>93</v>
      </c>
      <c r="C926">
        <v>44</v>
      </c>
      <c r="D926">
        <v>2</v>
      </c>
      <c r="E926" t="s">
        <v>895</v>
      </c>
      <c r="F926" t="s">
        <v>903</v>
      </c>
      <c r="G926" t="s">
        <v>893</v>
      </c>
    </row>
    <row r="927" spans="1:7" x14ac:dyDescent="0.25">
      <c r="A927" t="s">
        <v>486</v>
      </c>
      <c r="B927">
        <v>93</v>
      </c>
      <c r="C927">
        <v>-65</v>
      </c>
      <c r="D927">
        <v>4</v>
      </c>
      <c r="E927" t="s">
        <v>895</v>
      </c>
      <c r="F927" t="s">
        <v>903</v>
      </c>
      <c r="G927" t="s">
        <v>893</v>
      </c>
    </row>
    <row r="928" spans="1:7" x14ac:dyDescent="0.25">
      <c r="A928" t="s">
        <v>504</v>
      </c>
      <c r="B928">
        <v>92</v>
      </c>
      <c r="C928">
        <v>5</v>
      </c>
      <c r="D928">
        <v>6</v>
      </c>
      <c r="E928" t="s">
        <v>895</v>
      </c>
      <c r="F928" t="s">
        <v>899</v>
      </c>
      <c r="G928" t="s">
        <v>893</v>
      </c>
    </row>
    <row r="929" spans="1:7" x14ac:dyDescent="0.25">
      <c r="A929" t="s">
        <v>470</v>
      </c>
      <c r="B929">
        <v>57</v>
      </c>
      <c r="C929">
        <v>27</v>
      </c>
      <c r="D929">
        <v>2</v>
      </c>
      <c r="E929" t="s">
        <v>895</v>
      </c>
      <c r="F929" t="s">
        <v>906</v>
      </c>
      <c r="G929" t="s">
        <v>887</v>
      </c>
    </row>
    <row r="930" spans="1:7" x14ac:dyDescent="0.25">
      <c r="A930" t="s">
        <v>250</v>
      </c>
      <c r="B930">
        <v>57</v>
      </c>
      <c r="C930">
        <v>7</v>
      </c>
      <c r="D930">
        <v>3</v>
      </c>
      <c r="E930" t="s">
        <v>888</v>
      </c>
      <c r="F930" t="s">
        <v>908</v>
      </c>
      <c r="G930" t="s">
        <v>887</v>
      </c>
    </row>
    <row r="931" spans="1:7" x14ac:dyDescent="0.25">
      <c r="A931" t="s">
        <v>783</v>
      </c>
      <c r="B931">
        <v>57</v>
      </c>
      <c r="C931">
        <v>21</v>
      </c>
      <c r="D931">
        <v>4</v>
      </c>
      <c r="E931" t="s">
        <v>895</v>
      </c>
      <c r="F931" t="s">
        <v>904</v>
      </c>
      <c r="G931" t="s">
        <v>887</v>
      </c>
    </row>
    <row r="932" spans="1:7" x14ac:dyDescent="0.25">
      <c r="A932" t="s">
        <v>544</v>
      </c>
      <c r="B932">
        <v>128</v>
      </c>
      <c r="C932">
        <v>4</v>
      </c>
      <c r="D932">
        <v>3</v>
      </c>
      <c r="E932" t="s">
        <v>895</v>
      </c>
      <c r="F932" t="s">
        <v>897</v>
      </c>
      <c r="G932" t="s">
        <v>887</v>
      </c>
    </row>
    <row r="933" spans="1:7" x14ac:dyDescent="0.25">
      <c r="A933" t="s">
        <v>81</v>
      </c>
      <c r="B933">
        <v>89</v>
      </c>
      <c r="C933">
        <v>-4</v>
      </c>
      <c r="D933">
        <v>5</v>
      </c>
      <c r="E933" t="s">
        <v>895</v>
      </c>
      <c r="F933" t="s">
        <v>897</v>
      </c>
      <c r="G933" t="s">
        <v>893</v>
      </c>
    </row>
    <row r="934" spans="1:7" x14ac:dyDescent="0.25">
      <c r="A934" t="s">
        <v>7</v>
      </c>
      <c r="B934">
        <v>221</v>
      </c>
      <c r="C934">
        <v>26</v>
      </c>
      <c r="D934">
        <v>7</v>
      </c>
      <c r="E934" t="s">
        <v>888</v>
      </c>
      <c r="F934" t="s">
        <v>908</v>
      </c>
      <c r="G934" t="s">
        <v>887</v>
      </c>
    </row>
    <row r="935" spans="1:7" x14ac:dyDescent="0.25">
      <c r="A935" t="s">
        <v>557</v>
      </c>
      <c r="B935">
        <v>205</v>
      </c>
      <c r="C935">
        <v>-119</v>
      </c>
      <c r="D935">
        <v>3</v>
      </c>
      <c r="E935" t="s">
        <v>895</v>
      </c>
      <c r="F935" t="s">
        <v>897</v>
      </c>
      <c r="G935" t="s">
        <v>907</v>
      </c>
    </row>
    <row r="936" spans="1:7" x14ac:dyDescent="0.25">
      <c r="A936" t="s">
        <v>571</v>
      </c>
      <c r="B936">
        <v>191</v>
      </c>
      <c r="C936">
        <v>51</v>
      </c>
      <c r="D936">
        <v>5</v>
      </c>
      <c r="E936" t="s">
        <v>895</v>
      </c>
      <c r="F936" t="s">
        <v>909</v>
      </c>
      <c r="G936" t="s">
        <v>898</v>
      </c>
    </row>
    <row r="937" spans="1:7" x14ac:dyDescent="0.25">
      <c r="A937" t="s">
        <v>425</v>
      </c>
      <c r="B937">
        <v>206</v>
      </c>
      <c r="C937">
        <v>18</v>
      </c>
      <c r="D937">
        <v>4</v>
      </c>
      <c r="E937" t="s">
        <v>895</v>
      </c>
      <c r="F937" t="s">
        <v>899</v>
      </c>
      <c r="G937" t="s">
        <v>907</v>
      </c>
    </row>
    <row r="938" spans="1:7" x14ac:dyDescent="0.25">
      <c r="A938" t="s">
        <v>385</v>
      </c>
      <c r="B938">
        <v>56</v>
      </c>
      <c r="C938">
        <v>0</v>
      </c>
      <c r="D938">
        <v>4</v>
      </c>
      <c r="E938" t="s">
        <v>895</v>
      </c>
      <c r="F938" t="s">
        <v>899</v>
      </c>
      <c r="G938" t="s">
        <v>887</v>
      </c>
    </row>
    <row r="939" spans="1:7" x14ac:dyDescent="0.25">
      <c r="A939" t="s">
        <v>419</v>
      </c>
      <c r="B939">
        <v>88</v>
      </c>
      <c r="C939">
        <v>16</v>
      </c>
      <c r="D939">
        <v>4</v>
      </c>
      <c r="E939" t="s">
        <v>895</v>
      </c>
      <c r="F939" t="s">
        <v>903</v>
      </c>
      <c r="G939" t="s">
        <v>893</v>
      </c>
    </row>
    <row r="940" spans="1:7" x14ac:dyDescent="0.25">
      <c r="A940" t="s">
        <v>541</v>
      </c>
      <c r="B940">
        <v>224</v>
      </c>
      <c r="C940">
        <v>58</v>
      </c>
      <c r="D940">
        <v>3</v>
      </c>
      <c r="E940" t="s">
        <v>885</v>
      </c>
      <c r="F940" t="s">
        <v>894</v>
      </c>
      <c r="G940" t="s">
        <v>898</v>
      </c>
    </row>
    <row r="941" spans="1:7" x14ac:dyDescent="0.25">
      <c r="A941" t="s">
        <v>567</v>
      </c>
      <c r="B941">
        <v>193</v>
      </c>
      <c r="C941">
        <v>8</v>
      </c>
      <c r="D941">
        <v>4</v>
      </c>
      <c r="E941" t="s">
        <v>895</v>
      </c>
      <c r="F941" t="s">
        <v>906</v>
      </c>
      <c r="G941" t="s">
        <v>898</v>
      </c>
    </row>
    <row r="942" spans="1:7" x14ac:dyDescent="0.25">
      <c r="A942" t="s">
        <v>175</v>
      </c>
      <c r="B942">
        <v>87</v>
      </c>
      <c r="C942">
        <v>36</v>
      </c>
      <c r="D942">
        <v>5</v>
      </c>
      <c r="E942" t="s">
        <v>895</v>
      </c>
      <c r="F942" t="s">
        <v>903</v>
      </c>
      <c r="G942" t="s">
        <v>893</v>
      </c>
    </row>
    <row r="943" spans="1:7" x14ac:dyDescent="0.25">
      <c r="A943" t="s">
        <v>476</v>
      </c>
      <c r="B943">
        <v>189</v>
      </c>
      <c r="C943">
        <v>4</v>
      </c>
      <c r="D943">
        <v>1</v>
      </c>
      <c r="E943" t="s">
        <v>895</v>
      </c>
      <c r="F943" t="s">
        <v>897</v>
      </c>
      <c r="G943" t="s">
        <v>898</v>
      </c>
    </row>
    <row r="944" spans="1:7" x14ac:dyDescent="0.25">
      <c r="A944" t="s">
        <v>116</v>
      </c>
      <c r="B944">
        <v>55</v>
      </c>
      <c r="C944">
        <v>-33</v>
      </c>
      <c r="D944">
        <v>2</v>
      </c>
      <c r="E944" t="s">
        <v>888</v>
      </c>
      <c r="F944" t="s">
        <v>889</v>
      </c>
      <c r="G944" t="s">
        <v>887</v>
      </c>
    </row>
    <row r="945" spans="1:7" x14ac:dyDescent="0.25">
      <c r="A945" t="s">
        <v>739</v>
      </c>
      <c r="B945">
        <v>85</v>
      </c>
      <c r="C945">
        <v>-1</v>
      </c>
      <c r="D945">
        <v>3</v>
      </c>
      <c r="E945" t="s">
        <v>895</v>
      </c>
      <c r="F945" t="s">
        <v>897</v>
      </c>
      <c r="G945" t="s">
        <v>893</v>
      </c>
    </row>
    <row r="946" spans="1:7" x14ac:dyDescent="0.25">
      <c r="A946" t="s">
        <v>309</v>
      </c>
      <c r="B946">
        <v>252</v>
      </c>
      <c r="C946">
        <v>56</v>
      </c>
      <c r="D946">
        <v>2</v>
      </c>
      <c r="E946" t="s">
        <v>885</v>
      </c>
      <c r="F946" t="s">
        <v>894</v>
      </c>
      <c r="G946" t="s">
        <v>898</v>
      </c>
    </row>
    <row r="947" spans="1:7" x14ac:dyDescent="0.25">
      <c r="A947" t="s">
        <v>142</v>
      </c>
      <c r="B947">
        <v>197</v>
      </c>
      <c r="C947">
        <v>73</v>
      </c>
      <c r="D947">
        <v>1</v>
      </c>
      <c r="E947" t="s">
        <v>888</v>
      </c>
      <c r="F947" t="s">
        <v>891</v>
      </c>
      <c r="G947" t="s">
        <v>887</v>
      </c>
    </row>
    <row r="948" spans="1:7" x14ac:dyDescent="0.25">
      <c r="A948" t="s">
        <v>537</v>
      </c>
      <c r="B948">
        <v>17</v>
      </c>
      <c r="C948">
        <v>-3</v>
      </c>
      <c r="D948">
        <v>2</v>
      </c>
      <c r="E948" t="s">
        <v>895</v>
      </c>
      <c r="F948" t="s">
        <v>903</v>
      </c>
      <c r="G948" t="s">
        <v>898</v>
      </c>
    </row>
    <row r="949" spans="1:7" x14ac:dyDescent="0.25">
      <c r="A949" t="s">
        <v>713</v>
      </c>
      <c r="B949">
        <v>100</v>
      </c>
      <c r="C949">
        <v>28</v>
      </c>
      <c r="D949">
        <v>2</v>
      </c>
      <c r="E949" t="s">
        <v>895</v>
      </c>
      <c r="F949" t="s">
        <v>899</v>
      </c>
      <c r="G949" t="s">
        <v>898</v>
      </c>
    </row>
    <row r="950" spans="1:7" x14ac:dyDescent="0.25">
      <c r="A950" t="s">
        <v>71</v>
      </c>
      <c r="B950">
        <v>80</v>
      </c>
      <c r="C950">
        <v>-19</v>
      </c>
      <c r="D950">
        <v>5</v>
      </c>
      <c r="E950" t="s">
        <v>895</v>
      </c>
      <c r="F950" t="s">
        <v>903</v>
      </c>
      <c r="G950" t="s">
        <v>898</v>
      </c>
    </row>
    <row r="951" spans="1:7" x14ac:dyDescent="0.25">
      <c r="A951" t="s">
        <v>351</v>
      </c>
      <c r="B951">
        <v>75</v>
      </c>
      <c r="C951">
        <v>29</v>
      </c>
      <c r="D951">
        <v>1</v>
      </c>
      <c r="E951" t="s">
        <v>895</v>
      </c>
      <c r="F951" t="s">
        <v>896</v>
      </c>
      <c r="G951" t="s">
        <v>898</v>
      </c>
    </row>
    <row r="952" spans="1:7" x14ac:dyDescent="0.25">
      <c r="A952" t="s">
        <v>71</v>
      </c>
      <c r="B952">
        <v>26</v>
      </c>
      <c r="C952">
        <v>4</v>
      </c>
      <c r="D952">
        <v>2</v>
      </c>
      <c r="E952" t="s">
        <v>895</v>
      </c>
      <c r="F952" t="s">
        <v>897</v>
      </c>
      <c r="G952" t="s">
        <v>898</v>
      </c>
    </row>
    <row r="953" spans="1:7" x14ac:dyDescent="0.25">
      <c r="A953" t="s">
        <v>787</v>
      </c>
      <c r="B953">
        <v>55</v>
      </c>
      <c r="C953">
        <v>12</v>
      </c>
      <c r="D953">
        <v>5</v>
      </c>
      <c r="E953" t="s">
        <v>895</v>
      </c>
      <c r="F953" t="s">
        <v>901</v>
      </c>
      <c r="G953" t="s">
        <v>887</v>
      </c>
    </row>
    <row r="954" spans="1:7" x14ac:dyDescent="0.25">
      <c r="A954" t="s">
        <v>610</v>
      </c>
      <c r="B954">
        <v>157</v>
      </c>
      <c r="C954">
        <v>5</v>
      </c>
      <c r="D954">
        <v>9</v>
      </c>
      <c r="E954" t="s">
        <v>895</v>
      </c>
      <c r="F954" t="s">
        <v>897</v>
      </c>
      <c r="G954" t="s">
        <v>898</v>
      </c>
    </row>
    <row r="955" spans="1:7" x14ac:dyDescent="0.25">
      <c r="A955" t="s">
        <v>258</v>
      </c>
      <c r="B955">
        <v>200</v>
      </c>
      <c r="C955">
        <v>-60</v>
      </c>
      <c r="D955">
        <v>4</v>
      </c>
      <c r="E955" t="s">
        <v>888</v>
      </c>
      <c r="F955" t="s">
        <v>891</v>
      </c>
      <c r="G955" t="s">
        <v>898</v>
      </c>
    </row>
    <row r="956" spans="1:7" x14ac:dyDescent="0.25">
      <c r="A956" t="s">
        <v>354</v>
      </c>
      <c r="B956">
        <v>230</v>
      </c>
      <c r="C956">
        <v>5</v>
      </c>
      <c r="D956">
        <v>2</v>
      </c>
      <c r="E956" t="s">
        <v>895</v>
      </c>
      <c r="F956" t="s">
        <v>897</v>
      </c>
      <c r="G956" t="s">
        <v>898</v>
      </c>
    </row>
    <row r="957" spans="1:7" x14ac:dyDescent="0.25">
      <c r="A957" t="s">
        <v>425</v>
      </c>
      <c r="B957">
        <v>213</v>
      </c>
      <c r="C957">
        <v>-145</v>
      </c>
      <c r="D957">
        <v>3</v>
      </c>
      <c r="E957" t="s">
        <v>888</v>
      </c>
      <c r="F957" t="s">
        <v>891</v>
      </c>
      <c r="G957" t="s">
        <v>907</v>
      </c>
    </row>
    <row r="958" spans="1:7" x14ac:dyDescent="0.25">
      <c r="A958" t="s">
        <v>785</v>
      </c>
      <c r="B958">
        <v>55</v>
      </c>
      <c r="C958">
        <v>4</v>
      </c>
      <c r="D958">
        <v>2</v>
      </c>
      <c r="E958" t="s">
        <v>895</v>
      </c>
      <c r="F958" t="s">
        <v>903</v>
      </c>
      <c r="G958" t="s">
        <v>887</v>
      </c>
    </row>
    <row r="959" spans="1:7" x14ac:dyDescent="0.25">
      <c r="A959" t="s">
        <v>543</v>
      </c>
      <c r="B959">
        <v>220</v>
      </c>
      <c r="C959">
        <v>-19</v>
      </c>
      <c r="D959">
        <v>2</v>
      </c>
      <c r="E959" t="s">
        <v>895</v>
      </c>
      <c r="F959" t="s">
        <v>897</v>
      </c>
      <c r="G959" t="s">
        <v>907</v>
      </c>
    </row>
    <row r="960" spans="1:7" x14ac:dyDescent="0.25">
      <c r="A960" t="s">
        <v>77</v>
      </c>
      <c r="B960">
        <v>150</v>
      </c>
      <c r="C960">
        <v>32</v>
      </c>
      <c r="D960">
        <v>3</v>
      </c>
      <c r="E960" t="s">
        <v>895</v>
      </c>
      <c r="F960" t="s">
        <v>899</v>
      </c>
      <c r="G960" t="s">
        <v>887</v>
      </c>
    </row>
    <row r="961" spans="1:7" x14ac:dyDescent="0.25">
      <c r="A961" t="s">
        <v>286</v>
      </c>
      <c r="B961">
        <v>203</v>
      </c>
      <c r="C961">
        <v>84</v>
      </c>
      <c r="D961">
        <v>2</v>
      </c>
      <c r="E961" t="s">
        <v>885</v>
      </c>
      <c r="F961" t="s">
        <v>892</v>
      </c>
      <c r="G961" t="s">
        <v>898</v>
      </c>
    </row>
    <row r="962" spans="1:7" x14ac:dyDescent="0.25">
      <c r="A962" t="s">
        <v>350</v>
      </c>
      <c r="B962">
        <v>93</v>
      </c>
      <c r="C962">
        <v>31</v>
      </c>
      <c r="D962">
        <v>3</v>
      </c>
      <c r="E962" t="s">
        <v>885</v>
      </c>
      <c r="F962" t="s">
        <v>905</v>
      </c>
      <c r="G962" t="s">
        <v>898</v>
      </c>
    </row>
    <row r="963" spans="1:7" x14ac:dyDescent="0.25">
      <c r="A963" t="s">
        <v>505</v>
      </c>
      <c r="B963">
        <v>290</v>
      </c>
      <c r="C963">
        <v>35</v>
      </c>
      <c r="D963">
        <v>6</v>
      </c>
      <c r="E963" t="s">
        <v>895</v>
      </c>
      <c r="F963" t="s">
        <v>899</v>
      </c>
      <c r="G963" t="s">
        <v>887</v>
      </c>
    </row>
    <row r="964" spans="1:7" x14ac:dyDescent="0.25">
      <c r="A964" t="s">
        <v>307</v>
      </c>
      <c r="B964">
        <v>48</v>
      </c>
      <c r="C964">
        <v>6</v>
      </c>
      <c r="D964">
        <v>1</v>
      </c>
      <c r="E964" t="s">
        <v>895</v>
      </c>
      <c r="F964" t="s">
        <v>897</v>
      </c>
      <c r="G964" t="s">
        <v>887</v>
      </c>
    </row>
    <row r="965" spans="1:7" x14ac:dyDescent="0.25">
      <c r="A965" t="s">
        <v>504</v>
      </c>
      <c r="B965">
        <v>221</v>
      </c>
      <c r="C965">
        <v>35</v>
      </c>
      <c r="D965">
        <v>4</v>
      </c>
      <c r="E965" t="s">
        <v>885</v>
      </c>
      <c r="F965" t="s">
        <v>905</v>
      </c>
      <c r="G965" t="s">
        <v>907</v>
      </c>
    </row>
    <row r="966" spans="1:7" x14ac:dyDescent="0.25">
      <c r="A966" t="s">
        <v>788</v>
      </c>
      <c r="B966">
        <v>55</v>
      </c>
      <c r="C966">
        <v>18</v>
      </c>
      <c r="D966">
        <v>2</v>
      </c>
      <c r="E966" t="s">
        <v>895</v>
      </c>
      <c r="F966" t="s">
        <v>900</v>
      </c>
      <c r="G966" t="s">
        <v>887</v>
      </c>
    </row>
    <row r="967" spans="1:7" x14ac:dyDescent="0.25">
      <c r="A967" t="s">
        <v>140</v>
      </c>
      <c r="B967">
        <v>227</v>
      </c>
      <c r="C967">
        <v>102</v>
      </c>
      <c r="D967">
        <v>8</v>
      </c>
      <c r="E967" t="s">
        <v>885</v>
      </c>
      <c r="F967" t="s">
        <v>905</v>
      </c>
      <c r="G967" t="s">
        <v>907</v>
      </c>
    </row>
    <row r="968" spans="1:7" x14ac:dyDescent="0.25">
      <c r="A968" t="s">
        <v>784</v>
      </c>
      <c r="B968">
        <v>55</v>
      </c>
      <c r="C968">
        <v>-39</v>
      </c>
      <c r="D968">
        <v>4</v>
      </c>
      <c r="E968" t="s">
        <v>895</v>
      </c>
      <c r="F968" t="s">
        <v>903</v>
      </c>
      <c r="G968" t="s">
        <v>887</v>
      </c>
    </row>
    <row r="969" spans="1:7" x14ac:dyDescent="0.25">
      <c r="A969" t="s">
        <v>505</v>
      </c>
      <c r="B969">
        <v>207</v>
      </c>
      <c r="C969">
        <v>33</v>
      </c>
      <c r="D969">
        <v>2</v>
      </c>
      <c r="E969" t="s">
        <v>885</v>
      </c>
      <c r="F969" t="s">
        <v>905</v>
      </c>
      <c r="G969" t="s">
        <v>898</v>
      </c>
    </row>
    <row r="970" spans="1:7" x14ac:dyDescent="0.25">
      <c r="A970" t="s">
        <v>766</v>
      </c>
      <c r="B970">
        <v>64</v>
      </c>
      <c r="C970">
        <v>6</v>
      </c>
      <c r="D970">
        <v>4</v>
      </c>
      <c r="E970" t="s">
        <v>895</v>
      </c>
      <c r="F970" t="s">
        <v>897</v>
      </c>
      <c r="G970" t="s">
        <v>887</v>
      </c>
    </row>
    <row r="971" spans="1:7" x14ac:dyDescent="0.25">
      <c r="A971" t="s">
        <v>164</v>
      </c>
      <c r="B971">
        <v>89</v>
      </c>
      <c r="C971">
        <v>6</v>
      </c>
      <c r="D971">
        <v>5</v>
      </c>
      <c r="E971" t="s">
        <v>895</v>
      </c>
      <c r="F971" t="s">
        <v>897</v>
      </c>
      <c r="G971" t="s">
        <v>887</v>
      </c>
    </row>
    <row r="972" spans="1:7" x14ac:dyDescent="0.25">
      <c r="A972" t="s">
        <v>91</v>
      </c>
      <c r="B972">
        <v>54</v>
      </c>
      <c r="C972">
        <v>27</v>
      </c>
      <c r="D972">
        <v>2</v>
      </c>
      <c r="E972" t="s">
        <v>895</v>
      </c>
      <c r="F972" t="s">
        <v>903</v>
      </c>
      <c r="G972" t="s">
        <v>887</v>
      </c>
    </row>
    <row r="973" spans="1:7" x14ac:dyDescent="0.25">
      <c r="A973" t="s">
        <v>288</v>
      </c>
      <c r="B973">
        <v>84</v>
      </c>
      <c r="C973">
        <v>41</v>
      </c>
      <c r="D973">
        <v>3</v>
      </c>
      <c r="E973" t="s">
        <v>895</v>
      </c>
      <c r="F973" t="s">
        <v>906</v>
      </c>
      <c r="G973" t="s">
        <v>893</v>
      </c>
    </row>
    <row r="974" spans="1:7" x14ac:dyDescent="0.25">
      <c r="A974" t="s">
        <v>528</v>
      </c>
      <c r="B974">
        <v>209</v>
      </c>
      <c r="C974">
        <v>-21</v>
      </c>
      <c r="D974">
        <v>2</v>
      </c>
      <c r="E974" t="s">
        <v>885</v>
      </c>
      <c r="F974" t="s">
        <v>886</v>
      </c>
      <c r="G974" t="s">
        <v>898</v>
      </c>
    </row>
    <row r="975" spans="1:7" x14ac:dyDescent="0.25">
      <c r="A975" t="s">
        <v>330</v>
      </c>
      <c r="B975">
        <v>79</v>
      </c>
      <c r="C975">
        <v>33</v>
      </c>
      <c r="D975">
        <v>4</v>
      </c>
      <c r="E975" t="s">
        <v>895</v>
      </c>
      <c r="F975" t="s">
        <v>903</v>
      </c>
      <c r="G975" t="s">
        <v>898</v>
      </c>
    </row>
    <row r="976" spans="1:7" x14ac:dyDescent="0.25">
      <c r="A976" t="s">
        <v>789</v>
      </c>
      <c r="B976">
        <v>54</v>
      </c>
      <c r="C976">
        <v>8</v>
      </c>
      <c r="D976">
        <v>4</v>
      </c>
      <c r="E976" t="s">
        <v>895</v>
      </c>
      <c r="F976" t="s">
        <v>906</v>
      </c>
      <c r="G976" t="s">
        <v>887</v>
      </c>
    </row>
    <row r="977" spans="1:7" x14ac:dyDescent="0.25">
      <c r="A977" t="s">
        <v>20</v>
      </c>
      <c r="B977">
        <v>229</v>
      </c>
      <c r="C977">
        <v>59</v>
      </c>
      <c r="D977">
        <v>9</v>
      </c>
      <c r="E977" t="s">
        <v>895</v>
      </c>
      <c r="F977" t="s">
        <v>897</v>
      </c>
      <c r="G977" t="s">
        <v>907</v>
      </c>
    </row>
    <row r="978" spans="1:7" x14ac:dyDescent="0.25">
      <c r="A978" t="s">
        <v>604</v>
      </c>
      <c r="B978">
        <v>158</v>
      </c>
      <c r="C978">
        <v>38</v>
      </c>
      <c r="D978">
        <v>3</v>
      </c>
      <c r="E978" t="s">
        <v>895</v>
      </c>
      <c r="F978" t="s">
        <v>899</v>
      </c>
      <c r="G978" t="s">
        <v>898</v>
      </c>
    </row>
    <row r="979" spans="1:7" x14ac:dyDescent="0.25">
      <c r="A979" t="s">
        <v>284</v>
      </c>
      <c r="B979">
        <v>248</v>
      </c>
      <c r="C979">
        <v>105</v>
      </c>
      <c r="D979">
        <v>2</v>
      </c>
      <c r="E979" t="s">
        <v>885</v>
      </c>
      <c r="F979" t="s">
        <v>894</v>
      </c>
      <c r="G979" t="s">
        <v>907</v>
      </c>
    </row>
    <row r="980" spans="1:7" x14ac:dyDescent="0.25">
      <c r="A980" t="s">
        <v>50</v>
      </c>
      <c r="B980">
        <v>199</v>
      </c>
      <c r="C980">
        <v>6</v>
      </c>
      <c r="D980">
        <v>2</v>
      </c>
      <c r="E980" t="s">
        <v>895</v>
      </c>
      <c r="F980" t="s">
        <v>897</v>
      </c>
      <c r="G980" t="s">
        <v>898</v>
      </c>
    </row>
    <row r="981" spans="1:7" x14ac:dyDescent="0.25">
      <c r="A981" t="s">
        <v>12</v>
      </c>
      <c r="B981">
        <v>253</v>
      </c>
      <c r="C981">
        <v>-11</v>
      </c>
      <c r="D981">
        <v>1</v>
      </c>
      <c r="E981" t="s">
        <v>895</v>
      </c>
      <c r="F981" t="s">
        <v>896</v>
      </c>
      <c r="G981" t="s">
        <v>907</v>
      </c>
    </row>
    <row r="982" spans="1:7" x14ac:dyDescent="0.25">
      <c r="A982" t="s">
        <v>122</v>
      </c>
      <c r="B982">
        <v>257</v>
      </c>
      <c r="C982">
        <v>-252</v>
      </c>
      <c r="D982">
        <v>4</v>
      </c>
      <c r="E982" t="s">
        <v>895</v>
      </c>
      <c r="F982" t="s">
        <v>897</v>
      </c>
      <c r="G982" t="s">
        <v>907</v>
      </c>
    </row>
    <row r="983" spans="1:7" x14ac:dyDescent="0.25">
      <c r="A983" t="s">
        <v>569</v>
      </c>
      <c r="B983">
        <v>193</v>
      </c>
      <c r="C983">
        <v>33</v>
      </c>
      <c r="D983">
        <v>5</v>
      </c>
      <c r="E983" t="s">
        <v>885</v>
      </c>
      <c r="F983" t="s">
        <v>905</v>
      </c>
      <c r="G983" t="s">
        <v>887</v>
      </c>
    </row>
    <row r="984" spans="1:7" x14ac:dyDescent="0.25">
      <c r="A984" t="s">
        <v>694</v>
      </c>
      <c r="B984">
        <v>109</v>
      </c>
      <c r="C984">
        <v>35</v>
      </c>
      <c r="D984">
        <v>6</v>
      </c>
      <c r="E984" t="s">
        <v>895</v>
      </c>
      <c r="F984" t="s">
        <v>906</v>
      </c>
      <c r="G984" t="s">
        <v>887</v>
      </c>
    </row>
    <row r="985" spans="1:7" x14ac:dyDescent="0.25">
      <c r="A985" t="s">
        <v>524</v>
      </c>
      <c r="B985">
        <v>214</v>
      </c>
      <c r="C985">
        <v>30</v>
      </c>
      <c r="D985">
        <v>3</v>
      </c>
      <c r="E985" t="s">
        <v>885</v>
      </c>
      <c r="F985" t="s">
        <v>905</v>
      </c>
      <c r="G985" t="s">
        <v>887</v>
      </c>
    </row>
    <row r="986" spans="1:7" x14ac:dyDescent="0.25">
      <c r="A986" t="s">
        <v>516</v>
      </c>
      <c r="B986">
        <v>141</v>
      </c>
      <c r="C986">
        <v>7</v>
      </c>
      <c r="D986">
        <v>7</v>
      </c>
      <c r="E986" t="s">
        <v>895</v>
      </c>
      <c r="F986" t="s">
        <v>897</v>
      </c>
      <c r="G986" t="s">
        <v>887</v>
      </c>
    </row>
    <row r="987" spans="1:7" x14ac:dyDescent="0.25">
      <c r="A987" t="s">
        <v>7</v>
      </c>
      <c r="B987">
        <v>201</v>
      </c>
      <c r="C987">
        <v>32</v>
      </c>
      <c r="D987">
        <v>4</v>
      </c>
      <c r="E987" t="s">
        <v>888</v>
      </c>
      <c r="F987" t="s">
        <v>908</v>
      </c>
      <c r="G987" t="s">
        <v>898</v>
      </c>
    </row>
    <row r="988" spans="1:7" x14ac:dyDescent="0.25">
      <c r="A988" t="s">
        <v>351</v>
      </c>
      <c r="B988">
        <v>54</v>
      </c>
      <c r="C988">
        <v>12</v>
      </c>
      <c r="D988">
        <v>4</v>
      </c>
      <c r="E988" t="s">
        <v>895</v>
      </c>
      <c r="F988" t="s">
        <v>909</v>
      </c>
      <c r="G988" t="s">
        <v>887</v>
      </c>
    </row>
    <row r="989" spans="1:7" x14ac:dyDescent="0.25">
      <c r="A989" t="s">
        <v>47</v>
      </c>
      <c r="B989">
        <v>83</v>
      </c>
      <c r="C989">
        <v>6</v>
      </c>
      <c r="D989">
        <v>6</v>
      </c>
      <c r="E989" t="s">
        <v>895</v>
      </c>
      <c r="F989" t="s">
        <v>909</v>
      </c>
      <c r="G989" t="s">
        <v>890</v>
      </c>
    </row>
    <row r="990" spans="1:7" x14ac:dyDescent="0.25">
      <c r="A990" t="s">
        <v>414</v>
      </c>
      <c r="B990">
        <v>54</v>
      </c>
      <c r="C990">
        <v>-3</v>
      </c>
      <c r="D990">
        <v>3</v>
      </c>
      <c r="E990" t="s">
        <v>895</v>
      </c>
      <c r="F990" t="s">
        <v>897</v>
      </c>
      <c r="G990" t="s">
        <v>887</v>
      </c>
    </row>
    <row r="991" spans="1:7" x14ac:dyDescent="0.25">
      <c r="A991" t="s">
        <v>230</v>
      </c>
      <c r="B991">
        <v>53</v>
      </c>
      <c r="C991">
        <v>5</v>
      </c>
      <c r="D991">
        <v>3</v>
      </c>
      <c r="E991" t="s">
        <v>895</v>
      </c>
      <c r="F991" t="s">
        <v>906</v>
      </c>
      <c r="G991" t="s">
        <v>887</v>
      </c>
    </row>
    <row r="992" spans="1:7" x14ac:dyDescent="0.25">
      <c r="A992" t="s">
        <v>263</v>
      </c>
      <c r="B992">
        <v>258</v>
      </c>
      <c r="C992">
        <v>-27</v>
      </c>
      <c r="D992">
        <v>2</v>
      </c>
      <c r="E992" t="s">
        <v>885</v>
      </c>
      <c r="F992" t="s">
        <v>894</v>
      </c>
      <c r="G992" t="s">
        <v>907</v>
      </c>
    </row>
    <row r="993" spans="1:7" x14ac:dyDescent="0.25">
      <c r="A993" t="s">
        <v>853</v>
      </c>
      <c r="B993">
        <v>199</v>
      </c>
      <c r="C993">
        <v>8</v>
      </c>
      <c r="D993">
        <v>2</v>
      </c>
      <c r="E993" t="s">
        <v>895</v>
      </c>
      <c r="F993" t="s">
        <v>897</v>
      </c>
      <c r="G993" t="s">
        <v>887</v>
      </c>
    </row>
    <row r="994" spans="1:7" x14ac:dyDescent="0.25">
      <c r="A994" t="s">
        <v>356</v>
      </c>
      <c r="B994">
        <v>82</v>
      </c>
      <c r="C994">
        <v>-27</v>
      </c>
      <c r="D994">
        <v>3</v>
      </c>
      <c r="E994" t="s">
        <v>895</v>
      </c>
      <c r="F994" t="s">
        <v>900</v>
      </c>
      <c r="G994" t="s">
        <v>890</v>
      </c>
    </row>
    <row r="995" spans="1:7" x14ac:dyDescent="0.25">
      <c r="A995" t="s">
        <v>358</v>
      </c>
      <c r="B995">
        <v>139</v>
      </c>
      <c r="C995">
        <v>36</v>
      </c>
      <c r="D995">
        <v>3</v>
      </c>
      <c r="E995" t="s">
        <v>895</v>
      </c>
      <c r="F995" t="s">
        <v>903</v>
      </c>
      <c r="G995" t="s">
        <v>887</v>
      </c>
    </row>
    <row r="996" spans="1:7" x14ac:dyDescent="0.25">
      <c r="A996" t="s">
        <v>16</v>
      </c>
      <c r="B996">
        <v>53</v>
      </c>
      <c r="C996">
        <v>15</v>
      </c>
      <c r="D996">
        <v>2</v>
      </c>
      <c r="E996" t="s">
        <v>895</v>
      </c>
      <c r="F996" t="s">
        <v>903</v>
      </c>
      <c r="G996" t="s">
        <v>887</v>
      </c>
    </row>
    <row r="997" spans="1:7" x14ac:dyDescent="0.25">
      <c r="A997" t="s">
        <v>606</v>
      </c>
      <c r="B997">
        <v>53</v>
      </c>
      <c r="C997">
        <v>1</v>
      </c>
      <c r="D997">
        <v>4</v>
      </c>
      <c r="E997" t="s">
        <v>895</v>
      </c>
      <c r="F997" t="s">
        <v>903</v>
      </c>
      <c r="G997" t="s">
        <v>887</v>
      </c>
    </row>
    <row r="998" spans="1:7" x14ac:dyDescent="0.25">
      <c r="A998" t="s">
        <v>707</v>
      </c>
      <c r="B998">
        <v>101</v>
      </c>
      <c r="C998">
        <v>38</v>
      </c>
      <c r="D998">
        <v>2</v>
      </c>
      <c r="E998" t="s">
        <v>888</v>
      </c>
      <c r="F998" t="s">
        <v>908</v>
      </c>
      <c r="G998" t="s">
        <v>887</v>
      </c>
    </row>
    <row r="999" spans="1:7" x14ac:dyDescent="0.25">
      <c r="A999" t="s">
        <v>486</v>
      </c>
      <c r="B999">
        <v>262</v>
      </c>
      <c r="C999">
        <v>215</v>
      </c>
      <c r="D999">
        <v>2</v>
      </c>
      <c r="E999" t="s">
        <v>885</v>
      </c>
      <c r="F999" t="s">
        <v>892</v>
      </c>
      <c r="G999" t="s">
        <v>907</v>
      </c>
    </row>
    <row r="1000" spans="1:7" x14ac:dyDescent="0.25">
      <c r="A1000" t="s">
        <v>335</v>
      </c>
      <c r="B1000">
        <v>82</v>
      </c>
      <c r="C1000">
        <v>-39</v>
      </c>
      <c r="D1000">
        <v>5</v>
      </c>
      <c r="E1000" t="s">
        <v>895</v>
      </c>
      <c r="F1000" t="s">
        <v>906</v>
      </c>
      <c r="G1000" t="s">
        <v>890</v>
      </c>
    </row>
    <row r="1001" spans="1:7" x14ac:dyDescent="0.25">
      <c r="A1001" t="s">
        <v>239</v>
      </c>
      <c r="B1001">
        <v>154</v>
      </c>
      <c r="C1001">
        <v>39</v>
      </c>
      <c r="D1001">
        <v>3</v>
      </c>
      <c r="E1001" t="s">
        <v>895</v>
      </c>
      <c r="F1001" t="s">
        <v>899</v>
      </c>
      <c r="G1001" t="s">
        <v>887</v>
      </c>
    </row>
    <row r="1002" spans="1:7" x14ac:dyDescent="0.25">
      <c r="A1002" t="s">
        <v>792</v>
      </c>
      <c r="B1002">
        <v>52</v>
      </c>
      <c r="C1002">
        <v>18</v>
      </c>
      <c r="D1002">
        <v>2</v>
      </c>
      <c r="E1002" t="s">
        <v>895</v>
      </c>
      <c r="F1002" t="s">
        <v>903</v>
      </c>
      <c r="G1002" t="s">
        <v>887</v>
      </c>
    </row>
    <row r="1003" spans="1:7" x14ac:dyDescent="0.25">
      <c r="A1003" t="s">
        <v>96</v>
      </c>
      <c r="B1003">
        <v>1599</v>
      </c>
      <c r="C1003">
        <v>37</v>
      </c>
      <c r="D1003">
        <v>6</v>
      </c>
      <c r="E1003" t="s">
        <v>885</v>
      </c>
      <c r="F1003" t="s">
        <v>886</v>
      </c>
      <c r="G1003" t="s">
        <v>898</v>
      </c>
    </row>
    <row r="1004" spans="1:7" x14ac:dyDescent="0.25">
      <c r="A1004" t="s">
        <v>467</v>
      </c>
      <c r="B1004">
        <v>338</v>
      </c>
      <c r="C1004">
        <v>41</v>
      </c>
      <c r="D1004">
        <v>7</v>
      </c>
      <c r="E1004" t="s">
        <v>895</v>
      </c>
      <c r="F1004" t="s">
        <v>899</v>
      </c>
      <c r="G1004" t="s">
        <v>898</v>
      </c>
    </row>
    <row r="1005" spans="1:7" x14ac:dyDescent="0.25">
      <c r="A1005" t="s">
        <v>269</v>
      </c>
      <c r="B1005">
        <v>51</v>
      </c>
      <c r="C1005">
        <v>-49</v>
      </c>
      <c r="D1005">
        <v>2</v>
      </c>
      <c r="E1005" t="s">
        <v>885</v>
      </c>
      <c r="F1005" t="s">
        <v>886</v>
      </c>
      <c r="G1005" t="s">
        <v>887</v>
      </c>
    </row>
    <row r="1006" spans="1:7" x14ac:dyDescent="0.25">
      <c r="A1006" t="s">
        <v>539</v>
      </c>
      <c r="B1006">
        <v>224</v>
      </c>
      <c r="C1006">
        <v>-81</v>
      </c>
      <c r="D1006">
        <v>3</v>
      </c>
      <c r="E1006" t="s">
        <v>888</v>
      </c>
      <c r="F1006" t="s">
        <v>889</v>
      </c>
      <c r="G1006" t="s">
        <v>887</v>
      </c>
    </row>
    <row r="1007" spans="1:7" x14ac:dyDescent="0.25">
      <c r="A1007" t="s">
        <v>40</v>
      </c>
      <c r="B1007">
        <v>207</v>
      </c>
      <c r="C1007">
        <v>37</v>
      </c>
      <c r="D1007">
        <v>4</v>
      </c>
      <c r="E1007" t="s">
        <v>895</v>
      </c>
      <c r="F1007" t="s">
        <v>899</v>
      </c>
      <c r="G1007" t="s">
        <v>887</v>
      </c>
    </row>
    <row r="1008" spans="1:7" x14ac:dyDescent="0.25">
      <c r="A1008" t="s">
        <v>794</v>
      </c>
      <c r="B1008">
        <v>51</v>
      </c>
      <c r="C1008">
        <v>14</v>
      </c>
      <c r="D1008">
        <v>2</v>
      </c>
      <c r="E1008" t="s">
        <v>895</v>
      </c>
      <c r="F1008" t="s">
        <v>903</v>
      </c>
      <c r="G1008" t="s">
        <v>887</v>
      </c>
    </row>
    <row r="1009" spans="1:7" x14ac:dyDescent="0.25">
      <c r="A1009" t="s">
        <v>390</v>
      </c>
      <c r="B1009">
        <v>82</v>
      </c>
      <c r="C1009">
        <v>8</v>
      </c>
      <c r="D1009">
        <v>3</v>
      </c>
      <c r="E1009" t="s">
        <v>885</v>
      </c>
      <c r="F1009" t="s">
        <v>905</v>
      </c>
      <c r="G1009" t="s">
        <v>890</v>
      </c>
    </row>
    <row r="1010" spans="1:7" x14ac:dyDescent="0.25">
      <c r="A1010" t="s">
        <v>800</v>
      </c>
      <c r="B1010">
        <v>50</v>
      </c>
      <c r="C1010">
        <v>-17</v>
      </c>
      <c r="D1010">
        <v>2</v>
      </c>
      <c r="E1010" t="s">
        <v>895</v>
      </c>
      <c r="F1010" t="s">
        <v>903</v>
      </c>
      <c r="G1010" t="s">
        <v>887</v>
      </c>
    </row>
    <row r="1011" spans="1:7" x14ac:dyDescent="0.25">
      <c r="A1011" t="s">
        <v>46</v>
      </c>
      <c r="B1011">
        <v>263</v>
      </c>
      <c r="C1011">
        <v>-31</v>
      </c>
      <c r="D1011">
        <v>9</v>
      </c>
      <c r="E1011" t="s">
        <v>885</v>
      </c>
      <c r="F1011" t="s">
        <v>886</v>
      </c>
      <c r="G1011" t="s">
        <v>907</v>
      </c>
    </row>
    <row r="1012" spans="1:7" x14ac:dyDescent="0.25">
      <c r="A1012" t="s">
        <v>524</v>
      </c>
      <c r="B1012">
        <v>50</v>
      </c>
      <c r="C1012">
        <v>7</v>
      </c>
      <c r="D1012">
        <v>6</v>
      </c>
      <c r="E1012" t="s">
        <v>895</v>
      </c>
      <c r="F1012" t="s">
        <v>901</v>
      </c>
      <c r="G1012" t="s">
        <v>887</v>
      </c>
    </row>
    <row r="1013" spans="1:7" x14ac:dyDescent="0.25">
      <c r="A1013" t="s">
        <v>421</v>
      </c>
      <c r="B1013">
        <v>245</v>
      </c>
      <c r="C1013">
        <v>-3</v>
      </c>
      <c r="D1013">
        <v>4</v>
      </c>
      <c r="E1013" t="s">
        <v>885</v>
      </c>
      <c r="F1013" t="s">
        <v>894</v>
      </c>
      <c r="G1013" t="s">
        <v>898</v>
      </c>
    </row>
    <row r="1014" spans="1:7" x14ac:dyDescent="0.25">
      <c r="A1014" t="s">
        <v>309</v>
      </c>
      <c r="B1014">
        <v>82</v>
      </c>
      <c r="C1014">
        <v>24</v>
      </c>
      <c r="D1014">
        <v>6</v>
      </c>
      <c r="E1014" t="s">
        <v>895</v>
      </c>
      <c r="F1014" t="s">
        <v>899</v>
      </c>
      <c r="G1014" t="s">
        <v>890</v>
      </c>
    </row>
    <row r="1015" spans="1:7" x14ac:dyDescent="0.25">
      <c r="A1015" t="s">
        <v>362</v>
      </c>
      <c r="B1015">
        <v>229</v>
      </c>
      <c r="C1015">
        <v>-41</v>
      </c>
      <c r="D1015">
        <v>8</v>
      </c>
      <c r="E1015" t="s">
        <v>885</v>
      </c>
      <c r="F1015" t="s">
        <v>905</v>
      </c>
      <c r="G1015" t="s">
        <v>887</v>
      </c>
    </row>
    <row r="1016" spans="1:7" x14ac:dyDescent="0.25">
      <c r="A1016" t="s">
        <v>284</v>
      </c>
      <c r="B1016">
        <v>50</v>
      </c>
      <c r="C1016">
        <v>14</v>
      </c>
      <c r="D1016">
        <v>1</v>
      </c>
      <c r="E1016" t="s">
        <v>885</v>
      </c>
      <c r="F1016" t="s">
        <v>886</v>
      </c>
      <c r="G1016" t="s">
        <v>887</v>
      </c>
    </row>
    <row r="1017" spans="1:7" x14ac:dyDescent="0.25">
      <c r="A1017" t="s">
        <v>425</v>
      </c>
      <c r="B1017">
        <v>220</v>
      </c>
      <c r="C1017">
        <v>40</v>
      </c>
      <c r="D1017">
        <v>2</v>
      </c>
      <c r="E1017" t="s">
        <v>885</v>
      </c>
      <c r="F1017" t="s">
        <v>905</v>
      </c>
      <c r="G1017" t="s">
        <v>887</v>
      </c>
    </row>
    <row r="1018" spans="1:7" x14ac:dyDescent="0.25">
      <c r="A1018" t="s">
        <v>204</v>
      </c>
      <c r="B1018">
        <v>263</v>
      </c>
      <c r="C1018">
        <v>-63</v>
      </c>
      <c r="D1018">
        <v>2</v>
      </c>
      <c r="E1018" t="s">
        <v>885</v>
      </c>
      <c r="F1018" t="s">
        <v>886</v>
      </c>
      <c r="G1018" t="s">
        <v>907</v>
      </c>
    </row>
    <row r="1019" spans="1:7" x14ac:dyDescent="0.25">
      <c r="A1019" t="s">
        <v>26</v>
      </c>
      <c r="B1019">
        <v>81</v>
      </c>
      <c r="C1019">
        <v>-41</v>
      </c>
      <c r="D1019">
        <v>5</v>
      </c>
      <c r="E1019" t="s">
        <v>895</v>
      </c>
      <c r="F1019" t="s">
        <v>904</v>
      </c>
      <c r="G1019" t="s">
        <v>890</v>
      </c>
    </row>
    <row r="1020" spans="1:7" x14ac:dyDescent="0.25">
      <c r="A1020" t="s">
        <v>796</v>
      </c>
      <c r="B1020">
        <v>50</v>
      </c>
      <c r="C1020">
        <v>-17</v>
      </c>
      <c r="D1020">
        <v>2</v>
      </c>
      <c r="E1020" t="s">
        <v>895</v>
      </c>
      <c r="F1020" t="s">
        <v>903</v>
      </c>
      <c r="G1020" t="s">
        <v>887</v>
      </c>
    </row>
    <row r="1021" spans="1:7" x14ac:dyDescent="0.25">
      <c r="A1021" t="s">
        <v>26</v>
      </c>
      <c r="B1021">
        <v>49</v>
      </c>
      <c r="C1021">
        <v>5</v>
      </c>
      <c r="D1021">
        <v>4</v>
      </c>
      <c r="E1021" t="s">
        <v>895</v>
      </c>
      <c r="F1021" t="s">
        <v>899</v>
      </c>
      <c r="G1021" t="s">
        <v>887</v>
      </c>
    </row>
    <row r="1022" spans="1:7" x14ac:dyDescent="0.25">
      <c r="A1022" t="s">
        <v>470</v>
      </c>
      <c r="B1022">
        <v>237</v>
      </c>
      <c r="C1022">
        <v>47</v>
      </c>
      <c r="D1022">
        <v>9</v>
      </c>
      <c r="E1022" t="s">
        <v>895</v>
      </c>
      <c r="F1022" t="s">
        <v>906</v>
      </c>
      <c r="G1022" t="s">
        <v>898</v>
      </c>
    </row>
    <row r="1023" spans="1:7" x14ac:dyDescent="0.25">
      <c r="A1023" t="s">
        <v>375</v>
      </c>
      <c r="B1023">
        <v>264</v>
      </c>
      <c r="C1023">
        <v>-30</v>
      </c>
      <c r="D1023">
        <v>3</v>
      </c>
      <c r="E1023" t="s">
        <v>888</v>
      </c>
      <c r="F1023" t="s">
        <v>908</v>
      </c>
      <c r="G1023" t="s">
        <v>907</v>
      </c>
    </row>
    <row r="1024" spans="1:7" x14ac:dyDescent="0.25">
      <c r="A1024" t="s">
        <v>258</v>
      </c>
      <c r="B1024">
        <v>49</v>
      </c>
      <c r="C1024">
        <v>3</v>
      </c>
      <c r="D1024">
        <v>1</v>
      </c>
      <c r="E1024" t="s">
        <v>895</v>
      </c>
      <c r="F1024" t="s">
        <v>909</v>
      </c>
      <c r="G1024" t="s">
        <v>887</v>
      </c>
    </row>
    <row r="1025" spans="1:7" x14ac:dyDescent="0.25">
      <c r="A1025" t="s">
        <v>122</v>
      </c>
      <c r="B1025">
        <v>63</v>
      </c>
      <c r="C1025">
        <v>-24</v>
      </c>
      <c r="D1025">
        <v>6</v>
      </c>
      <c r="E1025" t="s">
        <v>895</v>
      </c>
      <c r="F1025" t="s">
        <v>900</v>
      </c>
      <c r="G1025" t="s">
        <v>887</v>
      </c>
    </row>
    <row r="1026" spans="1:7" x14ac:dyDescent="0.25">
      <c r="A1026" t="s">
        <v>304</v>
      </c>
      <c r="B1026">
        <v>81</v>
      </c>
      <c r="C1026">
        <v>-51</v>
      </c>
      <c r="D1026">
        <v>7</v>
      </c>
      <c r="E1026" t="s">
        <v>895</v>
      </c>
      <c r="F1026" t="s">
        <v>903</v>
      </c>
      <c r="G1026" t="s">
        <v>890</v>
      </c>
    </row>
    <row r="1027" spans="1:7" x14ac:dyDescent="0.25">
      <c r="A1027" t="s">
        <v>324</v>
      </c>
      <c r="B1027">
        <v>264</v>
      </c>
      <c r="C1027">
        <v>71</v>
      </c>
      <c r="D1027">
        <v>10</v>
      </c>
      <c r="E1027" t="s">
        <v>888</v>
      </c>
      <c r="F1027" t="s">
        <v>908</v>
      </c>
      <c r="G1027" t="s">
        <v>907</v>
      </c>
    </row>
    <row r="1028" spans="1:7" x14ac:dyDescent="0.25">
      <c r="A1028" t="s">
        <v>235</v>
      </c>
      <c r="B1028">
        <v>48</v>
      </c>
      <c r="C1028">
        <v>11</v>
      </c>
      <c r="D1028">
        <v>2</v>
      </c>
      <c r="E1028" t="s">
        <v>895</v>
      </c>
      <c r="F1028" t="s">
        <v>909</v>
      </c>
      <c r="G1028" t="s">
        <v>887</v>
      </c>
    </row>
    <row r="1029" spans="1:7" x14ac:dyDescent="0.25">
      <c r="A1029" t="s">
        <v>42</v>
      </c>
      <c r="B1029">
        <v>48</v>
      </c>
      <c r="C1029">
        <v>15</v>
      </c>
      <c r="D1029">
        <v>1</v>
      </c>
      <c r="E1029" t="s">
        <v>895</v>
      </c>
      <c r="F1029" t="s">
        <v>899</v>
      </c>
      <c r="G1029" t="s">
        <v>887</v>
      </c>
    </row>
    <row r="1030" spans="1:7" x14ac:dyDescent="0.25">
      <c r="A1030" t="s">
        <v>224</v>
      </c>
      <c r="B1030">
        <v>245</v>
      </c>
      <c r="C1030">
        <v>-78</v>
      </c>
      <c r="D1030">
        <v>2</v>
      </c>
      <c r="E1030" t="s">
        <v>885</v>
      </c>
      <c r="F1030" t="s">
        <v>892</v>
      </c>
      <c r="G1030" t="s">
        <v>898</v>
      </c>
    </row>
    <row r="1031" spans="1:7" x14ac:dyDescent="0.25">
      <c r="A1031" t="s">
        <v>633</v>
      </c>
      <c r="B1031">
        <v>146</v>
      </c>
      <c r="C1031">
        <v>42</v>
      </c>
      <c r="D1031">
        <v>5</v>
      </c>
      <c r="E1031" t="s">
        <v>895</v>
      </c>
      <c r="F1031" t="s">
        <v>899</v>
      </c>
      <c r="G1031" t="s">
        <v>898</v>
      </c>
    </row>
    <row r="1032" spans="1:7" x14ac:dyDescent="0.25">
      <c r="A1032" t="s">
        <v>277</v>
      </c>
      <c r="B1032">
        <v>245</v>
      </c>
      <c r="C1032">
        <v>10</v>
      </c>
      <c r="D1032">
        <v>2</v>
      </c>
      <c r="E1032" t="s">
        <v>888</v>
      </c>
      <c r="F1032" t="s">
        <v>891</v>
      </c>
      <c r="G1032" t="s">
        <v>887</v>
      </c>
    </row>
    <row r="1033" spans="1:7" x14ac:dyDescent="0.25">
      <c r="A1033" t="s">
        <v>246</v>
      </c>
      <c r="B1033">
        <v>245</v>
      </c>
      <c r="C1033">
        <v>91</v>
      </c>
      <c r="D1033">
        <v>2</v>
      </c>
      <c r="E1033" t="s">
        <v>888</v>
      </c>
      <c r="F1033" t="s">
        <v>891</v>
      </c>
      <c r="G1033" t="s">
        <v>898</v>
      </c>
    </row>
    <row r="1034" spans="1:7" x14ac:dyDescent="0.25">
      <c r="A1034" t="s">
        <v>53</v>
      </c>
      <c r="B1034">
        <v>80</v>
      </c>
      <c r="C1034">
        <v>3</v>
      </c>
      <c r="D1034">
        <v>3</v>
      </c>
      <c r="E1034" t="s">
        <v>895</v>
      </c>
      <c r="F1034" t="s">
        <v>903</v>
      </c>
      <c r="G1034" t="s">
        <v>890</v>
      </c>
    </row>
    <row r="1035" spans="1:7" x14ac:dyDescent="0.25">
      <c r="A1035" t="s">
        <v>183</v>
      </c>
      <c r="B1035">
        <v>269</v>
      </c>
      <c r="C1035">
        <v>33</v>
      </c>
      <c r="D1035">
        <v>5</v>
      </c>
      <c r="E1035" t="s">
        <v>888</v>
      </c>
      <c r="F1035" t="s">
        <v>889</v>
      </c>
      <c r="G1035" t="s">
        <v>907</v>
      </c>
    </row>
    <row r="1036" spans="1:7" x14ac:dyDescent="0.25">
      <c r="A1036" t="s">
        <v>744</v>
      </c>
      <c r="B1036">
        <v>80</v>
      </c>
      <c r="C1036">
        <v>22</v>
      </c>
      <c r="D1036">
        <v>3</v>
      </c>
      <c r="E1036" t="s">
        <v>895</v>
      </c>
      <c r="F1036" t="s">
        <v>903</v>
      </c>
      <c r="G1036" t="s">
        <v>890</v>
      </c>
    </row>
    <row r="1037" spans="1:7" x14ac:dyDescent="0.25">
      <c r="A1037" t="s">
        <v>395</v>
      </c>
      <c r="B1037">
        <v>284</v>
      </c>
      <c r="C1037">
        <v>44</v>
      </c>
      <c r="D1037">
        <v>6</v>
      </c>
      <c r="E1037" t="s">
        <v>895</v>
      </c>
      <c r="F1037" t="s">
        <v>899</v>
      </c>
      <c r="G1037" t="s">
        <v>887</v>
      </c>
    </row>
    <row r="1038" spans="1:7" x14ac:dyDescent="0.25">
      <c r="A1038" t="s">
        <v>491</v>
      </c>
      <c r="B1038">
        <v>313</v>
      </c>
      <c r="C1038">
        <v>44</v>
      </c>
      <c r="D1038">
        <v>3</v>
      </c>
      <c r="E1038" t="s">
        <v>885</v>
      </c>
      <c r="F1038" t="s">
        <v>886</v>
      </c>
      <c r="G1038" t="s">
        <v>887</v>
      </c>
    </row>
    <row r="1039" spans="1:7" x14ac:dyDescent="0.25">
      <c r="A1039" t="s">
        <v>742</v>
      </c>
      <c r="B1039">
        <v>80</v>
      </c>
      <c r="C1039">
        <v>-26</v>
      </c>
      <c r="D1039">
        <v>9</v>
      </c>
      <c r="E1039" t="s">
        <v>895</v>
      </c>
      <c r="F1039" t="s">
        <v>901</v>
      </c>
      <c r="G1039" t="s">
        <v>890</v>
      </c>
    </row>
    <row r="1040" spans="1:7" x14ac:dyDescent="0.25">
      <c r="A1040" t="s">
        <v>801</v>
      </c>
      <c r="B1040">
        <v>48</v>
      </c>
      <c r="C1040">
        <v>-8</v>
      </c>
      <c r="D1040">
        <v>8</v>
      </c>
      <c r="E1040" t="s">
        <v>895</v>
      </c>
      <c r="F1040" t="s">
        <v>903</v>
      </c>
      <c r="G1040" t="s">
        <v>887</v>
      </c>
    </row>
    <row r="1041" spans="1:7" x14ac:dyDescent="0.25">
      <c r="A1041" t="s">
        <v>731</v>
      </c>
      <c r="B1041">
        <v>87</v>
      </c>
      <c r="C1041">
        <v>16</v>
      </c>
      <c r="D1041">
        <v>2</v>
      </c>
      <c r="E1041" t="s">
        <v>895</v>
      </c>
      <c r="F1041" t="s">
        <v>897</v>
      </c>
      <c r="G1041" t="s">
        <v>898</v>
      </c>
    </row>
    <row r="1042" spans="1:7" x14ac:dyDescent="0.25">
      <c r="A1042" t="s">
        <v>212</v>
      </c>
      <c r="B1042">
        <v>47</v>
      </c>
      <c r="C1042">
        <v>-114</v>
      </c>
      <c r="D1042">
        <v>5</v>
      </c>
      <c r="E1042" t="s">
        <v>888</v>
      </c>
      <c r="F1042" t="s">
        <v>908</v>
      </c>
      <c r="G1042" t="s">
        <v>887</v>
      </c>
    </row>
    <row r="1043" spans="1:7" x14ac:dyDescent="0.25">
      <c r="A1043" t="s">
        <v>400</v>
      </c>
      <c r="B1043">
        <v>140</v>
      </c>
      <c r="C1043">
        <v>28</v>
      </c>
      <c r="D1043">
        <v>2</v>
      </c>
      <c r="E1043" t="s">
        <v>885</v>
      </c>
      <c r="F1043" t="s">
        <v>894</v>
      </c>
      <c r="G1043" t="s">
        <v>887</v>
      </c>
    </row>
    <row r="1044" spans="1:7" x14ac:dyDescent="0.25">
      <c r="A1044" t="s">
        <v>476</v>
      </c>
      <c r="B1044">
        <v>47</v>
      </c>
      <c r="C1044">
        <v>1</v>
      </c>
      <c r="D1044">
        <v>2</v>
      </c>
      <c r="E1044" t="s">
        <v>895</v>
      </c>
      <c r="F1044" t="s">
        <v>903</v>
      </c>
      <c r="G1044" t="s">
        <v>887</v>
      </c>
    </row>
    <row r="1045" spans="1:7" x14ac:dyDescent="0.25">
      <c r="A1045" t="s">
        <v>507</v>
      </c>
      <c r="B1045">
        <v>79</v>
      </c>
      <c r="C1045">
        <v>-2</v>
      </c>
      <c r="D1045">
        <v>2</v>
      </c>
      <c r="E1045" t="s">
        <v>888</v>
      </c>
      <c r="F1045" t="s">
        <v>908</v>
      </c>
      <c r="G1045" t="s">
        <v>890</v>
      </c>
    </row>
    <row r="1046" spans="1:7" x14ac:dyDescent="0.25">
      <c r="A1046" t="s">
        <v>337</v>
      </c>
      <c r="B1046">
        <v>78</v>
      </c>
      <c r="C1046">
        <v>-64</v>
      </c>
      <c r="D1046">
        <v>7</v>
      </c>
      <c r="E1046" t="s">
        <v>895</v>
      </c>
      <c r="F1046" t="s">
        <v>903</v>
      </c>
      <c r="G1046" t="s">
        <v>890</v>
      </c>
    </row>
    <row r="1047" spans="1:7" x14ac:dyDescent="0.25">
      <c r="A1047" t="s">
        <v>28</v>
      </c>
      <c r="B1047">
        <v>47</v>
      </c>
      <c r="C1047">
        <v>-3</v>
      </c>
      <c r="D1047">
        <v>2</v>
      </c>
      <c r="E1047" t="s">
        <v>895</v>
      </c>
      <c r="F1047" t="s">
        <v>903</v>
      </c>
      <c r="G1047" t="s">
        <v>887</v>
      </c>
    </row>
    <row r="1048" spans="1:7" x14ac:dyDescent="0.25">
      <c r="A1048" t="s">
        <v>578</v>
      </c>
      <c r="B1048">
        <v>185</v>
      </c>
      <c r="C1048">
        <v>48</v>
      </c>
      <c r="D1048">
        <v>4</v>
      </c>
      <c r="E1048" t="s">
        <v>895</v>
      </c>
      <c r="F1048" t="s">
        <v>903</v>
      </c>
      <c r="G1048" t="s">
        <v>898</v>
      </c>
    </row>
    <row r="1049" spans="1:7" x14ac:dyDescent="0.25">
      <c r="A1049" t="s">
        <v>162</v>
      </c>
      <c r="B1049">
        <v>77</v>
      </c>
      <c r="C1049">
        <v>36</v>
      </c>
      <c r="D1049">
        <v>2</v>
      </c>
      <c r="E1049" t="s">
        <v>895</v>
      </c>
      <c r="F1049" t="s">
        <v>909</v>
      </c>
      <c r="G1049" t="s">
        <v>890</v>
      </c>
    </row>
    <row r="1050" spans="1:7" x14ac:dyDescent="0.25">
      <c r="A1050" t="s">
        <v>522</v>
      </c>
      <c r="B1050">
        <v>259</v>
      </c>
      <c r="C1050">
        <v>47</v>
      </c>
      <c r="D1050">
        <v>5</v>
      </c>
      <c r="E1050" t="s">
        <v>895</v>
      </c>
      <c r="F1050" t="s">
        <v>899</v>
      </c>
      <c r="G1050" t="s">
        <v>898</v>
      </c>
    </row>
    <row r="1051" spans="1:7" x14ac:dyDescent="0.25">
      <c r="A1051" t="s">
        <v>755</v>
      </c>
      <c r="B1051">
        <v>75</v>
      </c>
      <c r="C1051">
        <v>0</v>
      </c>
      <c r="D1051">
        <v>7</v>
      </c>
      <c r="E1051" t="s">
        <v>895</v>
      </c>
      <c r="F1051" t="s">
        <v>897</v>
      </c>
      <c r="G1051" t="s">
        <v>890</v>
      </c>
    </row>
    <row r="1052" spans="1:7" x14ac:dyDescent="0.25">
      <c r="A1052" t="s">
        <v>217</v>
      </c>
      <c r="B1052">
        <v>75</v>
      </c>
      <c r="C1052">
        <v>0</v>
      </c>
      <c r="D1052">
        <v>3</v>
      </c>
      <c r="E1052" t="s">
        <v>895</v>
      </c>
      <c r="F1052" t="s">
        <v>909</v>
      </c>
      <c r="G1052" t="s">
        <v>890</v>
      </c>
    </row>
    <row r="1053" spans="1:7" x14ac:dyDescent="0.25">
      <c r="A1053" t="s">
        <v>785</v>
      </c>
      <c r="B1053">
        <v>46</v>
      </c>
      <c r="C1053">
        <v>0</v>
      </c>
      <c r="D1053">
        <v>4</v>
      </c>
      <c r="E1053" t="s">
        <v>895</v>
      </c>
      <c r="F1053" t="s">
        <v>904</v>
      </c>
      <c r="G1053" t="s">
        <v>887</v>
      </c>
    </row>
    <row r="1054" spans="1:7" x14ac:dyDescent="0.25">
      <c r="A1054" t="s">
        <v>493</v>
      </c>
      <c r="B1054">
        <v>46</v>
      </c>
      <c r="C1054">
        <v>13</v>
      </c>
      <c r="D1054">
        <v>3</v>
      </c>
      <c r="E1054" t="s">
        <v>895</v>
      </c>
      <c r="F1054" t="s">
        <v>899</v>
      </c>
      <c r="G1054" t="s">
        <v>887</v>
      </c>
    </row>
    <row r="1055" spans="1:7" x14ac:dyDescent="0.25">
      <c r="A1055" t="s">
        <v>23</v>
      </c>
      <c r="B1055">
        <v>200</v>
      </c>
      <c r="C1055">
        <v>13</v>
      </c>
      <c r="D1055">
        <v>5</v>
      </c>
      <c r="E1055" t="s">
        <v>885</v>
      </c>
      <c r="F1055" t="s">
        <v>894</v>
      </c>
      <c r="G1055" t="s">
        <v>887</v>
      </c>
    </row>
    <row r="1056" spans="1:7" x14ac:dyDescent="0.25">
      <c r="A1056" t="s">
        <v>194</v>
      </c>
      <c r="B1056">
        <v>46</v>
      </c>
      <c r="C1056">
        <v>-14</v>
      </c>
      <c r="D1056">
        <v>1</v>
      </c>
      <c r="E1056" t="s">
        <v>885</v>
      </c>
      <c r="F1056" t="s">
        <v>894</v>
      </c>
      <c r="G1056" t="s">
        <v>887</v>
      </c>
    </row>
    <row r="1057" spans="1:7" x14ac:dyDescent="0.25">
      <c r="A1057" t="s">
        <v>666</v>
      </c>
      <c r="B1057">
        <v>126</v>
      </c>
      <c r="C1057">
        <v>52</v>
      </c>
      <c r="D1057">
        <v>4</v>
      </c>
      <c r="E1057" t="s">
        <v>895</v>
      </c>
      <c r="F1057" t="s">
        <v>899</v>
      </c>
      <c r="G1057" t="s">
        <v>898</v>
      </c>
    </row>
    <row r="1058" spans="1:7" x14ac:dyDescent="0.25">
      <c r="A1058" t="s">
        <v>307</v>
      </c>
      <c r="B1058">
        <v>74</v>
      </c>
      <c r="C1058">
        <v>29</v>
      </c>
      <c r="D1058">
        <v>3</v>
      </c>
      <c r="E1058" t="s">
        <v>895</v>
      </c>
      <c r="F1058" t="s">
        <v>903</v>
      </c>
      <c r="G1058" t="s">
        <v>890</v>
      </c>
    </row>
    <row r="1059" spans="1:7" x14ac:dyDescent="0.25">
      <c r="A1059" t="s">
        <v>807</v>
      </c>
      <c r="B1059">
        <v>45</v>
      </c>
      <c r="C1059">
        <v>13</v>
      </c>
      <c r="D1059">
        <v>4</v>
      </c>
      <c r="E1059" t="s">
        <v>895</v>
      </c>
      <c r="F1059" t="s">
        <v>901</v>
      </c>
      <c r="G1059" t="s">
        <v>887</v>
      </c>
    </row>
    <row r="1060" spans="1:7" x14ac:dyDescent="0.25">
      <c r="A1060" t="s">
        <v>422</v>
      </c>
      <c r="B1060">
        <v>74</v>
      </c>
      <c r="C1060">
        <v>9</v>
      </c>
      <c r="D1060">
        <v>3</v>
      </c>
      <c r="E1060" t="s">
        <v>895</v>
      </c>
      <c r="F1060" t="s">
        <v>909</v>
      </c>
      <c r="G1060" t="s">
        <v>898</v>
      </c>
    </row>
    <row r="1061" spans="1:7" x14ac:dyDescent="0.25">
      <c r="A1061" t="s">
        <v>269</v>
      </c>
      <c r="B1061">
        <v>129</v>
      </c>
      <c r="C1061">
        <v>11</v>
      </c>
      <c r="D1061">
        <v>2</v>
      </c>
      <c r="E1061" t="s">
        <v>885</v>
      </c>
      <c r="F1061" t="s">
        <v>894</v>
      </c>
      <c r="G1061" t="s">
        <v>898</v>
      </c>
    </row>
    <row r="1062" spans="1:7" x14ac:dyDescent="0.25">
      <c r="A1062" t="s">
        <v>578</v>
      </c>
      <c r="B1062">
        <v>122</v>
      </c>
      <c r="C1062">
        <v>50</v>
      </c>
      <c r="D1062">
        <v>7</v>
      </c>
      <c r="E1062" t="s">
        <v>895</v>
      </c>
      <c r="F1062" t="s">
        <v>903</v>
      </c>
      <c r="G1062" t="s">
        <v>898</v>
      </c>
    </row>
    <row r="1063" spans="1:7" x14ac:dyDescent="0.25">
      <c r="A1063" t="s">
        <v>385</v>
      </c>
      <c r="B1063">
        <v>74</v>
      </c>
      <c r="C1063">
        <v>-51</v>
      </c>
      <c r="D1063">
        <v>3</v>
      </c>
      <c r="E1063" t="s">
        <v>895</v>
      </c>
      <c r="F1063" t="s">
        <v>903</v>
      </c>
      <c r="G1063" t="s">
        <v>898</v>
      </c>
    </row>
    <row r="1064" spans="1:7" x14ac:dyDescent="0.25">
      <c r="A1064" t="s">
        <v>432</v>
      </c>
      <c r="B1064">
        <v>278</v>
      </c>
      <c r="C1064">
        <v>39</v>
      </c>
      <c r="D1064">
        <v>5</v>
      </c>
      <c r="E1064" t="s">
        <v>888</v>
      </c>
      <c r="F1064" t="s">
        <v>889</v>
      </c>
      <c r="G1064" t="s">
        <v>907</v>
      </c>
    </row>
    <row r="1065" spans="1:7" x14ac:dyDescent="0.25">
      <c r="A1065" t="s">
        <v>510</v>
      </c>
      <c r="B1065">
        <v>282</v>
      </c>
      <c r="C1065">
        <v>14</v>
      </c>
      <c r="D1065">
        <v>4</v>
      </c>
      <c r="E1065" t="s">
        <v>895</v>
      </c>
      <c r="F1065" t="s">
        <v>896</v>
      </c>
      <c r="G1065" t="s">
        <v>907</v>
      </c>
    </row>
    <row r="1066" spans="1:7" x14ac:dyDescent="0.25">
      <c r="A1066" t="s">
        <v>347</v>
      </c>
      <c r="B1066">
        <v>45</v>
      </c>
      <c r="C1066">
        <v>0</v>
      </c>
      <c r="D1066">
        <v>2</v>
      </c>
      <c r="E1066" t="s">
        <v>895</v>
      </c>
      <c r="F1066" t="s">
        <v>906</v>
      </c>
      <c r="G1066" t="s">
        <v>887</v>
      </c>
    </row>
    <row r="1067" spans="1:7" x14ac:dyDescent="0.25">
      <c r="A1067" t="s">
        <v>187</v>
      </c>
      <c r="B1067">
        <v>45</v>
      </c>
      <c r="C1067">
        <v>6</v>
      </c>
      <c r="D1067">
        <v>3</v>
      </c>
      <c r="E1067" t="s">
        <v>895</v>
      </c>
      <c r="F1067" t="s">
        <v>909</v>
      </c>
      <c r="G1067" t="s">
        <v>887</v>
      </c>
    </row>
    <row r="1068" spans="1:7" x14ac:dyDescent="0.25">
      <c r="A1068" t="s">
        <v>768</v>
      </c>
      <c r="B1068">
        <v>45</v>
      </c>
      <c r="C1068">
        <v>16</v>
      </c>
      <c r="D1068">
        <v>3</v>
      </c>
      <c r="E1068" t="s">
        <v>895</v>
      </c>
      <c r="F1068" t="s">
        <v>903</v>
      </c>
      <c r="G1068" t="s">
        <v>887</v>
      </c>
    </row>
    <row r="1069" spans="1:7" x14ac:dyDescent="0.25">
      <c r="A1069" t="s">
        <v>758</v>
      </c>
      <c r="B1069">
        <v>73</v>
      </c>
      <c r="C1069">
        <v>-36</v>
      </c>
      <c r="D1069">
        <v>3</v>
      </c>
      <c r="E1069" t="s">
        <v>888</v>
      </c>
      <c r="F1069" t="s">
        <v>889</v>
      </c>
      <c r="G1069" t="s">
        <v>898</v>
      </c>
    </row>
    <row r="1070" spans="1:7" x14ac:dyDescent="0.25">
      <c r="A1070" t="s">
        <v>244</v>
      </c>
      <c r="B1070">
        <v>45</v>
      </c>
      <c r="C1070">
        <v>12</v>
      </c>
      <c r="D1070">
        <v>4</v>
      </c>
      <c r="E1070" t="s">
        <v>895</v>
      </c>
      <c r="F1070" t="s">
        <v>899</v>
      </c>
      <c r="G1070" t="s">
        <v>887</v>
      </c>
    </row>
    <row r="1071" spans="1:7" x14ac:dyDescent="0.25">
      <c r="A1071" t="s">
        <v>200</v>
      </c>
      <c r="B1071">
        <v>72</v>
      </c>
      <c r="C1071">
        <v>-6</v>
      </c>
      <c r="D1071">
        <v>3</v>
      </c>
      <c r="E1071" t="s">
        <v>895</v>
      </c>
      <c r="F1071" t="s">
        <v>897</v>
      </c>
      <c r="G1071" t="s">
        <v>898</v>
      </c>
    </row>
    <row r="1072" spans="1:7" x14ac:dyDescent="0.25">
      <c r="A1072" t="s">
        <v>591</v>
      </c>
      <c r="B1072">
        <v>71</v>
      </c>
      <c r="C1072">
        <v>-44</v>
      </c>
      <c r="D1072">
        <v>5</v>
      </c>
      <c r="E1072" t="s">
        <v>885</v>
      </c>
      <c r="F1072" t="s">
        <v>905</v>
      </c>
      <c r="G1072" t="s">
        <v>898</v>
      </c>
    </row>
    <row r="1073" spans="1:7" x14ac:dyDescent="0.25">
      <c r="A1073" t="s">
        <v>375</v>
      </c>
      <c r="B1073">
        <v>45</v>
      </c>
      <c r="C1073">
        <v>-2</v>
      </c>
      <c r="D1073">
        <v>4</v>
      </c>
      <c r="E1073" t="s">
        <v>895</v>
      </c>
      <c r="F1073" t="s">
        <v>909</v>
      </c>
      <c r="G1073" t="s">
        <v>887</v>
      </c>
    </row>
    <row r="1074" spans="1:7" x14ac:dyDescent="0.25">
      <c r="A1074" t="s">
        <v>476</v>
      </c>
      <c r="B1074">
        <v>286</v>
      </c>
      <c r="C1074">
        <v>140</v>
      </c>
      <c r="D1074">
        <v>6</v>
      </c>
      <c r="E1074" t="s">
        <v>895</v>
      </c>
      <c r="F1074" t="s">
        <v>909</v>
      </c>
      <c r="G1074" t="s">
        <v>907</v>
      </c>
    </row>
    <row r="1075" spans="1:7" x14ac:dyDescent="0.25">
      <c r="A1075" t="s">
        <v>503</v>
      </c>
      <c r="B1075">
        <v>294</v>
      </c>
      <c r="C1075">
        <v>138</v>
      </c>
      <c r="D1075">
        <v>2</v>
      </c>
      <c r="E1075" t="s">
        <v>885</v>
      </c>
      <c r="F1075" t="s">
        <v>892</v>
      </c>
      <c r="G1075" t="s">
        <v>907</v>
      </c>
    </row>
    <row r="1076" spans="1:7" x14ac:dyDescent="0.25">
      <c r="A1076" t="s">
        <v>321</v>
      </c>
      <c r="B1076">
        <v>223</v>
      </c>
      <c r="C1076">
        <v>4</v>
      </c>
      <c r="D1076">
        <v>3</v>
      </c>
      <c r="E1076" t="s">
        <v>885</v>
      </c>
      <c r="F1076" t="s">
        <v>894</v>
      </c>
      <c r="G1076" t="s">
        <v>887</v>
      </c>
    </row>
    <row r="1077" spans="1:7" x14ac:dyDescent="0.25">
      <c r="A1077" t="s">
        <v>857</v>
      </c>
      <c r="B1077">
        <v>20</v>
      </c>
      <c r="C1077">
        <v>-2</v>
      </c>
      <c r="D1077">
        <v>1</v>
      </c>
      <c r="E1077" t="s">
        <v>885</v>
      </c>
      <c r="F1077" t="s">
        <v>905</v>
      </c>
      <c r="G1077" t="s">
        <v>898</v>
      </c>
    </row>
    <row r="1078" spans="1:7" x14ac:dyDescent="0.25">
      <c r="A1078" t="s">
        <v>449</v>
      </c>
      <c r="B1078">
        <v>302</v>
      </c>
      <c r="C1078">
        <v>75</v>
      </c>
      <c r="D1078">
        <v>6</v>
      </c>
      <c r="E1078" t="s">
        <v>888</v>
      </c>
      <c r="F1078" t="s">
        <v>908</v>
      </c>
      <c r="G1078" t="s">
        <v>907</v>
      </c>
    </row>
    <row r="1079" spans="1:7" x14ac:dyDescent="0.25">
      <c r="A1079" t="s">
        <v>516</v>
      </c>
      <c r="B1079">
        <v>113</v>
      </c>
      <c r="C1079">
        <v>28</v>
      </c>
      <c r="D1079">
        <v>2</v>
      </c>
      <c r="E1079" t="s">
        <v>895</v>
      </c>
      <c r="F1079" t="s">
        <v>897</v>
      </c>
      <c r="G1079" t="s">
        <v>898</v>
      </c>
    </row>
    <row r="1080" spans="1:7" x14ac:dyDescent="0.25">
      <c r="A1080" t="s">
        <v>175</v>
      </c>
      <c r="B1080">
        <v>44</v>
      </c>
      <c r="C1080">
        <v>2</v>
      </c>
      <c r="D1080">
        <v>3</v>
      </c>
      <c r="E1080" t="s">
        <v>895</v>
      </c>
      <c r="F1080" t="s">
        <v>899</v>
      </c>
      <c r="G1080" t="s">
        <v>887</v>
      </c>
    </row>
    <row r="1081" spans="1:7" x14ac:dyDescent="0.25">
      <c r="A1081" t="s">
        <v>494</v>
      </c>
      <c r="B1081">
        <v>305</v>
      </c>
      <c r="C1081">
        <v>-270</v>
      </c>
      <c r="D1081">
        <v>5</v>
      </c>
      <c r="E1081" t="s">
        <v>885</v>
      </c>
      <c r="F1081" t="s">
        <v>886</v>
      </c>
      <c r="G1081" t="s">
        <v>907</v>
      </c>
    </row>
    <row r="1082" spans="1:7" x14ac:dyDescent="0.25">
      <c r="A1082" t="s">
        <v>217</v>
      </c>
      <c r="B1082">
        <v>306</v>
      </c>
      <c r="C1082">
        <v>-147</v>
      </c>
      <c r="D1082">
        <v>3</v>
      </c>
      <c r="E1082" t="s">
        <v>895</v>
      </c>
      <c r="F1082" t="s">
        <v>897</v>
      </c>
      <c r="G1082" t="s">
        <v>907</v>
      </c>
    </row>
    <row r="1083" spans="1:7" x14ac:dyDescent="0.25">
      <c r="A1083" t="s">
        <v>557</v>
      </c>
      <c r="B1083">
        <v>70</v>
      </c>
      <c r="C1083">
        <v>-64</v>
      </c>
      <c r="D1083">
        <v>5</v>
      </c>
      <c r="E1083" t="s">
        <v>895</v>
      </c>
      <c r="F1083" t="s">
        <v>903</v>
      </c>
      <c r="G1083" t="s">
        <v>898</v>
      </c>
    </row>
    <row r="1084" spans="1:7" x14ac:dyDescent="0.25">
      <c r="A1084" t="s">
        <v>560</v>
      </c>
      <c r="B1084">
        <v>44</v>
      </c>
      <c r="C1084">
        <v>11</v>
      </c>
      <c r="D1084">
        <v>4</v>
      </c>
      <c r="E1084" t="s">
        <v>895</v>
      </c>
      <c r="F1084" t="s">
        <v>903</v>
      </c>
      <c r="G1084" t="s">
        <v>887</v>
      </c>
    </row>
    <row r="1085" spans="1:7" x14ac:dyDescent="0.25">
      <c r="A1085" t="s">
        <v>219</v>
      </c>
      <c r="B1085">
        <v>44</v>
      </c>
      <c r="C1085">
        <v>14</v>
      </c>
      <c r="D1085">
        <v>3</v>
      </c>
      <c r="E1085" t="s">
        <v>895</v>
      </c>
      <c r="F1085" t="s">
        <v>899</v>
      </c>
      <c r="G1085" t="s">
        <v>887</v>
      </c>
    </row>
    <row r="1086" spans="1:7" x14ac:dyDescent="0.25">
      <c r="A1086" t="s">
        <v>486</v>
      </c>
      <c r="B1086">
        <v>319</v>
      </c>
      <c r="C1086">
        <v>312</v>
      </c>
      <c r="D1086">
        <v>5</v>
      </c>
      <c r="E1086" t="s">
        <v>895</v>
      </c>
      <c r="F1086" t="s">
        <v>897</v>
      </c>
      <c r="G1086" t="s">
        <v>907</v>
      </c>
    </row>
    <row r="1087" spans="1:7" x14ac:dyDescent="0.25">
      <c r="A1087" t="s">
        <v>450</v>
      </c>
      <c r="B1087">
        <v>287</v>
      </c>
      <c r="C1087">
        <v>-280</v>
      </c>
      <c r="D1087">
        <v>12</v>
      </c>
      <c r="E1087" t="s">
        <v>888</v>
      </c>
      <c r="F1087" t="s">
        <v>889</v>
      </c>
      <c r="G1087" t="s">
        <v>898</v>
      </c>
    </row>
    <row r="1088" spans="1:7" x14ac:dyDescent="0.25">
      <c r="A1088" t="s">
        <v>235</v>
      </c>
      <c r="B1088">
        <v>44</v>
      </c>
      <c r="C1088">
        <v>10</v>
      </c>
      <c r="D1088">
        <v>3</v>
      </c>
      <c r="E1088" t="s">
        <v>895</v>
      </c>
      <c r="F1088" t="s">
        <v>903</v>
      </c>
      <c r="G1088" t="s">
        <v>887</v>
      </c>
    </row>
    <row r="1089" spans="1:7" x14ac:dyDescent="0.25">
      <c r="A1089" t="s">
        <v>211</v>
      </c>
      <c r="B1089">
        <v>288</v>
      </c>
      <c r="C1089">
        <v>-180</v>
      </c>
      <c r="D1089">
        <v>4</v>
      </c>
      <c r="E1089" t="s">
        <v>888</v>
      </c>
      <c r="F1089" t="s">
        <v>889</v>
      </c>
      <c r="G1089" t="s">
        <v>887</v>
      </c>
    </row>
    <row r="1090" spans="1:7" x14ac:dyDescent="0.25">
      <c r="A1090" t="s">
        <v>766</v>
      </c>
      <c r="B1090">
        <v>49</v>
      </c>
      <c r="C1090">
        <v>-31</v>
      </c>
      <c r="D1090">
        <v>2</v>
      </c>
      <c r="E1090" t="s">
        <v>895</v>
      </c>
      <c r="F1090" t="s">
        <v>903</v>
      </c>
      <c r="G1090" t="s">
        <v>887</v>
      </c>
    </row>
    <row r="1091" spans="1:7" x14ac:dyDescent="0.25">
      <c r="A1091" t="s">
        <v>311</v>
      </c>
      <c r="B1091">
        <v>43</v>
      </c>
      <c r="C1091">
        <v>-10</v>
      </c>
      <c r="D1091">
        <v>4</v>
      </c>
      <c r="E1091" t="s">
        <v>895</v>
      </c>
      <c r="F1091" t="s">
        <v>901</v>
      </c>
      <c r="G1091" t="s">
        <v>887</v>
      </c>
    </row>
    <row r="1092" spans="1:7" x14ac:dyDescent="0.25">
      <c r="A1092" t="s">
        <v>294</v>
      </c>
      <c r="B1092">
        <v>43</v>
      </c>
      <c r="C1092">
        <v>5</v>
      </c>
      <c r="D1092">
        <v>3</v>
      </c>
      <c r="E1092" t="s">
        <v>895</v>
      </c>
      <c r="F1092" t="s">
        <v>903</v>
      </c>
      <c r="G1092" t="s">
        <v>887</v>
      </c>
    </row>
    <row r="1093" spans="1:7" x14ac:dyDescent="0.25">
      <c r="A1093" t="s">
        <v>85</v>
      </c>
      <c r="B1093">
        <v>68</v>
      </c>
      <c r="C1093">
        <v>-27</v>
      </c>
      <c r="D1093">
        <v>3</v>
      </c>
      <c r="E1093" t="s">
        <v>885</v>
      </c>
      <c r="F1093" t="s">
        <v>905</v>
      </c>
      <c r="G1093" t="s">
        <v>898</v>
      </c>
    </row>
    <row r="1094" spans="1:7" x14ac:dyDescent="0.25">
      <c r="A1094" t="s">
        <v>244</v>
      </c>
      <c r="B1094">
        <v>320</v>
      </c>
      <c r="C1094">
        <v>144</v>
      </c>
      <c r="D1094">
        <v>1</v>
      </c>
      <c r="E1094" t="s">
        <v>885</v>
      </c>
      <c r="F1094" t="s">
        <v>892</v>
      </c>
      <c r="G1094" t="s">
        <v>907</v>
      </c>
    </row>
    <row r="1095" spans="1:7" x14ac:dyDescent="0.25">
      <c r="A1095" t="s">
        <v>185</v>
      </c>
      <c r="B1095">
        <v>67</v>
      </c>
      <c r="C1095">
        <v>2</v>
      </c>
      <c r="D1095">
        <v>4</v>
      </c>
      <c r="E1095" t="s">
        <v>895</v>
      </c>
      <c r="F1095" t="s">
        <v>906</v>
      </c>
      <c r="G1095" t="s">
        <v>898</v>
      </c>
    </row>
    <row r="1096" spans="1:7" x14ac:dyDescent="0.25">
      <c r="A1096" t="s">
        <v>158</v>
      </c>
      <c r="B1096">
        <v>66</v>
      </c>
      <c r="C1096">
        <v>-12</v>
      </c>
      <c r="D1096">
        <v>5</v>
      </c>
      <c r="E1096" t="s">
        <v>895</v>
      </c>
      <c r="F1096" t="s">
        <v>903</v>
      </c>
      <c r="G1096" t="s">
        <v>898</v>
      </c>
    </row>
    <row r="1097" spans="1:7" x14ac:dyDescent="0.25">
      <c r="A1097" t="s">
        <v>484</v>
      </c>
      <c r="B1097">
        <v>321</v>
      </c>
      <c r="C1097">
        <v>26</v>
      </c>
      <c r="D1097">
        <v>3</v>
      </c>
      <c r="E1097" t="s">
        <v>885</v>
      </c>
      <c r="F1097" t="s">
        <v>892</v>
      </c>
      <c r="G1097" t="s">
        <v>907</v>
      </c>
    </row>
    <row r="1098" spans="1:7" x14ac:dyDescent="0.25">
      <c r="A1098" t="s">
        <v>373</v>
      </c>
      <c r="B1098">
        <v>43</v>
      </c>
      <c r="C1098">
        <v>-5</v>
      </c>
      <c r="D1098">
        <v>2</v>
      </c>
      <c r="E1098" t="s">
        <v>895</v>
      </c>
      <c r="F1098" t="s">
        <v>897</v>
      </c>
      <c r="G1098" t="s">
        <v>887</v>
      </c>
    </row>
    <row r="1099" spans="1:7" x14ac:dyDescent="0.25">
      <c r="A1099" t="s">
        <v>641</v>
      </c>
      <c r="B1099">
        <v>114</v>
      </c>
      <c r="C1099">
        <v>-39</v>
      </c>
      <c r="D1099">
        <v>5</v>
      </c>
      <c r="E1099" t="s">
        <v>895</v>
      </c>
      <c r="F1099" t="s">
        <v>900</v>
      </c>
      <c r="G1099" t="s">
        <v>887</v>
      </c>
    </row>
    <row r="1100" spans="1:7" x14ac:dyDescent="0.25">
      <c r="A1100" t="s">
        <v>248</v>
      </c>
      <c r="B1100">
        <v>43</v>
      </c>
      <c r="C1100">
        <v>17</v>
      </c>
      <c r="D1100">
        <v>1</v>
      </c>
      <c r="E1100" t="s">
        <v>895</v>
      </c>
      <c r="F1100" t="s">
        <v>897</v>
      </c>
      <c r="G1100" t="s">
        <v>887</v>
      </c>
    </row>
    <row r="1101" spans="1:7" x14ac:dyDescent="0.25">
      <c r="A1101" t="s">
        <v>373</v>
      </c>
      <c r="B1101">
        <v>43</v>
      </c>
      <c r="C1101">
        <v>21</v>
      </c>
      <c r="D1101">
        <v>3</v>
      </c>
      <c r="E1101" t="s">
        <v>895</v>
      </c>
      <c r="F1101" t="s">
        <v>909</v>
      </c>
      <c r="G1101" t="s">
        <v>887</v>
      </c>
    </row>
    <row r="1102" spans="1:7" x14ac:dyDescent="0.25">
      <c r="A1102" t="s">
        <v>330</v>
      </c>
      <c r="B1102">
        <v>637</v>
      </c>
      <c r="C1102">
        <v>50</v>
      </c>
      <c r="D1102">
        <v>5</v>
      </c>
      <c r="E1102" t="s">
        <v>895</v>
      </c>
      <c r="F1102" t="s">
        <v>897</v>
      </c>
      <c r="G1102" t="s">
        <v>887</v>
      </c>
    </row>
    <row r="1103" spans="1:7" x14ac:dyDescent="0.25">
      <c r="A1103" t="s">
        <v>470</v>
      </c>
      <c r="B1103">
        <v>300</v>
      </c>
      <c r="C1103">
        <v>42</v>
      </c>
      <c r="D1103">
        <v>2</v>
      </c>
      <c r="E1103" t="s">
        <v>885</v>
      </c>
      <c r="F1103" t="s">
        <v>892</v>
      </c>
      <c r="G1103" t="s">
        <v>887</v>
      </c>
    </row>
    <row r="1104" spans="1:7" x14ac:dyDescent="0.25">
      <c r="A1104" t="s">
        <v>464</v>
      </c>
      <c r="B1104">
        <v>341</v>
      </c>
      <c r="C1104">
        <v>44</v>
      </c>
      <c r="D1104">
        <v>7</v>
      </c>
      <c r="E1104" t="s">
        <v>888</v>
      </c>
      <c r="F1104" t="s">
        <v>908</v>
      </c>
      <c r="G1104" t="s">
        <v>898</v>
      </c>
    </row>
    <row r="1105" spans="1:7" x14ac:dyDescent="0.25">
      <c r="A1105" t="s">
        <v>664</v>
      </c>
      <c r="B1105">
        <v>102</v>
      </c>
      <c r="C1105">
        <v>0</v>
      </c>
      <c r="D1105">
        <v>3</v>
      </c>
      <c r="E1105" t="s">
        <v>885</v>
      </c>
      <c r="F1105" t="s">
        <v>894</v>
      </c>
      <c r="G1105" t="s">
        <v>887</v>
      </c>
    </row>
    <row r="1106" spans="1:7" x14ac:dyDescent="0.25">
      <c r="A1106" t="s">
        <v>46</v>
      </c>
      <c r="B1106">
        <v>328</v>
      </c>
      <c r="C1106">
        <v>-15</v>
      </c>
      <c r="D1106">
        <v>3</v>
      </c>
      <c r="E1106" t="s">
        <v>885</v>
      </c>
      <c r="F1106" t="s">
        <v>886</v>
      </c>
      <c r="G1106" t="s">
        <v>907</v>
      </c>
    </row>
    <row r="1107" spans="1:7" x14ac:dyDescent="0.25">
      <c r="A1107" t="s">
        <v>202</v>
      </c>
      <c r="B1107">
        <v>341</v>
      </c>
      <c r="C1107">
        <v>160</v>
      </c>
      <c r="D1107">
        <v>7</v>
      </c>
      <c r="E1107" t="s">
        <v>895</v>
      </c>
      <c r="F1107" t="s">
        <v>903</v>
      </c>
      <c r="G1107" t="s">
        <v>907</v>
      </c>
    </row>
    <row r="1108" spans="1:7" x14ac:dyDescent="0.25">
      <c r="A1108" t="s">
        <v>770</v>
      </c>
      <c r="B1108">
        <v>62</v>
      </c>
      <c r="C1108">
        <v>11</v>
      </c>
      <c r="D1108">
        <v>7</v>
      </c>
      <c r="E1108" t="s">
        <v>895</v>
      </c>
      <c r="F1108" t="s">
        <v>899</v>
      </c>
      <c r="G1108" t="s">
        <v>898</v>
      </c>
    </row>
    <row r="1109" spans="1:7" x14ac:dyDescent="0.25">
      <c r="A1109" t="s">
        <v>246</v>
      </c>
      <c r="B1109">
        <v>42</v>
      </c>
      <c r="C1109">
        <v>13</v>
      </c>
      <c r="D1109">
        <v>3</v>
      </c>
      <c r="E1109" t="s">
        <v>895</v>
      </c>
      <c r="F1109" t="s">
        <v>904</v>
      </c>
      <c r="G1109" t="s">
        <v>887</v>
      </c>
    </row>
    <row r="1110" spans="1:7" x14ac:dyDescent="0.25">
      <c r="A1110" t="s">
        <v>578</v>
      </c>
      <c r="B1110">
        <v>62</v>
      </c>
      <c r="C1110">
        <v>28</v>
      </c>
      <c r="D1110">
        <v>5</v>
      </c>
      <c r="E1110" t="s">
        <v>895</v>
      </c>
      <c r="F1110" t="s">
        <v>899</v>
      </c>
      <c r="G1110" t="s">
        <v>898</v>
      </c>
    </row>
    <row r="1111" spans="1:7" x14ac:dyDescent="0.25">
      <c r="A1111" t="s">
        <v>507</v>
      </c>
      <c r="B1111">
        <v>42</v>
      </c>
      <c r="C1111">
        <v>7</v>
      </c>
      <c r="D1111">
        <v>2</v>
      </c>
      <c r="E1111" t="s">
        <v>895</v>
      </c>
      <c r="F1111" t="s">
        <v>900</v>
      </c>
      <c r="G1111" t="s">
        <v>887</v>
      </c>
    </row>
    <row r="1112" spans="1:7" x14ac:dyDescent="0.25">
      <c r="A1112" t="s">
        <v>811</v>
      </c>
      <c r="B1112">
        <v>42</v>
      </c>
      <c r="C1112">
        <v>-3</v>
      </c>
      <c r="D1112">
        <v>1</v>
      </c>
      <c r="E1112" t="s">
        <v>885</v>
      </c>
      <c r="F1112" t="s">
        <v>886</v>
      </c>
      <c r="G1112" t="s">
        <v>887</v>
      </c>
    </row>
    <row r="1113" spans="1:7" x14ac:dyDescent="0.25">
      <c r="A1113" t="s">
        <v>490</v>
      </c>
      <c r="B1113">
        <v>313</v>
      </c>
      <c r="C1113">
        <v>-13</v>
      </c>
      <c r="D1113">
        <v>5</v>
      </c>
      <c r="E1113" t="s">
        <v>888</v>
      </c>
      <c r="F1113" t="s">
        <v>891</v>
      </c>
      <c r="G1113" t="s">
        <v>898</v>
      </c>
    </row>
    <row r="1114" spans="1:7" x14ac:dyDescent="0.25">
      <c r="A1114" t="s">
        <v>214</v>
      </c>
      <c r="B1114">
        <v>109</v>
      </c>
      <c r="C1114">
        <v>52</v>
      </c>
      <c r="D1114">
        <v>2</v>
      </c>
      <c r="E1114" t="s">
        <v>895</v>
      </c>
      <c r="F1114" t="s">
        <v>903</v>
      </c>
      <c r="G1114" t="s">
        <v>898</v>
      </c>
    </row>
    <row r="1115" spans="1:7" x14ac:dyDescent="0.25">
      <c r="A1115" t="s">
        <v>12</v>
      </c>
      <c r="B1115">
        <v>226</v>
      </c>
      <c r="C1115">
        <v>58</v>
      </c>
      <c r="D1115">
        <v>3</v>
      </c>
      <c r="E1115" t="s">
        <v>885</v>
      </c>
      <c r="F1115" t="s">
        <v>905</v>
      </c>
      <c r="G1115" t="s">
        <v>887</v>
      </c>
    </row>
    <row r="1116" spans="1:7" x14ac:dyDescent="0.25">
      <c r="A1116" t="s">
        <v>189</v>
      </c>
      <c r="B1116">
        <v>62</v>
      </c>
      <c r="C1116">
        <v>-1</v>
      </c>
      <c r="D1116">
        <v>1</v>
      </c>
      <c r="E1116" t="s">
        <v>885</v>
      </c>
      <c r="F1116" t="s">
        <v>894</v>
      </c>
      <c r="G1116" t="s">
        <v>898</v>
      </c>
    </row>
    <row r="1117" spans="1:7" x14ac:dyDescent="0.25">
      <c r="A1117" t="s">
        <v>198</v>
      </c>
      <c r="B1117">
        <v>61</v>
      </c>
      <c r="C1117">
        <v>-25</v>
      </c>
      <c r="D1117">
        <v>4</v>
      </c>
      <c r="E1117" t="s">
        <v>885</v>
      </c>
      <c r="F1117" t="s">
        <v>905</v>
      </c>
      <c r="G1117" t="s">
        <v>898</v>
      </c>
    </row>
    <row r="1118" spans="1:7" x14ac:dyDescent="0.25">
      <c r="A1118" t="s">
        <v>269</v>
      </c>
      <c r="B1118">
        <v>222</v>
      </c>
      <c r="C1118">
        <v>74</v>
      </c>
      <c r="D1118">
        <v>5</v>
      </c>
      <c r="E1118" t="s">
        <v>895</v>
      </c>
      <c r="F1118" t="s">
        <v>899</v>
      </c>
      <c r="G1118" t="s">
        <v>887</v>
      </c>
    </row>
    <row r="1119" spans="1:7" x14ac:dyDescent="0.25">
      <c r="A1119" t="s">
        <v>419</v>
      </c>
      <c r="B1119">
        <v>342</v>
      </c>
      <c r="C1119">
        <v>-154</v>
      </c>
      <c r="D1119">
        <v>7</v>
      </c>
      <c r="E1119" t="s">
        <v>888</v>
      </c>
      <c r="F1119" t="s">
        <v>908</v>
      </c>
      <c r="G1119" t="s">
        <v>907</v>
      </c>
    </row>
    <row r="1120" spans="1:7" x14ac:dyDescent="0.25">
      <c r="A1120" t="s">
        <v>209</v>
      </c>
      <c r="B1120">
        <v>344</v>
      </c>
      <c r="C1120">
        <v>-34</v>
      </c>
      <c r="D1120">
        <v>3</v>
      </c>
      <c r="E1120" t="s">
        <v>895</v>
      </c>
      <c r="F1120" t="s">
        <v>897</v>
      </c>
      <c r="G1120" t="s">
        <v>907</v>
      </c>
    </row>
    <row r="1121" spans="1:7" x14ac:dyDescent="0.25">
      <c r="A1121" t="s">
        <v>462</v>
      </c>
      <c r="B1121">
        <v>345</v>
      </c>
      <c r="C1121">
        <v>38</v>
      </c>
      <c r="D1121">
        <v>7</v>
      </c>
      <c r="E1121" t="s">
        <v>895</v>
      </c>
      <c r="F1121" t="s">
        <v>899</v>
      </c>
      <c r="G1121" t="s">
        <v>907</v>
      </c>
    </row>
    <row r="1122" spans="1:7" x14ac:dyDescent="0.25">
      <c r="A1122" t="s">
        <v>806</v>
      </c>
      <c r="B1122">
        <v>46</v>
      </c>
      <c r="C1122">
        <v>0</v>
      </c>
      <c r="D1122">
        <v>2</v>
      </c>
      <c r="E1122" t="s">
        <v>885</v>
      </c>
      <c r="F1122" t="s">
        <v>886</v>
      </c>
      <c r="G1122" t="s">
        <v>887</v>
      </c>
    </row>
    <row r="1123" spans="1:7" x14ac:dyDescent="0.25">
      <c r="A1123" t="s">
        <v>524</v>
      </c>
      <c r="B1123">
        <v>255</v>
      </c>
      <c r="C1123">
        <v>74</v>
      </c>
      <c r="D1123">
        <v>5</v>
      </c>
      <c r="E1123" t="s">
        <v>895</v>
      </c>
      <c r="F1123" t="s">
        <v>899</v>
      </c>
      <c r="G1123" t="s">
        <v>887</v>
      </c>
    </row>
    <row r="1124" spans="1:7" x14ac:dyDescent="0.25">
      <c r="A1124" t="s">
        <v>455</v>
      </c>
      <c r="B1124">
        <v>360</v>
      </c>
      <c r="C1124">
        <v>32</v>
      </c>
      <c r="D1124">
        <v>3</v>
      </c>
      <c r="E1124" t="s">
        <v>895</v>
      </c>
      <c r="F1124" t="s">
        <v>897</v>
      </c>
      <c r="G1124" t="s">
        <v>898</v>
      </c>
    </row>
    <row r="1125" spans="1:7" x14ac:dyDescent="0.25">
      <c r="A1125" t="s">
        <v>308</v>
      </c>
      <c r="B1125">
        <v>372</v>
      </c>
      <c r="C1125">
        <v>59</v>
      </c>
      <c r="D1125">
        <v>3</v>
      </c>
      <c r="E1125" t="s">
        <v>885</v>
      </c>
      <c r="F1125" t="s">
        <v>892</v>
      </c>
      <c r="G1125" t="s">
        <v>898</v>
      </c>
    </row>
    <row r="1126" spans="1:7" x14ac:dyDescent="0.25">
      <c r="A1126" t="s">
        <v>142</v>
      </c>
      <c r="B1126">
        <v>61</v>
      </c>
      <c r="C1126">
        <v>30</v>
      </c>
      <c r="D1126">
        <v>2</v>
      </c>
      <c r="E1126" t="s">
        <v>895</v>
      </c>
      <c r="F1126" t="s">
        <v>899</v>
      </c>
      <c r="G1126" t="s">
        <v>898</v>
      </c>
    </row>
    <row r="1127" spans="1:7" x14ac:dyDescent="0.25">
      <c r="A1127" t="s">
        <v>689</v>
      </c>
      <c r="B1127">
        <v>42</v>
      </c>
      <c r="C1127">
        <v>12</v>
      </c>
      <c r="D1127">
        <v>5</v>
      </c>
      <c r="E1127" t="s">
        <v>895</v>
      </c>
      <c r="F1127" t="s">
        <v>899</v>
      </c>
      <c r="G1127" t="s">
        <v>887</v>
      </c>
    </row>
    <row r="1128" spans="1:7" x14ac:dyDescent="0.25">
      <c r="A1128" t="s">
        <v>641</v>
      </c>
      <c r="B1128">
        <v>42</v>
      </c>
      <c r="C1128">
        <v>-26</v>
      </c>
      <c r="D1128">
        <v>2</v>
      </c>
      <c r="E1128" t="s">
        <v>895</v>
      </c>
      <c r="F1128" t="s">
        <v>900</v>
      </c>
      <c r="G1128" t="s">
        <v>887</v>
      </c>
    </row>
    <row r="1129" spans="1:7" x14ac:dyDescent="0.25">
      <c r="A1129" t="s">
        <v>771</v>
      </c>
      <c r="B1129">
        <v>61</v>
      </c>
      <c r="C1129">
        <v>25</v>
      </c>
      <c r="D1129">
        <v>4</v>
      </c>
      <c r="E1129" t="s">
        <v>895</v>
      </c>
      <c r="F1129" t="s">
        <v>897</v>
      </c>
      <c r="G1129" t="s">
        <v>898</v>
      </c>
    </row>
    <row r="1130" spans="1:7" x14ac:dyDescent="0.25">
      <c r="A1130" t="s">
        <v>57</v>
      </c>
      <c r="B1130">
        <v>41</v>
      </c>
      <c r="C1130">
        <v>11</v>
      </c>
      <c r="D1130">
        <v>6</v>
      </c>
      <c r="E1130" t="s">
        <v>895</v>
      </c>
      <c r="F1130" t="s">
        <v>899</v>
      </c>
      <c r="G1130" t="s">
        <v>887</v>
      </c>
    </row>
    <row r="1131" spans="1:7" x14ac:dyDescent="0.25">
      <c r="A1131" t="s">
        <v>348</v>
      </c>
      <c r="B1131">
        <v>40</v>
      </c>
      <c r="C1131">
        <v>13</v>
      </c>
      <c r="D1131">
        <v>3</v>
      </c>
      <c r="E1131" t="s">
        <v>895</v>
      </c>
      <c r="F1131" t="s">
        <v>906</v>
      </c>
      <c r="G1131" t="s">
        <v>887</v>
      </c>
    </row>
    <row r="1132" spans="1:7" x14ac:dyDescent="0.25">
      <c r="A1132" t="s">
        <v>548</v>
      </c>
      <c r="B1132">
        <v>59</v>
      </c>
      <c r="C1132">
        <v>21</v>
      </c>
      <c r="D1132">
        <v>2</v>
      </c>
      <c r="E1132" t="s">
        <v>895</v>
      </c>
      <c r="F1132" t="s">
        <v>903</v>
      </c>
      <c r="G1132" t="s">
        <v>898</v>
      </c>
    </row>
    <row r="1133" spans="1:7" x14ac:dyDescent="0.25">
      <c r="A1133" t="s">
        <v>356</v>
      </c>
      <c r="B1133">
        <v>57</v>
      </c>
      <c r="C1133">
        <v>27</v>
      </c>
      <c r="D1133">
        <v>2</v>
      </c>
      <c r="E1133" t="s">
        <v>895</v>
      </c>
      <c r="F1133" t="s">
        <v>909</v>
      </c>
      <c r="G1133" t="s">
        <v>898</v>
      </c>
    </row>
    <row r="1134" spans="1:7" x14ac:dyDescent="0.25">
      <c r="A1134" t="s">
        <v>442</v>
      </c>
      <c r="B1134">
        <v>17</v>
      </c>
      <c r="C1134">
        <v>6</v>
      </c>
      <c r="D1134">
        <v>1</v>
      </c>
      <c r="E1134" t="s">
        <v>895</v>
      </c>
      <c r="F1134" t="s">
        <v>903</v>
      </c>
      <c r="G1134" t="s">
        <v>898</v>
      </c>
    </row>
    <row r="1135" spans="1:7" x14ac:dyDescent="0.25">
      <c r="A1135" t="s">
        <v>493</v>
      </c>
      <c r="B1135">
        <v>40</v>
      </c>
      <c r="C1135">
        <v>10</v>
      </c>
      <c r="D1135">
        <v>2</v>
      </c>
      <c r="E1135" t="s">
        <v>895</v>
      </c>
      <c r="F1135" t="s">
        <v>903</v>
      </c>
      <c r="G1135" t="s">
        <v>887</v>
      </c>
    </row>
    <row r="1136" spans="1:7" x14ac:dyDescent="0.25">
      <c r="A1136" t="s">
        <v>273</v>
      </c>
      <c r="B1136">
        <v>349</v>
      </c>
      <c r="C1136">
        <v>-24</v>
      </c>
      <c r="D1136">
        <v>2</v>
      </c>
      <c r="E1136" t="s">
        <v>895</v>
      </c>
      <c r="F1136" t="s">
        <v>897</v>
      </c>
      <c r="G1136" t="s">
        <v>907</v>
      </c>
    </row>
    <row r="1137" spans="1:7" x14ac:dyDescent="0.25">
      <c r="A1137" t="s">
        <v>472</v>
      </c>
      <c r="B1137">
        <v>335</v>
      </c>
      <c r="C1137">
        <v>-22</v>
      </c>
      <c r="D1137">
        <v>7</v>
      </c>
      <c r="E1137" t="s">
        <v>888</v>
      </c>
      <c r="F1137" t="s">
        <v>889</v>
      </c>
      <c r="G1137" t="s">
        <v>898</v>
      </c>
    </row>
    <row r="1138" spans="1:7" x14ac:dyDescent="0.25">
      <c r="A1138" t="s">
        <v>419</v>
      </c>
      <c r="B1138">
        <v>40</v>
      </c>
      <c r="C1138">
        <v>16</v>
      </c>
      <c r="D1138">
        <v>3</v>
      </c>
      <c r="E1138" t="s">
        <v>895</v>
      </c>
      <c r="F1138" t="s">
        <v>899</v>
      </c>
      <c r="G1138" t="s">
        <v>887</v>
      </c>
    </row>
    <row r="1139" spans="1:7" x14ac:dyDescent="0.25">
      <c r="A1139" t="s">
        <v>119</v>
      </c>
      <c r="B1139">
        <v>40</v>
      </c>
      <c r="C1139">
        <v>17</v>
      </c>
      <c r="D1139">
        <v>2</v>
      </c>
      <c r="E1139" t="s">
        <v>895</v>
      </c>
      <c r="F1139" t="s">
        <v>903</v>
      </c>
      <c r="G1139" t="s">
        <v>887</v>
      </c>
    </row>
    <row r="1140" spans="1:7" x14ac:dyDescent="0.25">
      <c r="A1140" t="s">
        <v>641</v>
      </c>
      <c r="B1140">
        <v>40</v>
      </c>
      <c r="C1140">
        <v>-7</v>
      </c>
      <c r="D1140">
        <v>3</v>
      </c>
      <c r="E1140" t="s">
        <v>895</v>
      </c>
      <c r="F1140" t="s">
        <v>903</v>
      </c>
      <c r="G1140" t="s">
        <v>887</v>
      </c>
    </row>
    <row r="1141" spans="1:7" x14ac:dyDescent="0.25">
      <c r="A1141" t="s">
        <v>269</v>
      </c>
      <c r="B1141">
        <v>352</v>
      </c>
      <c r="C1141">
        <v>74</v>
      </c>
      <c r="D1141">
        <v>8</v>
      </c>
      <c r="E1141" t="s">
        <v>895</v>
      </c>
      <c r="F1141" t="s">
        <v>903</v>
      </c>
      <c r="G1141" t="s">
        <v>907</v>
      </c>
    </row>
    <row r="1142" spans="1:7" x14ac:dyDescent="0.25">
      <c r="A1142" t="s">
        <v>659</v>
      </c>
      <c r="B1142">
        <v>55</v>
      </c>
      <c r="C1142">
        <v>-26</v>
      </c>
      <c r="D1142">
        <v>4</v>
      </c>
      <c r="E1142" t="s">
        <v>895</v>
      </c>
      <c r="F1142" t="s">
        <v>897</v>
      </c>
      <c r="G1142" t="s">
        <v>898</v>
      </c>
    </row>
    <row r="1143" spans="1:7" x14ac:dyDescent="0.25">
      <c r="A1143" t="s">
        <v>219</v>
      </c>
      <c r="B1143">
        <v>352</v>
      </c>
      <c r="C1143">
        <v>18</v>
      </c>
      <c r="D1143">
        <v>5</v>
      </c>
      <c r="E1143" t="s">
        <v>895</v>
      </c>
      <c r="F1143" t="s">
        <v>896</v>
      </c>
      <c r="G1143" t="s">
        <v>907</v>
      </c>
    </row>
    <row r="1144" spans="1:7" x14ac:dyDescent="0.25">
      <c r="A1144" t="s">
        <v>341</v>
      </c>
      <c r="B1144">
        <v>53</v>
      </c>
      <c r="C1144">
        <v>-18</v>
      </c>
      <c r="D1144">
        <v>4</v>
      </c>
      <c r="E1144" t="s">
        <v>895</v>
      </c>
      <c r="F1144" t="s">
        <v>906</v>
      </c>
      <c r="G1144" t="s">
        <v>898</v>
      </c>
    </row>
    <row r="1145" spans="1:7" x14ac:dyDescent="0.25">
      <c r="A1145" t="s">
        <v>375</v>
      </c>
      <c r="B1145">
        <v>51</v>
      </c>
      <c r="C1145">
        <v>7</v>
      </c>
      <c r="D1145">
        <v>2</v>
      </c>
      <c r="E1145" t="s">
        <v>888</v>
      </c>
      <c r="F1145" t="s">
        <v>908</v>
      </c>
      <c r="G1145" t="s">
        <v>898</v>
      </c>
    </row>
    <row r="1146" spans="1:7" x14ac:dyDescent="0.25">
      <c r="A1146" t="s">
        <v>775</v>
      </c>
      <c r="B1146">
        <v>40</v>
      </c>
      <c r="C1146">
        <v>-37</v>
      </c>
      <c r="D1146">
        <v>3</v>
      </c>
      <c r="E1146" t="s">
        <v>895</v>
      </c>
      <c r="F1146" t="s">
        <v>903</v>
      </c>
      <c r="G1146" t="s">
        <v>887</v>
      </c>
    </row>
    <row r="1147" spans="1:7" x14ac:dyDescent="0.25">
      <c r="A1147" t="s">
        <v>10</v>
      </c>
      <c r="B1147">
        <v>39</v>
      </c>
      <c r="C1147">
        <v>14</v>
      </c>
      <c r="D1147">
        <v>5</v>
      </c>
      <c r="E1147" t="s">
        <v>895</v>
      </c>
      <c r="F1147" t="s">
        <v>904</v>
      </c>
      <c r="G1147" t="s">
        <v>887</v>
      </c>
    </row>
    <row r="1148" spans="1:7" x14ac:dyDescent="0.25">
      <c r="A1148" t="s">
        <v>457</v>
      </c>
      <c r="B1148">
        <v>355</v>
      </c>
      <c r="C1148">
        <v>-4</v>
      </c>
      <c r="D1148">
        <v>2</v>
      </c>
      <c r="E1148" t="s">
        <v>895</v>
      </c>
      <c r="F1148" t="s">
        <v>897</v>
      </c>
      <c r="G1148" t="s">
        <v>907</v>
      </c>
    </row>
    <row r="1149" spans="1:7" x14ac:dyDescent="0.25">
      <c r="A1149" t="s">
        <v>442</v>
      </c>
      <c r="B1149">
        <v>357</v>
      </c>
      <c r="C1149">
        <v>139</v>
      </c>
      <c r="D1149">
        <v>2</v>
      </c>
      <c r="E1149" t="s">
        <v>895</v>
      </c>
      <c r="F1149" t="s">
        <v>897</v>
      </c>
      <c r="G1149" t="s">
        <v>907</v>
      </c>
    </row>
    <row r="1150" spans="1:7" x14ac:dyDescent="0.25">
      <c r="A1150" t="s">
        <v>134</v>
      </c>
      <c r="B1150">
        <v>38</v>
      </c>
      <c r="C1150">
        <v>18</v>
      </c>
      <c r="D1150">
        <v>1</v>
      </c>
      <c r="E1150" t="s">
        <v>895</v>
      </c>
      <c r="F1150" t="s">
        <v>900</v>
      </c>
      <c r="G1150" t="s">
        <v>887</v>
      </c>
    </row>
    <row r="1151" spans="1:7" x14ac:dyDescent="0.25">
      <c r="A1151" t="s">
        <v>395</v>
      </c>
      <c r="B1151">
        <v>38</v>
      </c>
      <c r="C1151">
        <v>9</v>
      </c>
      <c r="D1151">
        <v>2</v>
      </c>
      <c r="E1151" t="s">
        <v>895</v>
      </c>
      <c r="F1151" t="s">
        <v>903</v>
      </c>
      <c r="G1151" t="s">
        <v>887</v>
      </c>
    </row>
    <row r="1152" spans="1:7" x14ac:dyDescent="0.25">
      <c r="A1152" t="s">
        <v>541</v>
      </c>
      <c r="B1152">
        <v>141</v>
      </c>
      <c r="C1152">
        <v>10</v>
      </c>
      <c r="D1152">
        <v>4</v>
      </c>
      <c r="E1152" t="s">
        <v>895</v>
      </c>
      <c r="F1152" t="s">
        <v>909</v>
      </c>
      <c r="G1152" t="s">
        <v>898</v>
      </c>
    </row>
    <row r="1153" spans="1:7" x14ac:dyDescent="0.25">
      <c r="A1153" t="s">
        <v>768</v>
      </c>
      <c r="B1153">
        <v>36</v>
      </c>
      <c r="C1153">
        <v>4</v>
      </c>
      <c r="D1153">
        <v>9</v>
      </c>
      <c r="E1153" t="s">
        <v>895</v>
      </c>
      <c r="F1153" t="s">
        <v>899</v>
      </c>
      <c r="G1153" t="s">
        <v>887</v>
      </c>
    </row>
    <row r="1154" spans="1:7" x14ac:dyDescent="0.25">
      <c r="A1154" t="s">
        <v>348</v>
      </c>
      <c r="B1154">
        <v>351</v>
      </c>
      <c r="C1154">
        <v>-94</v>
      </c>
      <c r="D1154">
        <v>5</v>
      </c>
      <c r="E1154" t="s">
        <v>885</v>
      </c>
      <c r="F1154" t="s">
        <v>886</v>
      </c>
      <c r="G1154" t="s">
        <v>887</v>
      </c>
    </row>
    <row r="1155" spans="1:7" x14ac:dyDescent="0.25">
      <c r="A1155" t="s">
        <v>378</v>
      </c>
      <c r="B1155">
        <v>369</v>
      </c>
      <c r="C1155">
        <v>15</v>
      </c>
      <c r="D1155">
        <v>3</v>
      </c>
      <c r="E1155" t="s">
        <v>885</v>
      </c>
      <c r="F1155" t="s">
        <v>886</v>
      </c>
      <c r="G1155" t="s">
        <v>907</v>
      </c>
    </row>
    <row r="1156" spans="1:7" x14ac:dyDescent="0.25">
      <c r="A1156" t="s">
        <v>470</v>
      </c>
      <c r="B1156">
        <v>53</v>
      </c>
      <c r="C1156">
        <v>24</v>
      </c>
      <c r="D1156">
        <v>6</v>
      </c>
      <c r="E1156" t="s">
        <v>895</v>
      </c>
      <c r="F1156" t="s">
        <v>899</v>
      </c>
      <c r="G1156" t="s">
        <v>890</v>
      </c>
    </row>
    <row r="1157" spans="1:7" x14ac:dyDescent="0.25">
      <c r="A1157" t="s">
        <v>408</v>
      </c>
      <c r="B1157">
        <v>371</v>
      </c>
      <c r="C1157">
        <v>115</v>
      </c>
      <c r="D1157">
        <v>1</v>
      </c>
      <c r="E1157" t="s">
        <v>888</v>
      </c>
      <c r="F1157" t="s">
        <v>891</v>
      </c>
      <c r="G1157" t="s">
        <v>907</v>
      </c>
    </row>
    <row r="1158" spans="1:7" x14ac:dyDescent="0.25">
      <c r="A1158" t="s">
        <v>230</v>
      </c>
      <c r="B1158">
        <v>499</v>
      </c>
      <c r="C1158">
        <v>33</v>
      </c>
      <c r="D1158">
        <v>4</v>
      </c>
      <c r="E1158" t="s">
        <v>895</v>
      </c>
      <c r="F1158" t="s">
        <v>897</v>
      </c>
      <c r="G1158" t="s">
        <v>887</v>
      </c>
    </row>
    <row r="1159" spans="1:7" x14ac:dyDescent="0.25">
      <c r="A1159" t="s">
        <v>308</v>
      </c>
      <c r="B1159">
        <v>223</v>
      </c>
      <c r="C1159">
        <v>62</v>
      </c>
      <c r="D1159">
        <v>7</v>
      </c>
      <c r="E1159" t="s">
        <v>895</v>
      </c>
      <c r="F1159" t="s">
        <v>909</v>
      </c>
      <c r="G1159" t="s">
        <v>887</v>
      </c>
    </row>
    <row r="1160" spans="1:7" x14ac:dyDescent="0.25">
      <c r="A1160" t="s">
        <v>354</v>
      </c>
      <c r="B1160">
        <v>50</v>
      </c>
      <c r="C1160">
        <v>-4</v>
      </c>
      <c r="D1160">
        <v>6</v>
      </c>
      <c r="E1160" t="s">
        <v>895</v>
      </c>
      <c r="F1160" t="s">
        <v>906</v>
      </c>
      <c r="G1160" t="s">
        <v>890</v>
      </c>
    </row>
    <row r="1161" spans="1:7" x14ac:dyDescent="0.25">
      <c r="A1161" t="s">
        <v>425</v>
      </c>
      <c r="B1161">
        <v>391</v>
      </c>
      <c r="C1161">
        <v>90</v>
      </c>
      <c r="D1161">
        <v>6</v>
      </c>
      <c r="E1161" t="s">
        <v>885</v>
      </c>
      <c r="F1161" t="s">
        <v>894</v>
      </c>
      <c r="G1161" t="s">
        <v>907</v>
      </c>
    </row>
    <row r="1162" spans="1:7" x14ac:dyDescent="0.25">
      <c r="A1162" t="s">
        <v>428</v>
      </c>
      <c r="B1162">
        <v>416</v>
      </c>
      <c r="C1162">
        <v>137</v>
      </c>
      <c r="D1162">
        <v>3</v>
      </c>
      <c r="E1162" t="s">
        <v>885</v>
      </c>
      <c r="F1162" t="s">
        <v>894</v>
      </c>
      <c r="G1162" t="s">
        <v>907</v>
      </c>
    </row>
    <row r="1163" spans="1:7" x14ac:dyDescent="0.25">
      <c r="A1163" t="s">
        <v>217</v>
      </c>
      <c r="B1163">
        <v>424</v>
      </c>
      <c r="C1163">
        <v>-17</v>
      </c>
      <c r="D1163">
        <v>9</v>
      </c>
      <c r="E1163" t="s">
        <v>888</v>
      </c>
      <c r="F1163" t="s">
        <v>889</v>
      </c>
      <c r="G1163" t="s">
        <v>907</v>
      </c>
    </row>
    <row r="1164" spans="1:7" x14ac:dyDescent="0.25">
      <c r="A1164" t="s">
        <v>454</v>
      </c>
      <c r="B1164">
        <v>362</v>
      </c>
      <c r="C1164">
        <v>127</v>
      </c>
      <c r="D1164">
        <v>1</v>
      </c>
      <c r="E1164" t="s">
        <v>888</v>
      </c>
      <c r="F1164" t="s">
        <v>891</v>
      </c>
      <c r="G1164" t="s">
        <v>887</v>
      </c>
    </row>
    <row r="1165" spans="1:7" x14ac:dyDescent="0.25">
      <c r="A1165" t="s">
        <v>204</v>
      </c>
      <c r="B1165">
        <v>36</v>
      </c>
      <c r="C1165">
        <v>-7</v>
      </c>
      <c r="D1165">
        <v>1</v>
      </c>
      <c r="E1165" t="s">
        <v>885</v>
      </c>
      <c r="F1165" t="s">
        <v>886</v>
      </c>
      <c r="G1165" t="s">
        <v>887</v>
      </c>
    </row>
    <row r="1166" spans="1:7" x14ac:dyDescent="0.25">
      <c r="A1166" t="s">
        <v>417</v>
      </c>
      <c r="B1166">
        <v>34</v>
      </c>
      <c r="C1166">
        <v>-10</v>
      </c>
      <c r="D1166">
        <v>3</v>
      </c>
      <c r="E1166" t="s">
        <v>895</v>
      </c>
      <c r="F1166" t="s">
        <v>901</v>
      </c>
      <c r="G1166" t="s">
        <v>887</v>
      </c>
    </row>
    <row r="1167" spans="1:7" x14ac:dyDescent="0.25">
      <c r="A1167" t="s">
        <v>160</v>
      </c>
      <c r="B1167">
        <v>367</v>
      </c>
      <c r="C1167">
        <v>73</v>
      </c>
      <c r="D1167">
        <v>3</v>
      </c>
      <c r="E1167" t="s">
        <v>885</v>
      </c>
      <c r="F1167" t="s">
        <v>886</v>
      </c>
      <c r="G1167" t="s">
        <v>898</v>
      </c>
    </row>
    <row r="1168" spans="1:7" x14ac:dyDescent="0.25">
      <c r="A1168" t="s">
        <v>350</v>
      </c>
      <c r="B1168">
        <v>425</v>
      </c>
      <c r="C1168">
        <v>208</v>
      </c>
      <c r="D1168">
        <v>7</v>
      </c>
      <c r="E1168" t="s">
        <v>895</v>
      </c>
      <c r="F1168" t="s">
        <v>897</v>
      </c>
      <c r="G1168" t="s">
        <v>907</v>
      </c>
    </row>
    <row r="1169" spans="1:7" x14ac:dyDescent="0.25">
      <c r="A1169" t="s">
        <v>421</v>
      </c>
      <c r="B1169">
        <v>433</v>
      </c>
      <c r="C1169">
        <v>26</v>
      </c>
      <c r="D1169">
        <v>3</v>
      </c>
      <c r="E1169" t="s">
        <v>885</v>
      </c>
      <c r="F1169" t="s">
        <v>892</v>
      </c>
      <c r="G1169" t="s">
        <v>907</v>
      </c>
    </row>
    <row r="1170" spans="1:7" x14ac:dyDescent="0.25">
      <c r="A1170" t="s">
        <v>408</v>
      </c>
      <c r="B1170">
        <v>460</v>
      </c>
      <c r="C1170">
        <v>31</v>
      </c>
      <c r="D1170">
        <v>3</v>
      </c>
      <c r="E1170" t="s">
        <v>888</v>
      </c>
      <c r="F1170" t="s">
        <v>891</v>
      </c>
      <c r="G1170" t="s">
        <v>907</v>
      </c>
    </row>
    <row r="1171" spans="1:7" x14ac:dyDescent="0.25">
      <c r="A1171" t="s">
        <v>212</v>
      </c>
      <c r="B1171">
        <v>62</v>
      </c>
      <c r="C1171">
        <v>-56</v>
      </c>
      <c r="D1171">
        <v>5</v>
      </c>
      <c r="E1171" t="s">
        <v>895</v>
      </c>
      <c r="F1171" t="s">
        <v>900</v>
      </c>
      <c r="G1171" t="s">
        <v>887</v>
      </c>
    </row>
    <row r="1172" spans="1:7" x14ac:dyDescent="0.25">
      <c r="A1172" t="s">
        <v>244</v>
      </c>
      <c r="B1172">
        <v>50</v>
      </c>
      <c r="C1172">
        <v>16</v>
      </c>
      <c r="D1172">
        <v>1</v>
      </c>
      <c r="E1172" t="s">
        <v>895</v>
      </c>
      <c r="F1172" t="s">
        <v>903</v>
      </c>
      <c r="G1172" t="s">
        <v>890</v>
      </c>
    </row>
    <row r="1173" spans="1:7" x14ac:dyDescent="0.25">
      <c r="A1173" t="s">
        <v>409</v>
      </c>
      <c r="B1173">
        <v>460</v>
      </c>
      <c r="C1173">
        <v>-143</v>
      </c>
      <c r="D1173">
        <v>3</v>
      </c>
      <c r="E1173" t="s">
        <v>888</v>
      </c>
      <c r="F1173" t="s">
        <v>889</v>
      </c>
      <c r="G1173" t="s">
        <v>907</v>
      </c>
    </row>
    <row r="1174" spans="1:7" x14ac:dyDescent="0.25">
      <c r="A1174" t="s">
        <v>638</v>
      </c>
      <c r="B1174">
        <v>34</v>
      </c>
      <c r="C1174">
        <v>3</v>
      </c>
      <c r="D1174">
        <v>3</v>
      </c>
      <c r="E1174" t="s">
        <v>895</v>
      </c>
      <c r="F1174" t="s">
        <v>897</v>
      </c>
      <c r="G1174" t="s">
        <v>887</v>
      </c>
    </row>
    <row r="1175" spans="1:7" x14ac:dyDescent="0.25">
      <c r="A1175" t="s">
        <v>345</v>
      </c>
      <c r="B1175">
        <v>227</v>
      </c>
      <c r="C1175">
        <v>59</v>
      </c>
      <c r="D1175">
        <v>2</v>
      </c>
      <c r="E1175" t="s">
        <v>888</v>
      </c>
      <c r="F1175" t="s">
        <v>908</v>
      </c>
      <c r="G1175" t="s">
        <v>898</v>
      </c>
    </row>
    <row r="1176" spans="1:7" x14ac:dyDescent="0.25">
      <c r="A1176" t="s">
        <v>403</v>
      </c>
      <c r="B1176">
        <v>469</v>
      </c>
      <c r="C1176">
        <v>33</v>
      </c>
      <c r="D1176">
        <v>4</v>
      </c>
      <c r="E1176" t="s">
        <v>885</v>
      </c>
      <c r="F1176" t="s">
        <v>886</v>
      </c>
      <c r="G1176" t="s">
        <v>907</v>
      </c>
    </row>
    <row r="1177" spans="1:7" x14ac:dyDescent="0.25">
      <c r="A1177" t="s">
        <v>470</v>
      </c>
      <c r="B1177">
        <v>103</v>
      </c>
      <c r="C1177">
        <v>46</v>
      </c>
      <c r="D1177">
        <v>2</v>
      </c>
      <c r="E1177" t="s">
        <v>895</v>
      </c>
      <c r="F1177" t="s">
        <v>897</v>
      </c>
      <c r="G1177" t="s">
        <v>898</v>
      </c>
    </row>
    <row r="1178" spans="1:7" x14ac:dyDescent="0.25">
      <c r="A1178" t="s">
        <v>716</v>
      </c>
      <c r="B1178">
        <v>34</v>
      </c>
      <c r="C1178">
        <v>-13</v>
      </c>
      <c r="D1178">
        <v>5</v>
      </c>
      <c r="E1178" t="s">
        <v>895</v>
      </c>
      <c r="F1178" t="s">
        <v>904</v>
      </c>
      <c r="G1178" t="s">
        <v>887</v>
      </c>
    </row>
    <row r="1179" spans="1:7" x14ac:dyDescent="0.25">
      <c r="A1179" t="s">
        <v>360</v>
      </c>
      <c r="B1179">
        <v>137</v>
      </c>
      <c r="C1179">
        <v>63</v>
      </c>
      <c r="D1179">
        <v>3</v>
      </c>
      <c r="E1179" t="s">
        <v>895</v>
      </c>
      <c r="F1179" t="s">
        <v>903</v>
      </c>
      <c r="G1179" t="s">
        <v>887</v>
      </c>
    </row>
    <row r="1180" spans="1:7" x14ac:dyDescent="0.25">
      <c r="A1180" t="s">
        <v>824</v>
      </c>
      <c r="B1180">
        <v>34</v>
      </c>
      <c r="C1180">
        <v>12</v>
      </c>
      <c r="D1180">
        <v>2</v>
      </c>
      <c r="E1180" t="s">
        <v>895</v>
      </c>
      <c r="F1180" t="s">
        <v>903</v>
      </c>
      <c r="G1180" t="s">
        <v>887</v>
      </c>
    </row>
    <row r="1181" spans="1:7" x14ac:dyDescent="0.25">
      <c r="A1181" t="s">
        <v>400</v>
      </c>
      <c r="B1181">
        <v>474</v>
      </c>
      <c r="C1181">
        <v>56</v>
      </c>
      <c r="D1181">
        <v>4</v>
      </c>
      <c r="E1181" t="s">
        <v>885</v>
      </c>
      <c r="F1181" t="s">
        <v>894</v>
      </c>
      <c r="G1181" t="s">
        <v>907</v>
      </c>
    </row>
    <row r="1182" spans="1:7" x14ac:dyDescent="0.25">
      <c r="A1182" t="s">
        <v>544</v>
      </c>
      <c r="B1182">
        <v>50</v>
      </c>
      <c r="C1182">
        <v>3</v>
      </c>
      <c r="D1182">
        <v>2</v>
      </c>
      <c r="E1182" t="s">
        <v>895</v>
      </c>
      <c r="F1182" t="s">
        <v>903</v>
      </c>
      <c r="G1182" t="s">
        <v>890</v>
      </c>
    </row>
    <row r="1183" spans="1:7" x14ac:dyDescent="0.25">
      <c r="A1183" t="s">
        <v>198</v>
      </c>
      <c r="B1183">
        <v>69</v>
      </c>
      <c r="C1183">
        <v>-67</v>
      </c>
      <c r="D1183">
        <v>4</v>
      </c>
      <c r="E1183" t="s">
        <v>895</v>
      </c>
      <c r="F1183" t="s">
        <v>900</v>
      </c>
      <c r="G1183" t="s">
        <v>898</v>
      </c>
    </row>
    <row r="1184" spans="1:7" x14ac:dyDescent="0.25">
      <c r="A1184" t="s">
        <v>438</v>
      </c>
      <c r="B1184">
        <v>389</v>
      </c>
      <c r="C1184">
        <v>-83</v>
      </c>
      <c r="D1184">
        <v>3</v>
      </c>
      <c r="E1184" t="s">
        <v>888</v>
      </c>
      <c r="F1184" t="s">
        <v>889</v>
      </c>
      <c r="G1184" t="s">
        <v>898</v>
      </c>
    </row>
    <row r="1185" spans="1:7" x14ac:dyDescent="0.25">
      <c r="A1185" t="s">
        <v>212</v>
      </c>
      <c r="B1185">
        <v>77</v>
      </c>
      <c r="C1185">
        <v>-43</v>
      </c>
      <c r="D1185">
        <v>8</v>
      </c>
      <c r="E1185" t="s">
        <v>895</v>
      </c>
      <c r="F1185" t="s">
        <v>903</v>
      </c>
      <c r="G1185" t="s">
        <v>887</v>
      </c>
    </row>
    <row r="1186" spans="1:7" x14ac:dyDescent="0.25">
      <c r="A1186" t="s">
        <v>442</v>
      </c>
      <c r="B1186">
        <v>51</v>
      </c>
      <c r="C1186">
        <v>21</v>
      </c>
      <c r="D1186">
        <v>3</v>
      </c>
      <c r="E1186" t="s">
        <v>895</v>
      </c>
      <c r="F1186" t="s">
        <v>906</v>
      </c>
      <c r="G1186" t="s">
        <v>887</v>
      </c>
    </row>
    <row r="1187" spans="1:7" x14ac:dyDescent="0.25">
      <c r="A1187" t="s">
        <v>292</v>
      </c>
      <c r="B1187">
        <v>394</v>
      </c>
      <c r="C1187">
        <v>146</v>
      </c>
      <c r="D1187">
        <v>2</v>
      </c>
      <c r="E1187" t="s">
        <v>888</v>
      </c>
      <c r="F1187" t="s">
        <v>891</v>
      </c>
      <c r="G1187" t="s">
        <v>898</v>
      </c>
    </row>
    <row r="1188" spans="1:7" x14ac:dyDescent="0.25">
      <c r="A1188" t="s">
        <v>497</v>
      </c>
      <c r="B1188">
        <v>48</v>
      </c>
      <c r="C1188">
        <v>-22</v>
      </c>
      <c r="D1188">
        <v>2</v>
      </c>
      <c r="E1188" t="s">
        <v>895</v>
      </c>
      <c r="F1188" t="s">
        <v>897</v>
      </c>
      <c r="G1188" t="s">
        <v>890</v>
      </c>
    </row>
    <row r="1189" spans="1:7" x14ac:dyDescent="0.25">
      <c r="A1189" t="s">
        <v>417</v>
      </c>
      <c r="B1189">
        <v>34</v>
      </c>
      <c r="C1189">
        <v>-12</v>
      </c>
      <c r="D1189">
        <v>5</v>
      </c>
      <c r="E1189" t="s">
        <v>895</v>
      </c>
      <c r="F1189" t="s">
        <v>904</v>
      </c>
      <c r="G1189" t="s">
        <v>887</v>
      </c>
    </row>
    <row r="1190" spans="1:7" x14ac:dyDescent="0.25">
      <c r="A1190" t="s">
        <v>12</v>
      </c>
      <c r="B1190">
        <v>484</v>
      </c>
      <c r="C1190">
        <v>28</v>
      </c>
      <c r="D1190">
        <v>3</v>
      </c>
      <c r="E1190" t="s">
        <v>885</v>
      </c>
      <c r="F1190" t="s">
        <v>892</v>
      </c>
      <c r="G1190" t="s">
        <v>907</v>
      </c>
    </row>
    <row r="1191" spans="1:7" x14ac:dyDescent="0.25">
      <c r="A1191" t="s">
        <v>557</v>
      </c>
      <c r="B1191">
        <v>47</v>
      </c>
      <c r="C1191">
        <v>-27</v>
      </c>
      <c r="D1191">
        <v>4</v>
      </c>
      <c r="E1191" t="s">
        <v>895</v>
      </c>
      <c r="F1191" t="s">
        <v>897</v>
      </c>
      <c r="G1191" t="s">
        <v>890</v>
      </c>
    </row>
    <row r="1192" spans="1:7" x14ac:dyDescent="0.25">
      <c r="A1192" t="s">
        <v>23</v>
      </c>
      <c r="B1192">
        <v>45</v>
      </c>
      <c r="C1192">
        <v>8</v>
      </c>
      <c r="D1192">
        <v>4</v>
      </c>
      <c r="E1192" t="s">
        <v>895</v>
      </c>
      <c r="F1192" t="s">
        <v>901</v>
      </c>
      <c r="G1192" t="s">
        <v>890</v>
      </c>
    </row>
    <row r="1193" spans="1:7" x14ac:dyDescent="0.25">
      <c r="A1193" t="s">
        <v>663</v>
      </c>
      <c r="B1193">
        <v>128</v>
      </c>
      <c r="C1193">
        <v>55</v>
      </c>
      <c r="D1193">
        <v>1</v>
      </c>
      <c r="E1193" t="s">
        <v>895</v>
      </c>
      <c r="F1193" t="s">
        <v>897</v>
      </c>
      <c r="G1193" t="s">
        <v>887</v>
      </c>
    </row>
    <row r="1194" spans="1:7" x14ac:dyDescent="0.25">
      <c r="A1194" t="s">
        <v>136</v>
      </c>
      <c r="B1194">
        <v>669</v>
      </c>
      <c r="C1194">
        <v>74</v>
      </c>
      <c r="D1194">
        <v>5</v>
      </c>
      <c r="E1194" t="s">
        <v>888</v>
      </c>
      <c r="F1194" t="s">
        <v>891</v>
      </c>
      <c r="G1194" t="s">
        <v>887</v>
      </c>
    </row>
    <row r="1195" spans="1:7" x14ac:dyDescent="0.25">
      <c r="A1195" t="s">
        <v>822</v>
      </c>
      <c r="B1195">
        <v>34</v>
      </c>
      <c r="C1195">
        <v>13</v>
      </c>
      <c r="D1195">
        <v>2</v>
      </c>
      <c r="E1195" t="s">
        <v>895</v>
      </c>
      <c r="F1195" t="s">
        <v>897</v>
      </c>
      <c r="G1195" t="s">
        <v>887</v>
      </c>
    </row>
    <row r="1196" spans="1:7" x14ac:dyDescent="0.25">
      <c r="A1196" t="s">
        <v>467</v>
      </c>
      <c r="B1196">
        <v>44</v>
      </c>
      <c r="C1196">
        <v>14</v>
      </c>
      <c r="D1196">
        <v>3</v>
      </c>
      <c r="E1196" t="s">
        <v>895</v>
      </c>
      <c r="F1196" t="s">
        <v>899</v>
      </c>
      <c r="G1196" t="s">
        <v>893</v>
      </c>
    </row>
    <row r="1197" spans="1:7" x14ac:dyDescent="0.25">
      <c r="A1197" t="s">
        <v>89</v>
      </c>
      <c r="B1197">
        <v>33</v>
      </c>
      <c r="C1197">
        <v>1</v>
      </c>
      <c r="D1197">
        <v>2</v>
      </c>
      <c r="E1197" t="s">
        <v>895</v>
      </c>
      <c r="F1197" t="s">
        <v>909</v>
      </c>
      <c r="G1197" t="s">
        <v>887</v>
      </c>
    </row>
    <row r="1198" spans="1:7" x14ac:dyDescent="0.25">
      <c r="A1198" t="s">
        <v>400</v>
      </c>
      <c r="B1198">
        <v>33</v>
      </c>
      <c r="C1198">
        <v>10</v>
      </c>
      <c r="D1198">
        <v>3</v>
      </c>
      <c r="E1198" t="s">
        <v>895</v>
      </c>
      <c r="F1198" t="s">
        <v>899</v>
      </c>
      <c r="G1198" t="s">
        <v>887</v>
      </c>
    </row>
    <row r="1199" spans="1:7" x14ac:dyDescent="0.25">
      <c r="A1199" t="s">
        <v>226</v>
      </c>
      <c r="B1199">
        <v>487</v>
      </c>
      <c r="C1199">
        <v>-23</v>
      </c>
      <c r="D1199">
        <v>3</v>
      </c>
      <c r="E1199" t="s">
        <v>885</v>
      </c>
      <c r="F1199" t="s">
        <v>892</v>
      </c>
      <c r="G1199" t="s">
        <v>907</v>
      </c>
    </row>
    <row r="1200" spans="1:7" x14ac:dyDescent="0.25">
      <c r="A1200" t="s">
        <v>390</v>
      </c>
      <c r="B1200">
        <v>497</v>
      </c>
      <c r="C1200">
        <v>179</v>
      </c>
      <c r="D1200">
        <v>3</v>
      </c>
      <c r="E1200" t="s">
        <v>888</v>
      </c>
      <c r="F1200" t="s">
        <v>889</v>
      </c>
      <c r="G1200" t="s">
        <v>907</v>
      </c>
    </row>
    <row r="1201" spans="1:7" x14ac:dyDescent="0.25">
      <c r="A1201" t="s">
        <v>214</v>
      </c>
      <c r="B1201">
        <v>508</v>
      </c>
      <c r="C1201">
        <v>203</v>
      </c>
      <c r="D1201">
        <v>2</v>
      </c>
      <c r="E1201" t="s">
        <v>885</v>
      </c>
      <c r="F1201" t="s">
        <v>905</v>
      </c>
      <c r="G1201" t="s">
        <v>907</v>
      </c>
    </row>
    <row r="1202" spans="1:7" x14ac:dyDescent="0.25">
      <c r="A1202" t="s">
        <v>235</v>
      </c>
      <c r="B1202">
        <v>524</v>
      </c>
      <c r="C1202">
        <v>-25</v>
      </c>
      <c r="D1202">
        <v>2</v>
      </c>
      <c r="E1202" t="s">
        <v>885</v>
      </c>
      <c r="F1202" t="s">
        <v>886</v>
      </c>
      <c r="G1202" t="s">
        <v>907</v>
      </c>
    </row>
    <row r="1203" spans="1:7" x14ac:dyDescent="0.25">
      <c r="A1203" t="s">
        <v>424</v>
      </c>
      <c r="B1203">
        <v>425</v>
      </c>
      <c r="C1203">
        <v>183</v>
      </c>
      <c r="D1203">
        <v>5</v>
      </c>
      <c r="E1203" t="s">
        <v>885</v>
      </c>
      <c r="F1203" t="s">
        <v>905</v>
      </c>
      <c r="G1203" t="s">
        <v>898</v>
      </c>
    </row>
    <row r="1204" spans="1:7" x14ac:dyDescent="0.25">
      <c r="A1204" t="s">
        <v>87</v>
      </c>
      <c r="B1204">
        <v>168</v>
      </c>
      <c r="C1204">
        <v>56</v>
      </c>
      <c r="D1204">
        <v>3</v>
      </c>
      <c r="E1204" t="s">
        <v>895</v>
      </c>
      <c r="F1204" t="s">
        <v>897</v>
      </c>
      <c r="G1204" t="s">
        <v>887</v>
      </c>
    </row>
    <row r="1205" spans="1:7" x14ac:dyDescent="0.25">
      <c r="A1205" t="s">
        <v>644</v>
      </c>
      <c r="B1205">
        <v>141</v>
      </c>
      <c r="C1205">
        <v>28</v>
      </c>
      <c r="D1205">
        <v>7</v>
      </c>
      <c r="E1205" t="s">
        <v>888</v>
      </c>
      <c r="F1205" t="s">
        <v>908</v>
      </c>
      <c r="G1205" t="s">
        <v>898</v>
      </c>
    </row>
    <row r="1206" spans="1:7" x14ac:dyDescent="0.25">
      <c r="A1206" t="s">
        <v>309</v>
      </c>
      <c r="B1206">
        <v>429</v>
      </c>
      <c r="C1206">
        <v>17</v>
      </c>
      <c r="D1206">
        <v>3</v>
      </c>
      <c r="E1206" t="s">
        <v>888</v>
      </c>
      <c r="F1206" t="s">
        <v>889</v>
      </c>
      <c r="G1206" t="s">
        <v>898</v>
      </c>
    </row>
    <row r="1207" spans="1:7" x14ac:dyDescent="0.25">
      <c r="A1207" t="s">
        <v>315</v>
      </c>
      <c r="B1207">
        <v>44</v>
      </c>
      <c r="C1207">
        <v>-8</v>
      </c>
      <c r="D1207">
        <v>3</v>
      </c>
      <c r="E1207" t="s">
        <v>895</v>
      </c>
      <c r="F1207" t="s">
        <v>903</v>
      </c>
      <c r="G1207" t="s">
        <v>893</v>
      </c>
    </row>
    <row r="1208" spans="1:7" x14ac:dyDescent="0.25">
      <c r="A1208" t="s">
        <v>401</v>
      </c>
      <c r="B1208">
        <v>149</v>
      </c>
      <c r="C1208">
        <v>136</v>
      </c>
      <c r="D1208">
        <v>3</v>
      </c>
      <c r="E1208" t="s">
        <v>895</v>
      </c>
      <c r="F1208" t="s">
        <v>903</v>
      </c>
      <c r="G1208" t="s">
        <v>898</v>
      </c>
    </row>
    <row r="1209" spans="1:7" x14ac:dyDescent="0.25">
      <c r="A1209" t="s">
        <v>61</v>
      </c>
      <c r="B1209">
        <v>44</v>
      </c>
      <c r="C1209">
        <v>-34</v>
      </c>
      <c r="D1209">
        <v>3</v>
      </c>
      <c r="E1209" t="s">
        <v>895</v>
      </c>
      <c r="F1209" t="s">
        <v>903</v>
      </c>
      <c r="G1209" t="s">
        <v>893</v>
      </c>
    </row>
    <row r="1210" spans="1:7" x14ac:dyDescent="0.25">
      <c r="A1210" t="s">
        <v>294</v>
      </c>
      <c r="B1210">
        <v>33</v>
      </c>
      <c r="C1210">
        <v>10</v>
      </c>
      <c r="D1210">
        <v>3</v>
      </c>
      <c r="E1210" t="s">
        <v>895</v>
      </c>
      <c r="F1210" t="s">
        <v>899</v>
      </c>
      <c r="G1210" t="s">
        <v>887</v>
      </c>
    </row>
    <row r="1211" spans="1:7" x14ac:dyDescent="0.25">
      <c r="A1211" t="s">
        <v>425</v>
      </c>
      <c r="B1211">
        <v>33</v>
      </c>
      <c r="C1211">
        <v>9</v>
      </c>
      <c r="D1211">
        <v>2</v>
      </c>
      <c r="E1211" t="s">
        <v>895</v>
      </c>
      <c r="F1211" t="s">
        <v>899</v>
      </c>
      <c r="G1211" t="s">
        <v>887</v>
      </c>
    </row>
    <row r="1212" spans="1:7" x14ac:dyDescent="0.25">
      <c r="A1212" t="s">
        <v>142</v>
      </c>
      <c r="B1212">
        <v>442</v>
      </c>
      <c r="C1212">
        <v>31</v>
      </c>
      <c r="D1212">
        <v>2</v>
      </c>
      <c r="E1212" t="s">
        <v>885</v>
      </c>
      <c r="F1212" t="s">
        <v>886</v>
      </c>
      <c r="G1212" t="s">
        <v>898</v>
      </c>
    </row>
    <row r="1213" spans="1:7" x14ac:dyDescent="0.25">
      <c r="A1213" t="s">
        <v>209</v>
      </c>
      <c r="B1213">
        <v>41</v>
      </c>
      <c r="C1213">
        <v>6</v>
      </c>
      <c r="D1213">
        <v>5</v>
      </c>
      <c r="E1213" t="s">
        <v>895</v>
      </c>
      <c r="F1213" t="s">
        <v>901</v>
      </c>
      <c r="G1213" t="s">
        <v>893</v>
      </c>
    </row>
    <row r="1214" spans="1:7" x14ac:dyDescent="0.25">
      <c r="A1214" t="s">
        <v>720</v>
      </c>
      <c r="B1214">
        <v>33</v>
      </c>
      <c r="C1214">
        <v>-12</v>
      </c>
      <c r="D1214">
        <v>5</v>
      </c>
      <c r="E1214" t="s">
        <v>895</v>
      </c>
      <c r="F1214" t="s">
        <v>899</v>
      </c>
      <c r="G1214" t="s">
        <v>887</v>
      </c>
    </row>
    <row r="1215" spans="1:7" x14ac:dyDescent="0.25">
      <c r="A1215" t="s">
        <v>827</v>
      </c>
      <c r="B1215">
        <v>32</v>
      </c>
      <c r="C1215">
        <v>3</v>
      </c>
      <c r="D1215">
        <v>8</v>
      </c>
      <c r="E1215" t="s">
        <v>895</v>
      </c>
      <c r="F1215" t="s">
        <v>899</v>
      </c>
      <c r="G1215" t="s">
        <v>887</v>
      </c>
    </row>
    <row r="1216" spans="1:7" x14ac:dyDescent="0.25">
      <c r="A1216" t="s">
        <v>166</v>
      </c>
      <c r="B1216">
        <v>32</v>
      </c>
      <c r="C1216">
        <v>6</v>
      </c>
      <c r="D1216">
        <v>3</v>
      </c>
      <c r="E1216" t="s">
        <v>895</v>
      </c>
      <c r="F1216" t="s">
        <v>909</v>
      </c>
      <c r="G1216" t="s">
        <v>887</v>
      </c>
    </row>
    <row r="1217" spans="1:7" x14ac:dyDescent="0.25">
      <c r="A1217" t="s">
        <v>449</v>
      </c>
      <c r="B1217">
        <v>179</v>
      </c>
      <c r="C1217">
        <v>77</v>
      </c>
      <c r="D1217">
        <v>1</v>
      </c>
      <c r="E1217" t="s">
        <v>895</v>
      </c>
      <c r="F1217" t="s">
        <v>897</v>
      </c>
      <c r="G1217" t="s">
        <v>898</v>
      </c>
    </row>
    <row r="1218" spans="1:7" x14ac:dyDescent="0.25">
      <c r="A1218" t="s">
        <v>684</v>
      </c>
      <c r="B1218">
        <v>31</v>
      </c>
      <c r="C1218">
        <v>10</v>
      </c>
      <c r="D1218">
        <v>1</v>
      </c>
      <c r="E1218" t="s">
        <v>895</v>
      </c>
      <c r="F1218" t="s">
        <v>900</v>
      </c>
      <c r="G1218" t="s">
        <v>887</v>
      </c>
    </row>
    <row r="1219" spans="1:7" x14ac:dyDescent="0.25">
      <c r="A1219" t="s">
        <v>550</v>
      </c>
      <c r="B1219">
        <v>140</v>
      </c>
      <c r="C1219">
        <v>68</v>
      </c>
      <c r="D1219">
        <v>5</v>
      </c>
      <c r="E1219" t="s">
        <v>895</v>
      </c>
      <c r="F1219" t="s">
        <v>906</v>
      </c>
      <c r="G1219" t="s">
        <v>887</v>
      </c>
    </row>
    <row r="1220" spans="1:7" x14ac:dyDescent="0.25">
      <c r="A1220" t="s">
        <v>375</v>
      </c>
      <c r="B1220">
        <v>529</v>
      </c>
      <c r="C1220">
        <v>137</v>
      </c>
      <c r="D1220">
        <v>3</v>
      </c>
      <c r="E1220" t="s">
        <v>885</v>
      </c>
      <c r="F1220" t="s">
        <v>894</v>
      </c>
      <c r="G1220" t="s">
        <v>907</v>
      </c>
    </row>
    <row r="1221" spans="1:7" x14ac:dyDescent="0.25">
      <c r="A1221" t="s">
        <v>371</v>
      </c>
      <c r="B1221">
        <v>534</v>
      </c>
      <c r="C1221">
        <v>0</v>
      </c>
      <c r="D1221">
        <v>3</v>
      </c>
      <c r="E1221" t="s">
        <v>895</v>
      </c>
      <c r="F1221" t="s">
        <v>897</v>
      </c>
      <c r="G1221" t="s">
        <v>907</v>
      </c>
    </row>
    <row r="1222" spans="1:7" x14ac:dyDescent="0.25">
      <c r="A1222" t="s">
        <v>813</v>
      </c>
      <c r="B1222">
        <v>41</v>
      </c>
      <c r="C1222">
        <v>-6</v>
      </c>
      <c r="D1222">
        <v>1</v>
      </c>
      <c r="E1222" t="s">
        <v>888</v>
      </c>
      <c r="F1222" t="s">
        <v>889</v>
      </c>
      <c r="G1222" t="s">
        <v>893</v>
      </c>
    </row>
    <row r="1223" spans="1:7" x14ac:dyDescent="0.25">
      <c r="A1223" t="s">
        <v>28</v>
      </c>
      <c r="B1223">
        <v>379</v>
      </c>
      <c r="C1223">
        <v>63</v>
      </c>
      <c r="D1223">
        <v>2</v>
      </c>
      <c r="E1223" t="s">
        <v>895</v>
      </c>
      <c r="F1223" t="s">
        <v>897</v>
      </c>
      <c r="G1223" t="s">
        <v>887</v>
      </c>
    </row>
    <row r="1224" spans="1:7" x14ac:dyDescent="0.25">
      <c r="A1224" t="s">
        <v>430</v>
      </c>
      <c r="B1224">
        <v>81</v>
      </c>
      <c r="C1224">
        <v>-44</v>
      </c>
      <c r="D1224">
        <v>3</v>
      </c>
      <c r="E1224" t="s">
        <v>895</v>
      </c>
      <c r="F1224" t="s">
        <v>903</v>
      </c>
      <c r="G1224" t="s">
        <v>887</v>
      </c>
    </row>
    <row r="1225" spans="1:7" x14ac:dyDescent="0.25">
      <c r="A1225" t="s">
        <v>122</v>
      </c>
      <c r="B1225">
        <v>40</v>
      </c>
      <c r="C1225">
        <v>-33</v>
      </c>
      <c r="D1225">
        <v>5</v>
      </c>
      <c r="E1225" t="s">
        <v>895</v>
      </c>
      <c r="F1225" t="s">
        <v>899</v>
      </c>
      <c r="G1225" t="s">
        <v>893</v>
      </c>
    </row>
    <row r="1226" spans="1:7" x14ac:dyDescent="0.25">
      <c r="A1226" t="s">
        <v>284</v>
      </c>
      <c r="B1226">
        <v>40</v>
      </c>
      <c r="C1226">
        <v>18</v>
      </c>
      <c r="D1226">
        <v>1</v>
      </c>
      <c r="E1226" t="s">
        <v>885</v>
      </c>
      <c r="F1226" t="s">
        <v>905</v>
      </c>
      <c r="G1226" t="s">
        <v>893</v>
      </c>
    </row>
    <row r="1227" spans="1:7" x14ac:dyDescent="0.25">
      <c r="A1227" t="s">
        <v>124</v>
      </c>
      <c r="B1227">
        <v>534</v>
      </c>
      <c r="C1227">
        <v>0</v>
      </c>
      <c r="D1227">
        <v>3</v>
      </c>
      <c r="E1227" t="s">
        <v>895</v>
      </c>
      <c r="F1227" t="s">
        <v>897</v>
      </c>
      <c r="G1227" t="s">
        <v>907</v>
      </c>
    </row>
    <row r="1228" spans="1:7" x14ac:dyDescent="0.25">
      <c r="A1228" t="s">
        <v>425</v>
      </c>
      <c r="B1228">
        <v>31</v>
      </c>
      <c r="C1228">
        <v>9</v>
      </c>
      <c r="D1228">
        <v>2</v>
      </c>
      <c r="E1228" t="s">
        <v>895</v>
      </c>
      <c r="F1228" t="s">
        <v>899</v>
      </c>
      <c r="G1228" t="s">
        <v>887</v>
      </c>
    </row>
    <row r="1229" spans="1:7" x14ac:dyDescent="0.25">
      <c r="A1229" t="s">
        <v>250</v>
      </c>
      <c r="B1229">
        <v>473</v>
      </c>
      <c r="C1229">
        <v>-113</v>
      </c>
      <c r="D1229">
        <v>9</v>
      </c>
      <c r="E1229" t="s">
        <v>895</v>
      </c>
      <c r="F1229" t="s">
        <v>899</v>
      </c>
      <c r="G1229" t="s">
        <v>898</v>
      </c>
    </row>
    <row r="1230" spans="1:7" x14ac:dyDescent="0.25">
      <c r="A1230" t="s">
        <v>828</v>
      </c>
      <c r="B1230">
        <v>31</v>
      </c>
      <c r="C1230">
        <v>-10</v>
      </c>
      <c r="D1230">
        <v>3</v>
      </c>
      <c r="E1230" t="s">
        <v>895</v>
      </c>
      <c r="F1230" t="s">
        <v>901</v>
      </c>
      <c r="G1230" t="s">
        <v>887</v>
      </c>
    </row>
    <row r="1231" spans="1:7" x14ac:dyDescent="0.25">
      <c r="A1231" t="s">
        <v>217</v>
      </c>
      <c r="B1231">
        <v>31</v>
      </c>
      <c r="C1231">
        <v>-3</v>
      </c>
      <c r="D1231">
        <v>4</v>
      </c>
      <c r="E1231" t="s">
        <v>895</v>
      </c>
      <c r="F1231" t="s">
        <v>897</v>
      </c>
      <c r="G1231" t="s">
        <v>887</v>
      </c>
    </row>
    <row r="1232" spans="1:7" x14ac:dyDescent="0.25">
      <c r="A1232" t="s">
        <v>130</v>
      </c>
      <c r="B1232">
        <v>91</v>
      </c>
      <c r="C1232">
        <v>15</v>
      </c>
      <c r="D1232">
        <v>6</v>
      </c>
      <c r="E1232" t="s">
        <v>895</v>
      </c>
      <c r="F1232" t="s">
        <v>906</v>
      </c>
      <c r="G1232" t="s">
        <v>898</v>
      </c>
    </row>
    <row r="1233" spans="1:7" x14ac:dyDescent="0.25">
      <c r="A1233" t="s">
        <v>271</v>
      </c>
      <c r="B1233">
        <v>30</v>
      </c>
      <c r="C1233">
        <v>-25</v>
      </c>
      <c r="D1233">
        <v>2</v>
      </c>
      <c r="E1233" t="s">
        <v>895</v>
      </c>
      <c r="F1233" t="s">
        <v>906</v>
      </c>
      <c r="G1233" t="s">
        <v>887</v>
      </c>
    </row>
    <row r="1234" spans="1:7" x14ac:dyDescent="0.25">
      <c r="A1234" t="s">
        <v>660</v>
      </c>
      <c r="B1234">
        <v>30</v>
      </c>
      <c r="C1234">
        <v>6</v>
      </c>
      <c r="D1234">
        <v>1</v>
      </c>
      <c r="E1234" t="s">
        <v>895</v>
      </c>
      <c r="F1234" t="s">
        <v>906</v>
      </c>
      <c r="G1234" t="s">
        <v>887</v>
      </c>
    </row>
    <row r="1235" spans="1:7" x14ac:dyDescent="0.25">
      <c r="A1235" t="s">
        <v>46</v>
      </c>
      <c r="B1235">
        <v>40</v>
      </c>
      <c r="C1235">
        <v>0</v>
      </c>
      <c r="D1235">
        <v>3</v>
      </c>
      <c r="E1235" t="s">
        <v>895</v>
      </c>
      <c r="F1235" t="s">
        <v>897</v>
      </c>
      <c r="G1235" t="s">
        <v>893</v>
      </c>
    </row>
    <row r="1236" spans="1:7" x14ac:dyDescent="0.25">
      <c r="A1236" t="s">
        <v>373</v>
      </c>
      <c r="B1236">
        <v>534</v>
      </c>
      <c r="C1236">
        <v>5</v>
      </c>
      <c r="D1236">
        <v>2</v>
      </c>
      <c r="E1236" t="s">
        <v>885</v>
      </c>
      <c r="F1236" t="s">
        <v>886</v>
      </c>
      <c r="G1236" t="s">
        <v>907</v>
      </c>
    </row>
    <row r="1237" spans="1:7" x14ac:dyDescent="0.25">
      <c r="A1237" t="s">
        <v>367</v>
      </c>
      <c r="B1237">
        <v>539</v>
      </c>
      <c r="C1237">
        <v>-146</v>
      </c>
      <c r="D1237">
        <v>7</v>
      </c>
      <c r="E1237" t="s">
        <v>888</v>
      </c>
      <c r="F1237" t="s">
        <v>908</v>
      </c>
      <c r="G1237" t="s">
        <v>907</v>
      </c>
    </row>
    <row r="1238" spans="1:7" x14ac:dyDescent="0.25">
      <c r="A1238" t="s">
        <v>393</v>
      </c>
      <c r="B1238">
        <v>490</v>
      </c>
      <c r="C1238">
        <v>-128</v>
      </c>
      <c r="D1238">
        <v>8</v>
      </c>
      <c r="E1238" t="s">
        <v>888</v>
      </c>
      <c r="F1238" t="s">
        <v>891</v>
      </c>
      <c r="G1238" t="s">
        <v>898</v>
      </c>
    </row>
    <row r="1239" spans="1:7" x14ac:dyDescent="0.25">
      <c r="A1239" t="s">
        <v>120</v>
      </c>
      <c r="B1239">
        <v>163</v>
      </c>
      <c r="C1239">
        <v>81</v>
      </c>
      <c r="D1239">
        <v>2</v>
      </c>
      <c r="E1239" t="s">
        <v>885</v>
      </c>
      <c r="F1239" t="s">
        <v>905</v>
      </c>
      <c r="G1239" t="s">
        <v>887</v>
      </c>
    </row>
    <row r="1240" spans="1:7" x14ac:dyDescent="0.25">
      <c r="A1240" t="s">
        <v>136</v>
      </c>
      <c r="B1240">
        <v>184</v>
      </c>
      <c r="C1240">
        <v>85</v>
      </c>
      <c r="D1240">
        <v>6</v>
      </c>
      <c r="E1240" t="s">
        <v>895</v>
      </c>
      <c r="F1240" t="s">
        <v>906</v>
      </c>
      <c r="G1240" t="s">
        <v>898</v>
      </c>
    </row>
    <row r="1241" spans="1:7" x14ac:dyDescent="0.25">
      <c r="A1241" t="s">
        <v>391</v>
      </c>
      <c r="B1241">
        <v>494</v>
      </c>
      <c r="C1241">
        <v>54</v>
      </c>
      <c r="D1241">
        <v>4</v>
      </c>
      <c r="E1241" t="s">
        <v>888</v>
      </c>
      <c r="F1241" t="s">
        <v>891</v>
      </c>
      <c r="G1241" t="s">
        <v>887</v>
      </c>
    </row>
    <row r="1242" spans="1:7" x14ac:dyDescent="0.25">
      <c r="A1242" t="s">
        <v>836</v>
      </c>
      <c r="B1242">
        <v>30</v>
      </c>
      <c r="C1242">
        <v>11</v>
      </c>
      <c r="D1242">
        <v>5</v>
      </c>
      <c r="E1242" t="s">
        <v>895</v>
      </c>
      <c r="F1242" t="s">
        <v>899</v>
      </c>
      <c r="G1242" t="s">
        <v>887</v>
      </c>
    </row>
    <row r="1243" spans="1:7" x14ac:dyDescent="0.25">
      <c r="A1243" t="s">
        <v>490</v>
      </c>
      <c r="B1243">
        <v>30</v>
      </c>
      <c r="C1243">
        <v>0</v>
      </c>
      <c r="D1243">
        <v>1</v>
      </c>
      <c r="E1243" t="s">
        <v>895</v>
      </c>
      <c r="F1243" t="s">
        <v>900</v>
      </c>
      <c r="G1243" t="s">
        <v>887</v>
      </c>
    </row>
    <row r="1244" spans="1:7" x14ac:dyDescent="0.25">
      <c r="A1244" t="s">
        <v>313</v>
      </c>
      <c r="B1244">
        <v>39</v>
      </c>
      <c r="C1244">
        <v>-18</v>
      </c>
      <c r="D1244">
        <v>2</v>
      </c>
      <c r="E1244" t="s">
        <v>895</v>
      </c>
      <c r="F1244" t="s">
        <v>904</v>
      </c>
      <c r="G1244" t="s">
        <v>893</v>
      </c>
    </row>
    <row r="1245" spans="1:7" x14ac:dyDescent="0.25">
      <c r="A1245" t="s">
        <v>75</v>
      </c>
      <c r="B1245">
        <v>1700</v>
      </c>
      <c r="C1245">
        <v>85</v>
      </c>
      <c r="D1245">
        <v>3</v>
      </c>
      <c r="E1245" t="s">
        <v>895</v>
      </c>
      <c r="F1245" t="s">
        <v>896</v>
      </c>
      <c r="G1245" t="s">
        <v>887</v>
      </c>
    </row>
    <row r="1246" spans="1:7" x14ac:dyDescent="0.25">
      <c r="A1246" t="s">
        <v>211</v>
      </c>
      <c r="B1246">
        <v>332</v>
      </c>
      <c r="C1246">
        <v>-43</v>
      </c>
      <c r="D1246">
        <v>6</v>
      </c>
      <c r="E1246" t="s">
        <v>885</v>
      </c>
      <c r="F1246" t="s">
        <v>894</v>
      </c>
      <c r="G1246" t="s">
        <v>898</v>
      </c>
    </row>
    <row r="1247" spans="1:7" x14ac:dyDescent="0.25">
      <c r="A1247" t="s">
        <v>419</v>
      </c>
      <c r="B1247">
        <v>436</v>
      </c>
      <c r="C1247">
        <v>131</v>
      </c>
      <c r="D1247">
        <v>9</v>
      </c>
      <c r="E1247" t="s">
        <v>895</v>
      </c>
      <c r="F1247" t="s">
        <v>899</v>
      </c>
      <c r="G1247" t="s">
        <v>898</v>
      </c>
    </row>
    <row r="1248" spans="1:7" x14ac:dyDescent="0.25">
      <c r="A1248" t="s">
        <v>197</v>
      </c>
      <c r="B1248">
        <v>30</v>
      </c>
      <c r="C1248">
        <v>-5</v>
      </c>
      <c r="D1248">
        <v>2</v>
      </c>
      <c r="E1248" t="s">
        <v>888</v>
      </c>
      <c r="F1248" t="s">
        <v>908</v>
      </c>
      <c r="G1248" t="s">
        <v>887</v>
      </c>
    </row>
    <row r="1249" spans="1:7" x14ac:dyDescent="0.25">
      <c r="A1249" t="s">
        <v>808</v>
      </c>
      <c r="B1249">
        <v>30</v>
      </c>
      <c r="C1249">
        <v>-10</v>
      </c>
      <c r="D1249">
        <v>2</v>
      </c>
      <c r="E1249" t="s">
        <v>895</v>
      </c>
      <c r="F1249" t="s">
        <v>903</v>
      </c>
      <c r="G1249" t="s">
        <v>887</v>
      </c>
    </row>
    <row r="1250" spans="1:7" x14ac:dyDescent="0.25">
      <c r="A1250" t="s">
        <v>28</v>
      </c>
      <c r="B1250">
        <v>38</v>
      </c>
      <c r="C1250">
        <v>-13</v>
      </c>
      <c r="D1250">
        <v>3</v>
      </c>
      <c r="E1250" t="s">
        <v>895</v>
      </c>
      <c r="F1250" t="s">
        <v>903</v>
      </c>
      <c r="G1250" t="s">
        <v>893</v>
      </c>
    </row>
    <row r="1251" spans="1:7" x14ac:dyDescent="0.25">
      <c r="A1251" t="s">
        <v>275</v>
      </c>
      <c r="B1251">
        <v>511</v>
      </c>
      <c r="C1251">
        <v>194</v>
      </c>
      <c r="D1251">
        <v>3</v>
      </c>
      <c r="E1251" t="s">
        <v>888</v>
      </c>
      <c r="F1251" t="s">
        <v>889</v>
      </c>
      <c r="G1251" t="s">
        <v>898</v>
      </c>
    </row>
    <row r="1252" spans="1:7" x14ac:dyDescent="0.25">
      <c r="A1252" t="s">
        <v>71</v>
      </c>
      <c r="B1252">
        <v>37</v>
      </c>
      <c r="C1252">
        <v>-53</v>
      </c>
      <c r="D1252">
        <v>3</v>
      </c>
      <c r="E1252" t="s">
        <v>895</v>
      </c>
      <c r="F1252" t="s">
        <v>897</v>
      </c>
      <c r="G1252" t="s">
        <v>893</v>
      </c>
    </row>
    <row r="1253" spans="1:7" x14ac:dyDescent="0.25">
      <c r="A1253" t="s">
        <v>228</v>
      </c>
      <c r="B1253">
        <v>513</v>
      </c>
      <c r="C1253">
        <v>215</v>
      </c>
      <c r="D1253">
        <v>2</v>
      </c>
      <c r="E1253" t="s">
        <v>885</v>
      </c>
      <c r="F1253" t="s">
        <v>905</v>
      </c>
      <c r="G1253" t="s">
        <v>887</v>
      </c>
    </row>
    <row r="1254" spans="1:7" x14ac:dyDescent="0.25">
      <c r="A1254" t="s">
        <v>209</v>
      </c>
      <c r="B1254">
        <v>516</v>
      </c>
      <c r="C1254">
        <v>69</v>
      </c>
      <c r="D1254">
        <v>4</v>
      </c>
      <c r="E1254" t="s">
        <v>888</v>
      </c>
      <c r="F1254" t="s">
        <v>891</v>
      </c>
      <c r="G1254" t="s">
        <v>898</v>
      </c>
    </row>
    <row r="1255" spans="1:7" x14ac:dyDescent="0.25">
      <c r="A1255" t="s">
        <v>337</v>
      </c>
      <c r="B1255">
        <v>559</v>
      </c>
      <c r="C1255">
        <v>-19</v>
      </c>
      <c r="D1255">
        <v>2</v>
      </c>
      <c r="E1255" t="s">
        <v>895</v>
      </c>
      <c r="F1255" t="s">
        <v>896</v>
      </c>
      <c r="G1255" t="s">
        <v>907</v>
      </c>
    </row>
    <row r="1256" spans="1:7" x14ac:dyDescent="0.25">
      <c r="A1256" t="s">
        <v>839</v>
      </c>
      <c r="B1256">
        <v>29</v>
      </c>
      <c r="C1256">
        <v>-10</v>
      </c>
      <c r="D1256">
        <v>3</v>
      </c>
      <c r="E1256" t="s">
        <v>895</v>
      </c>
      <c r="F1256" t="s">
        <v>901</v>
      </c>
      <c r="G1256" t="s">
        <v>887</v>
      </c>
    </row>
    <row r="1257" spans="1:7" x14ac:dyDescent="0.25">
      <c r="A1257" t="s">
        <v>421</v>
      </c>
      <c r="B1257">
        <v>148</v>
      </c>
      <c r="C1257">
        <v>52</v>
      </c>
      <c r="D1257">
        <v>5</v>
      </c>
      <c r="E1257" t="s">
        <v>895</v>
      </c>
      <c r="F1257" t="s">
        <v>903</v>
      </c>
      <c r="G1257" t="s">
        <v>898</v>
      </c>
    </row>
    <row r="1258" spans="1:7" x14ac:dyDescent="0.25">
      <c r="A1258" t="s">
        <v>358</v>
      </c>
      <c r="B1258">
        <v>559</v>
      </c>
      <c r="C1258">
        <v>-174</v>
      </c>
      <c r="D1258">
        <v>2</v>
      </c>
      <c r="E1258" t="s">
        <v>885</v>
      </c>
      <c r="F1258" t="s">
        <v>886</v>
      </c>
      <c r="G1258" t="s">
        <v>907</v>
      </c>
    </row>
    <row r="1259" spans="1:7" x14ac:dyDescent="0.25">
      <c r="A1259" t="s">
        <v>376</v>
      </c>
      <c r="B1259">
        <v>527</v>
      </c>
      <c r="C1259">
        <v>26</v>
      </c>
      <c r="D1259">
        <v>3</v>
      </c>
      <c r="E1259" t="s">
        <v>885</v>
      </c>
      <c r="F1259" t="s">
        <v>886</v>
      </c>
      <c r="G1259" t="s">
        <v>887</v>
      </c>
    </row>
    <row r="1260" spans="1:7" x14ac:dyDescent="0.25">
      <c r="A1260" t="s">
        <v>356</v>
      </c>
      <c r="B1260">
        <v>560</v>
      </c>
      <c r="C1260">
        <v>44</v>
      </c>
      <c r="D1260">
        <v>3</v>
      </c>
      <c r="E1260" t="s">
        <v>895</v>
      </c>
      <c r="F1260" t="s">
        <v>897</v>
      </c>
      <c r="G1260" t="s">
        <v>907</v>
      </c>
    </row>
    <row r="1261" spans="1:7" x14ac:dyDescent="0.25">
      <c r="A1261" t="s">
        <v>10</v>
      </c>
      <c r="B1261">
        <v>571</v>
      </c>
      <c r="C1261">
        <v>108</v>
      </c>
      <c r="D1261">
        <v>12</v>
      </c>
      <c r="E1261" t="s">
        <v>895</v>
      </c>
      <c r="F1261" t="s">
        <v>903</v>
      </c>
      <c r="G1261" t="s">
        <v>907</v>
      </c>
    </row>
    <row r="1262" spans="1:7" x14ac:dyDescent="0.25">
      <c r="A1262" t="s">
        <v>389</v>
      </c>
      <c r="B1262">
        <v>29</v>
      </c>
      <c r="C1262">
        <v>2</v>
      </c>
      <c r="D1262">
        <v>3</v>
      </c>
      <c r="E1262" t="s">
        <v>895</v>
      </c>
      <c r="F1262" t="s">
        <v>901</v>
      </c>
      <c r="G1262" t="s">
        <v>887</v>
      </c>
    </row>
    <row r="1263" spans="1:7" x14ac:dyDescent="0.25">
      <c r="A1263" t="s">
        <v>376</v>
      </c>
      <c r="B1263">
        <v>29</v>
      </c>
      <c r="C1263">
        <v>3</v>
      </c>
      <c r="D1263">
        <v>2</v>
      </c>
      <c r="E1263" t="s">
        <v>895</v>
      </c>
      <c r="F1263" t="s">
        <v>903</v>
      </c>
      <c r="G1263" t="s">
        <v>887</v>
      </c>
    </row>
    <row r="1264" spans="1:7" x14ac:dyDescent="0.25">
      <c r="A1264" t="s">
        <v>497</v>
      </c>
      <c r="B1264">
        <v>29</v>
      </c>
      <c r="C1264">
        <v>-3</v>
      </c>
      <c r="D1264">
        <v>3</v>
      </c>
      <c r="E1264" t="s">
        <v>895</v>
      </c>
      <c r="F1264" t="s">
        <v>897</v>
      </c>
      <c r="G1264" t="s">
        <v>887</v>
      </c>
    </row>
    <row r="1265" spans="1:7" x14ac:dyDescent="0.25">
      <c r="A1265" t="s">
        <v>821</v>
      </c>
      <c r="B1265">
        <v>35</v>
      </c>
      <c r="C1265">
        <v>14</v>
      </c>
      <c r="D1265">
        <v>2</v>
      </c>
      <c r="E1265" t="s">
        <v>895</v>
      </c>
      <c r="F1265" t="s">
        <v>903</v>
      </c>
      <c r="G1265" t="s">
        <v>893</v>
      </c>
    </row>
    <row r="1266" spans="1:7" x14ac:dyDescent="0.25">
      <c r="A1266" t="s">
        <v>50</v>
      </c>
      <c r="B1266">
        <v>579</v>
      </c>
      <c r="C1266">
        <v>139</v>
      </c>
      <c r="D1266">
        <v>3</v>
      </c>
      <c r="E1266" t="s">
        <v>885</v>
      </c>
      <c r="F1266" t="s">
        <v>892</v>
      </c>
      <c r="G1266" t="s">
        <v>907</v>
      </c>
    </row>
    <row r="1267" spans="1:7" x14ac:dyDescent="0.25">
      <c r="A1267" t="s">
        <v>295</v>
      </c>
      <c r="B1267">
        <v>29</v>
      </c>
      <c r="C1267">
        <v>-24</v>
      </c>
      <c r="D1267">
        <v>4</v>
      </c>
      <c r="E1267" t="s">
        <v>895</v>
      </c>
      <c r="F1267" t="s">
        <v>904</v>
      </c>
      <c r="G1267" t="s">
        <v>887</v>
      </c>
    </row>
    <row r="1268" spans="1:7" x14ac:dyDescent="0.25">
      <c r="A1268" t="s">
        <v>71</v>
      </c>
      <c r="B1268">
        <v>593</v>
      </c>
      <c r="C1268">
        <v>213</v>
      </c>
      <c r="D1268">
        <v>4</v>
      </c>
      <c r="E1268" t="s">
        <v>888</v>
      </c>
      <c r="F1268" t="s">
        <v>891</v>
      </c>
      <c r="G1268" t="s">
        <v>907</v>
      </c>
    </row>
    <row r="1269" spans="1:7" x14ac:dyDescent="0.25">
      <c r="A1269" t="s">
        <v>476</v>
      </c>
      <c r="B1269">
        <v>217</v>
      </c>
      <c r="C1269">
        <v>72</v>
      </c>
      <c r="D1269">
        <v>2</v>
      </c>
      <c r="E1269" t="s">
        <v>888</v>
      </c>
      <c r="F1269" t="s">
        <v>908</v>
      </c>
      <c r="G1269" t="s">
        <v>887</v>
      </c>
    </row>
    <row r="1270" spans="1:7" x14ac:dyDescent="0.25">
      <c r="A1270" t="s">
        <v>458</v>
      </c>
      <c r="B1270">
        <v>353</v>
      </c>
      <c r="C1270">
        <v>90</v>
      </c>
      <c r="D1270">
        <v>8</v>
      </c>
      <c r="E1270" t="s">
        <v>895</v>
      </c>
      <c r="F1270" t="s">
        <v>897</v>
      </c>
      <c r="G1270" t="s">
        <v>887</v>
      </c>
    </row>
    <row r="1271" spans="1:7" x14ac:dyDescent="0.25">
      <c r="A1271" t="s">
        <v>395</v>
      </c>
      <c r="B1271">
        <v>382</v>
      </c>
      <c r="C1271">
        <v>92</v>
      </c>
      <c r="D1271">
        <v>2</v>
      </c>
      <c r="E1271" t="s">
        <v>885</v>
      </c>
      <c r="F1271" t="s">
        <v>892</v>
      </c>
      <c r="G1271" t="s">
        <v>887</v>
      </c>
    </row>
    <row r="1272" spans="1:7" x14ac:dyDescent="0.25">
      <c r="A1272" t="s">
        <v>311</v>
      </c>
      <c r="B1272">
        <v>597</v>
      </c>
      <c r="C1272">
        <v>93</v>
      </c>
      <c r="D1272">
        <v>4</v>
      </c>
      <c r="E1272" t="s">
        <v>888</v>
      </c>
      <c r="F1272" t="s">
        <v>889</v>
      </c>
      <c r="G1272" t="s">
        <v>907</v>
      </c>
    </row>
    <row r="1273" spans="1:7" x14ac:dyDescent="0.25">
      <c r="A1273" t="s">
        <v>546</v>
      </c>
      <c r="B1273">
        <v>212</v>
      </c>
      <c r="C1273">
        <v>97</v>
      </c>
      <c r="D1273">
        <v>7</v>
      </c>
      <c r="E1273" t="s">
        <v>895</v>
      </c>
      <c r="F1273" t="s">
        <v>899</v>
      </c>
      <c r="G1273" t="s">
        <v>887</v>
      </c>
    </row>
    <row r="1274" spans="1:7" x14ac:dyDescent="0.25">
      <c r="A1274" t="s">
        <v>307</v>
      </c>
      <c r="B1274">
        <v>689</v>
      </c>
      <c r="C1274">
        <v>90</v>
      </c>
      <c r="D1274">
        <v>5</v>
      </c>
      <c r="E1274" t="s">
        <v>895</v>
      </c>
      <c r="F1274" t="s">
        <v>897</v>
      </c>
      <c r="G1274" t="s">
        <v>887</v>
      </c>
    </row>
    <row r="1275" spans="1:7" x14ac:dyDescent="0.25">
      <c r="A1275" t="s">
        <v>840</v>
      </c>
      <c r="B1275">
        <v>28</v>
      </c>
      <c r="C1275">
        <v>-10</v>
      </c>
      <c r="D1275">
        <v>3</v>
      </c>
      <c r="E1275" t="s">
        <v>895</v>
      </c>
      <c r="F1275" t="s">
        <v>901</v>
      </c>
      <c r="G1275" t="s">
        <v>887</v>
      </c>
    </row>
    <row r="1276" spans="1:7" x14ac:dyDescent="0.25">
      <c r="A1276" t="s">
        <v>414</v>
      </c>
      <c r="B1276">
        <v>34</v>
      </c>
      <c r="C1276">
        <v>12</v>
      </c>
      <c r="D1276">
        <v>3</v>
      </c>
      <c r="E1276" t="s">
        <v>895</v>
      </c>
      <c r="F1276" t="s">
        <v>899</v>
      </c>
      <c r="G1276" t="s">
        <v>893</v>
      </c>
    </row>
    <row r="1277" spans="1:7" x14ac:dyDescent="0.25">
      <c r="A1277" t="s">
        <v>136</v>
      </c>
      <c r="B1277">
        <v>600</v>
      </c>
      <c r="C1277">
        <v>-102</v>
      </c>
      <c r="D1277">
        <v>5</v>
      </c>
      <c r="E1277" t="s">
        <v>885</v>
      </c>
      <c r="F1277" t="s">
        <v>886</v>
      </c>
      <c r="G1277" t="s">
        <v>907</v>
      </c>
    </row>
    <row r="1278" spans="1:7" x14ac:dyDescent="0.25">
      <c r="A1278" t="s">
        <v>326</v>
      </c>
      <c r="B1278">
        <v>637</v>
      </c>
      <c r="C1278">
        <v>113</v>
      </c>
      <c r="D1278">
        <v>5</v>
      </c>
      <c r="E1278" t="s">
        <v>895</v>
      </c>
      <c r="F1278" t="s">
        <v>897</v>
      </c>
      <c r="G1278" t="s">
        <v>898</v>
      </c>
    </row>
    <row r="1279" spans="1:7" x14ac:dyDescent="0.25">
      <c r="A1279" t="s">
        <v>341</v>
      </c>
      <c r="B1279">
        <v>616</v>
      </c>
      <c r="C1279">
        <v>-69</v>
      </c>
      <c r="D1279">
        <v>7</v>
      </c>
      <c r="E1279" t="s">
        <v>888</v>
      </c>
      <c r="F1279" t="s">
        <v>908</v>
      </c>
      <c r="G1279" t="s">
        <v>907</v>
      </c>
    </row>
    <row r="1280" spans="1:7" x14ac:dyDescent="0.25">
      <c r="A1280" t="s">
        <v>124</v>
      </c>
      <c r="B1280">
        <v>624</v>
      </c>
      <c r="C1280">
        <v>37</v>
      </c>
      <c r="D1280">
        <v>2</v>
      </c>
      <c r="E1280" t="s">
        <v>885</v>
      </c>
      <c r="F1280" t="s">
        <v>886</v>
      </c>
      <c r="G1280" t="s">
        <v>907</v>
      </c>
    </row>
    <row r="1281" spans="1:7" x14ac:dyDescent="0.25">
      <c r="A1281" t="s">
        <v>96</v>
      </c>
      <c r="B1281">
        <v>28</v>
      </c>
      <c r="C1281">
        <v>4</v>
      </c>
      <c r="D1281">
        <v>1</v>
      </c>
      <c r="E1281" t="s">
        <v>895</v>
      </c>
      <c r="F1281" t="s">
        <v>906</v>
      </c>
      <c r="G1281" t="s">
        <v>887</v>
      </c>
    </row>
    <row r="1282" spans="1:7" x14ac:dyDescent="0.25">
      <c r="A1282" t="s">
        <v>271</v>
      </c>
      <c r="B1282">
        <v>584</v>
      </c>
      <c r="C1282">
        <v>-444</v>
      </c>
      <c r="D1282">
        <v>7</v>
      </c>
      <c r="E1282" t="s">
        <v>885</v>
      </c>
      <c r="F1282" t="s">
        <v>892</v>
      </c>
      <c r="G1282" t="s">
        <v>898</v>
      </c>
    </row>
    <row r="1283" spans="1:7" x14ac:dyDescent="0.25">
      <c r="A1283" t="s">
        <v>248</v>
      </c>
      <c r="B1283">
        <v>28</v>
      </c>
      <c r="C1283">
        <v>6</v>
      </c>
      <c r="D1283">
        <v>4</v>
      </c>
      <c r="E1283" t="s">
        <v>895</v>
      </c>
      <c r="F1283" t="s">
        <v>901</v>
      </c>
      <c r="G1283" t="s">
        <v>887</v>
      </c>
    </row>
    <row r="1284" spans="1:7" x14ac:dyDescent="0.25">
      <c r="A1284" t="s">
        <v>26</v>
      </c>
      <c r="B1284">
        <v>33</v>
      </c>
      <c r="C1284">
        <v>-1</v>
      </c>
      <c r="D1284">
        <v>1</v>
      </c>
      <c r="E1284" t="s">
        <v>895</v>
      </c>
      <c r="F1284" t="s">
        <v>897</v>
      </c>
      <c r="G1284" t="s">
        <v>893</v>
      </c>
    </row>
    <row r="1285" spans="1:7" x14ac:dyDescent="0.25">
      <c r="A1285" t="s">
        <v>212</v>
      </c>
      <c r="B1285">
        <v>27</v>
      </c>
      <c r="C1285">
        <v>-20</v>
      </c>
      <c r="D1285">
        <v>2</v>
      </c>
      <c r="E1285" t="s">
        <v>895</v>
      </c>
      <c r="F1285" t="s">
        <v>899</v>
      </c>
      <c r="G1285" t="s">
        <v>887</v>
      </c>
    </row>
    <row r="1286" spans="1:7" x14ac:dyDescent="0.25">
      <c r="A1286" t="s">
        <v>34</v>
      </c>
      <c r="B1286">
        <v>27</v>
      </c>
      <c r="C1286">
        <v>5</v>
      </c>
      <c r="D1286">
        <v>2</v>
      </c>
      <c r="E1286" t="s">
        <v>895</v>
      </c>
      <c r="F1286" t="s">
        <v>901</v>
      </c>
      <c r="G1286" t="s">
        <v>887</v>
      </c>
    </row>
    <row r="1287" spans="1:7" x14ac:dyDescent="0.25">
      <c r="A1287" t="s">
        <v>144</v>
      </c>
      <c r="B1287">
        <v>27</v>
      </c>
      <c r="C1287">
        <v>4</v>
      </c>
      <c r="D1287">
        <v>3</v>
      </c>
      <c r="E1287" t="s">
        <v>895</v>
      </c>
      <c r="F1287" t="s">
        <v>901</v>
      </c>
      <c r="G1287" t="s">
        <v>887</v>
      </c>
    </row>
    <row r="1288" spans="1:7" x14ac:dyDescent="0.25">
      <c r="A1288" t="s">
        <v>331</v>
      </c>
      <c r="B1288">
        <v>635</v>
      </c>
      <c r="C1288">
        <v>-349</v>
      </c>
      <c r="D1288">
        <v>5</v>
      </c>
      <c r="E1288" t="s">
        <v>895</v>
      </c>
      <c r="F1288" t="s">
        <v>897</v>
      </c>
      <c r="G1288" t="s">
        <v>907</v>
      </c>
    </row>
    <row r="1289" spans="1:7" x14ac:dyDescent="0.25">
      <c r="A1289" t="s">
        <v>345</v>
      </c>
      <c r="B1289">
        <v>598</v>
      </c>
      <c r="C1289">
        <v>166</v>
      </c>
      <c r="D1289">
        <v>4</v>
      </c>
      <c r="E1289" t="s">
        <v>888</v>
      </c>
      <c r="F1289" t="s">
        <v>891</v>
      </c>
      <c r="G1289" t="s">
        <v>898</v>
      </c>
    </row>
    <row r="1290" spans="1:7" x14ac:dyDescent="0.25">
      <c r="A1290" t="s">
        <v>96</v>
      </c>
      <c r="B1290">
        <v>636</v>
      </c>
      <c r="C1290">
        <v>-204</v>
      </c>
      <c r="D1290">
        <v>2</v>
      </c>
      <c r="E1290" t="s">
        <v>885</v>
      </c>
      <c r="F1290" t="s">
        <v>892</v>
      </c>
      <c r="G1290" t="s">
        <v>907</v>
      </c>
    </row>
    <row r="1291" spans="1:7" x14ac:dyDescent="0.25">
      <c r="A1291" t="s">
        <v>710</v>
      </c>
      <c r="B1291">
        <v>27</v>
      </c>
      <c r="C1291">
        <v>9</v>
      </c>
      <c r="D1291">
        <v>2</v>
      </c>
      <c r="E1291" t="s">
        <v>895</v>
      </c>
      <c r="F1291" t="s">
        <v>899</v>
      </c>
      <c r="G1291" t="s">
        <v>887</v>
      </c>
    </row>
    <row r="1292" spans="1:7" x14ac:dyDescent="0.25">
      <c r="A1292" t="s">
        <v>379</v>
      </c>
      <c r="B1292">
        <v>27</v>
      </c>
      <c r="C1292">
        <v>-6</v>
      </c>
      <c r="D1292">
        <v>4</v>
      </c>
      <c r="E1292" t="s">
        <v>895</v>
      </c>
      <c r="F1292" t="s">
        <v>899</v>
      </c>
      <c r="G1292" t="s">
        <v>887</v>
      </c>
    </row>
    <row r="1293" spans="1:7" x14ac:dyDescent="0.25">
      <c r="A1293" t="s">
        <v>309</v>
      </c>
      <c r="B1293">
        <v>637</v>
      </c>
      <c r="C1293">
        <v>212</v>
      </c>
      <c r="D1293">
        <v>8</v>
      </c>
      <c r="E1293" t="s">
        <v>885</v>
      </c>
      <c r="F1293" t="s">
        <v>894</v>
      </c>
      <c r="G1293" t="s">
        <v>907</v>
      </c>
    </row>
    <row r="1294" spans="1:7" x14ac:dyDescent="0.25">
      <c r="A1294" t="s">
        <v>112</v>
      </c>
      <c r="B1294">
        <v>290</v>
      </c>
      <c r="C1294">
        <v>110</v>
      </c>
      <c r="D1294">
        <v>9</v>
      </c>
      <c r="E1294" t="s">
        <v>895</v>
      </c>
      <c r="F1294" t="s">
        <v>903</v>
      </c>
      <c r="G1294" t="s">
        <v>898</v>
      </c>
    </row>
    <row r="1295" spans="1:7" x14ac:dyDescent="0.25">
      <c r="A1295" t="s">
        <v>841</v>
      </c>
      <c r="B1295">
        <v>27</v>
      </c>
      <c r="C1295">
        <v>-25</v>
      </c>
      <c r="D1295">
        <v>2</v>
      </c>
      <c r="E1295" t="s">
        <v>895</v>
      </c>
      <c r="F1295" t="s">
        <v>903</v>
      </c>
      <c r="G1295" t="s">
        <v>887</v>
      </c>
    </row>
    <row r="1296" spans="1:7" x14ac:dyDescent="0.25">
      <c r="A1296" t="s">
        <v>339</v>
      </c>
      <c r="B1296">
        <v>632</v>
      </c>
      <c r="C1296">
        <v>-114</v>
      </c>
      <c r="D1296">
        <v>4</v>
      </c>
      <c r="E1296" t="s">
        <v>888</v>
      </c>
      <c r="F1296" t="s">
        <v>902</v>
      </c>
      <c r="G1296" t="s">
        <v>898</v>
      </c>
    </row>
    <row r="1297" spans="1:7" x14ac:dyDescent="0.25">
      <c r="A1297" t="s">
        <v>295</v>
      </c>
      <c r="B1297">
        <v>643</v>
      </c>
      <c r="C1297">
        <v>-45</v>
      </c>
      <c r="D1297">
        <v>2</v>
      </c>
      <c r="E1297" t="s">
        <v>885</v>
      </c>
      <c r="F1297" t="s">
        <v>892</v>
      </c>
      <c r="G1297" t="s">
        <v>907</v>
      </c>
    </row>
    <row r="1298" spans="1:7" x14ac:dyDescent="0.25">
      <c r="A1298" t="s">
        <v>68</v>
      </c>
      <c r="B1298">
        <v>652</v>
      </c>
      <c r="C1298">
        <v>13</v>
      </c>
      <c r="D1298">
        <v>6</v>
      </c>
      <c r="E1298" t="s">
        <v>888</v>
      </c>
      <c r="F1298" t="s">
        <v>908</v>
      </c>
      <c r="G1298" t="s">
        <v>907</v>
      </c>
    </row>
    <row r="1299" spans="1:7" x14ac:dyDescent="0.25">
      <c r="A1299" t="s">
        <v>130</v>
      </c>
      <c r="B1299">
        <v>33</v>
      </c>
      <c r="C1299">
        <v>-27</v>
      </c>
      <c r="D1299">
        <v>1</v>
      </c>
      <c r="E1299" t="s">
        <v>888</v>
      </c>
      <c r="F1299" t="s">
        <v>889</v>
      </c>
      <c r="G1299" t="s">
        <v>893</v>
      </c>
    </row>
    <row r="1300" spans="1:7" x14ac:dyDescent="0.25">
      <c r="A1300" t="s">
        <v>826</v>
      </c>
      <c r="B1300">
        <v>26</v>
      </c>
      <c r="C1300">
        <v>2</v>
      </c>
      <c r="D1300">
        <v>2</v>
      </c>
      <c r="E1300" t="s">
        <v>895</v>
      </c>
      <c r="F1300" t="s">
        <v>899</v>
      </c>
      <c r="G1300" t="s">
        <v>887</v>
      </c>
    </row>
    <row r="1301" spans="1:7" x14ac:dyDescent="0.25">
      <c r="A1301" t="s">
        <v>333</v>
      </c>
      <c r="B1301">
        <v>633</v>
      </c>
      <c r="C1301">
        <v>-633</v>
      </c>
      <c r="D1301">
        <v>11</v>
      </c>
      <c r="E1301" t="s">
        <v>885</v>
      </c>
      <c r="F1301" t="s">
        <v>905</v>
      </c>
      <c r="G1301" t="s">
        <v>898</v>
      </c>
    </row>
    <row r="1302" spans="1:7" x14ac:dyDescent="0.25">
      <c r="A1302" t="s">
        <v>44</v>
      </c>
      <c r="B1302">
        <v>26</v>
      </c>
      <c r="C1302">
        <v>9</v>
      </c>
      <c r="D1302">
        <v>2</v>
      </c>
      <c r="E1302" t="s">
        <v>895</v>
      </c>
      <c r="F1302" t="s">
        <v>904</v>
      </c>
      <c r="G1302" t="s">
        <v>887</v>
      </c>
    </row>
    <row r="1303" spans="1:7" x14ac:dyDescent="0.25">
      <c r="A1303" t="s">
        <v>230</v>
      </c>
      <c r="B1303">
        <v>191</v>
      </c>
      <c r="C1303">
        <v>93</v>
      </c>
      <c r="D1303">
        <v>4</v>
      </c>
      <c r="E1303" t="s">
        <v>895</v>
      </c>
      <c r="F1303" t="s">
        <v>909</v>
      </c>
      <c r="G1303" t="s">
        <v>898</v>
      </c>
    </row>
    <row r="1304" spans="1:7" x14ac:dyDescent="0.25">
      <c r="A1304" t="s">
        <v>237</v>
      </c>
      <c r="B1304">
        <v>887</v>
      </c>
      <c r="C1304">
        <v>80</v>
      </c>
      <c r="D1304">
        <v>3</v>
      </c>
      <c r="E1304" t="s">
        <v>885</v>
      </c>
      <c r="F1304" t="s">
        <v>892</v>
      </c>
      <c r="G1304" t="s">
        <v>898</v>
      </c>
    </row>
    <row r="1305" spans="1:7" x14ac:dyDescent="0.25">
      <c r="A1305" t="s">
        <v>328</v>
      </c>
      <c r="B1305">
        <v>637</v>
      </c>
      <c r="C1305">
        <v>261</v>
      </c>
      <c r="D1305">
        <v>2</v>
      </c>
      <c r="E1305" t="s">
        <v>885</v>
      </c>
      <c r="F1305" t="s">
        <v>892</v>
      </c>
      <c r="G1305" t="s">
        <v>887</v>
      </c>
    </row>
    <row r="1306" spans="1:7" x14ac:dyDescent="0.25">
      <c r="A1306" t="s">
        <v>315</v>
      </c>
      <c r="B1306">
        <v>670</v>
      </c>
      <c r="C1306">
        <v>15</v>
      </c>
      <c r="D1306">
        <v>5</v>
      </c>
      <c r="E1306" t="s">
        <v>888</v>
      </c>
      <c r="F1306" t="s">
        <v>891</v>
      </c>
      <c r="G1306" t="s">
        <v>907</v>
      </c>
    </row>
    <row r="1307" spans="1:7" x14ac:dyDescent="0.25">
      <c r="A1307" t="s">
        <v>108</v>
      </c>
      <c r="B1307">
        <v>26</v>
      </c>
      <c r="C1307">
        <v>7</v>
      </c>
      <c r="D1307">
        <v>4</v>
      </c>
      <c r="E1307" t="s">
        <v>895</v>
      </c>
      <c r="F1307" t="s">
        <v>899</v>
      </c>
      <c r="G1307" t="s">
        <v>887</v>
      </c>
    </row>
    <row r="1308" spans="1:7" x14ac:dyDescent="0.25">
      <c r="A1308" t="s">
        <v>136</v>
      </c>
      <c r="B1308">
        <v>676</v>
      </c>
      <c r="C1308">
        <v>195</v>
      </c>
      <c r="D1308">
        <v>5</v>
      </c>
      <c r="E1308" t="s">
        <v>888</v>
      </c>
      <c r="F1308" t="s">
        <v>891</v>
      </c>
      <c r="G1308" t="s">
        <v>907</v>
      </c>
    </row>
    <row r="1309" spans="1:7" x14ac:dyDescent="0.25">
      <c r="A1309" t="s">
        <v>846</v>
      </c>
      <c r="B1309">
        <v>26</v>
      </c>
      <c r="C1309">
        <v>12</v>
      </c>
      <c r="D1309">
        <v>3</v>
      </c>
      <c r="E1309" t="s">
        <v>895</v>
      </c>
      <c r="F1309" t="s">
        <v>899</v>
      </c>
      <c r="G1309" t="s">
        <v>887</v>
      </c>
    </row>
    <row r="1310" spans="1:7" x14ac:dyDescent="0.25">
      <c r="A1310" t="s">
        <v>753</v>
      </c>
      <c r="B1310">
        <v>26</v>
      </c>
      <c r="C1310">
        <v>-24</v>
      </c>
      <c r="D1310">
        <v>1</v>
      </c>
      <c r="E1310" t="s">
        <v>895</v>
      </c>
      <c r="F1310" t="s">
        <v>903</v>
      </c>
      <c r="G1310" t="s">
        <v>887</v>
      </c>
    </row>
    <row r="1311" spans="1:7" x14ac:dyDescent="0.25">
      <c r="A1311" t="s">
        <v>267</v>
      </c>
      <c r="B1311">
        <v>25</v>
      </c>
      <c r="C1311">
        <v>7</v>
      </c>
      <c r="D1311">
        <v>2</v>
      </c>
      <c r="E1311" t="s">
        <v>895</v>
      </c>
      <c r="F1311" t="s">
        <v>903</v>
      </c>
      <c r="G1311" t="s">
        <v>887</v>
      </c>
    </row>
    <row r="1312" spans="1:7" x14ac:dyDescent="0.25">
      <c r="A1312" t="s">
        <v>134</v>
      </c>
      <c r="B1312">
        <v>24</v>
      </c>
      <c r="C1312">
        <v>-30</v>
      </c>
      <c r="D1312">
        <v>1</v>
      </c>
      <c r="E1312" t="s">
        <v>888</v>
      </c>
      <c r="F1312" t="s">
        <v>889</v>
      </c>
      <c r="G1312" t="s">
        <v>887</v>
      </c>
    </row>
    <row r="1313" spans="1:7" x14ac:dyDescent="0.25">
      <c r="A1313" t="s">
        <v>354</v>
      </c>
      <c r="B1313">
        <v>32</v>
      </c>
      <c r="C1313">
        <v>-12</v>
      </c>
      <c r="D1313">
        <v>1</v>
      </c>
      <c r="E1313" t="s">
        <v>888</v>
      </c>
      <c r="F1313" t="s">
        <v>889</v>
      </c>
      <c r="G1313" t="s">
        <v>893</v>
      </c>
    </row>
    <row r="1314" spans="1:7" x14ac:dyDescent="0.25">
      <c r="A1314" t="s">
        <v>224</v>
      </c>
      <c r="B1314">
        <v>31</v>
      </c>
      <c r="C1314">
        <v>-2</v>
      </c>
      <c r="D1314">
        <v>2</v>
      </c>
      <c r="E1314" t="s">
        <v>895</v>
      </c>
      <c r="F1314" t="s">
        <v>897</v>
      </c>
      <c r="G1314" t="s">
        <v>893</v>
      </c>
    </row>
    <row r="1315" spans="1:7" x14ac:dyDescent="0.25">
      <c r="A1315" t="s">
        <v>124</v>
      </c>
      <c r="B1315">
        <v>651</v>
      </c>
      <c r="C1315">
        <v>169</v>
      </c>
      <c r="D1315">
        <v>5</v>
      </c>
      <c r="E1315" t="s">
        <v>885</v>
      </c>
      <c r="F1315" t="s">
        <v>892</v>
      </c>
      <c r="G1315" t="s">
        <v>887</v>
      </c>
    </row>
    <row r="1316" spans="1:7" x14ac:dyDescent="0.25">
      <c r="A1316" t="s">
        <v>482</v>
      </c>
      <c r="B1316">
        <v>326</v>
      </c>
      <c r="C1316">
        <v>107</v>
      </c>
      <c r="D1316">
        <v>3</v>
      </c>
      <c r="E1316" t="s">
        <v>888</v>
      </c>
      <c r="F1316" t="s">
        <v>908</v>
      </c>
      <c r="G1316" t="s">
        <v>898</v>
      </c>
    </row>
    <row r="1317" spans="1:7" x14ac:dyDescent="0.25">
      <c r="A1317" t="s">
        <v>826</v>
      </c>
      <c r="B1317">
        <v>30</v>
      </c>
      <c r="C1317">
        <v>-6</v>
      </c>
      <c r="D1317">
        <v>2</v>
      </c>
      <c r="E1317" t="s">
        <v>895</v>
      </c>
      <c r="F1317" t="s">
        <v>899</v>
      </c>
      <c r="G1317" t="s">
        <v>898</v>
      </c>
    </row>
    <row r="1318" spans="1:7" x14ac:dyDescent="0.25">
      <c r="A1318" t="s">
        <v>284</v>
      </c>
      <c r="B1318">
        <v>30</v>
      </c>
      <c r="C1318">
        <v>5</v>
      </c>
      <c r="D1318">
        <v>2</v>
      </c>
      <c r="E1318" t="s">
        <v>895</v>
      </c>
      <c r="F1318" t="s">
        <v>900</v>
      </c>
      <c r="G1318" t="s">
        <v>898</v>
      </c>
    </row>
    <row r="1319" spans="1:7" x14ac:dyDescent="0.25">
      <c r="A1319" t="s">
        <v>316</v>
      </c>
      <c r="B1319">
        <v>662</v>
      </c>
      <c r="C1319">
        <v>240</v>
      </c>
      <c r="D1319">
        <v>2</v>
      </c>
      <c r="E1319" t="s">
        <v>888</v>
      </c>
      <c r="F1319" t="s">
        <v>891</v>
      </c>
      <c r="G1319" t="s">
        <v>887</v>
      </c>
    </row>
    <row r="1320" spans="1:7" x14ac:dyDescent="0.25">
      <c r="A1320" t="s">
        <v>486</v>
      </c>
      <c r="B1320">
        <v>30</v>
      </c>
      <c r="C1320">
        <v>-23</v>
      </c>
      <c r="D1320">
        <v>2</v>
      </c>
      <c r="E1320" t="s">
        <v>895</v>
      </c>
      <c r="F1320" t="s">
        <v>897</v>
      </c>
      <c r="G1320" t="s">
        <v>898</v>
      </c>
    </row>
    <row r="1321" spans="1:7" x14ac:dyDescent="0.25">
      <c r="A1321" t="s">
        <v>112</v>
      </c>
      <c r="B1321">
        <v>29</v>
      </c>
      <c r="C1321">
        <v>9</v>
      </c>
      <c r="D1321">
        <v>3</v>
      </c>
      <c r="E1321" t="s">
        <v>895</v>
      </c>
      <c r="F1321" t="s">
        <v>897</v>
      </c>
      <c r="G1321" t="s">
        <v>898</v>
      </c>
    </row>
    <row r="1322" spans="1:7" x14ac:dyDescent="0.25">
      <c r="A1322" t="s">
        <v>337</v>
      </c>
      <c r="B1322">
        <v>28</v>
      </c>
      <c r="C1322">
        <v>1</v>
      </c>
      <c r="D1322">
        <v>1</v>
      </c>
      <c r="E1322" t="s">
        <v>885</v>
      </c>
      <c r="F1322" t="s">
        <v>905</v>
      </c>
      <c r="G1322" t="s">
        <v>898</v>
      </c>
    </row>
    <row r="1323" spans="1:7" x14ac:dyDescent="0.25">
      <c r="A1323" t="s">
        <v>140</v>
      </c>
      <c r="B1323">
        <v>28</v>
      </c>
      <c r="C1323">
        <v>-3</v>
      </c>
      <c r="D1323">
        <v>2</v>
      </c>
      <c r="E1323" t="s">
        <v>895</v>
      </c>
      <c r="F1323" t="s">
        <v>897</v>
      </c>
      <c r="G1323" t="s">
        <v>898</v>
      </c>
    </row>
    <row r="1324" spans="1:7" x14ac:dyDescent="0.25">
      <c r="A1324" t="s">
        <v>847</v>
      </c>
      <c r="B1324">
        <v>24</v>
      </c>
      <c r="C1324">
        <v>2</v>
      </c>
      <c r="D1324">
        <v>4</v>
      </c>
      <c r="E1324" t="s">
        <v>895</v>
      </c>
      <c r="F1324" t="s">
        <v>899</v>
      </c>
      <c r="G1324" t="s">
        <v>887</v>
      </c>
    </row>
    <row r="1325" spans="1:7" x14ac:dyDescent="0.25">
      <c r="A1325" t="s">
        <v>224</v>
      </c>
      <c r="B1325">
        <v>28</v>
      </c>
      <c r="C1325">
        <v>-26</v>
      </c>
      <c r="D1325">
        <v>2</v>
      </c>
      <c r="E1325" t="s">
        <v>895</v>
      </c>
      <c r="F1325" t="s">
        <v>903</v>
      </c>
      <c r="G1325" t="s">
        <v>898</v>
      </c>
    </row>
    <row r="1326" spans="1:7" x14ac:dyDescent="0.25">
      <c r="A1326" t="s">
        <v>449</v>
      </c>
      <c r="B1326">
        <v>27</v>
      </c>
      <c r="C1326">
        <v>5</v>
      </c>
      <c r="D1326">
        <v>1</v>
      </c>
      <c r="E1326" t="s">
        <v>895</v>
      </c>
      <c r="F1326" t="s">
        <v>903</v>
      </c>
      <c r="G1326" t="s">
        <v>898</v>
      </c>
    </row>
    <row r="1327" spans="1:7" x14ac:dyDescent="0.25">
      <c r="A1327" t="s">
        <v>844</v>
      </c>
      <c r="B1327">
        <v>27</v>
      </c>
      <c r="C1327">
        <v>-15</v>
      </c>
      <c r="D1327">
        <v>1</v>
      </c>
      <c r="E1327" t="s">
        <v>895</v>
      </c>
      <c r="F1327" t="s">
        <v>903</v>
      </c>
      <c r="G1327" t="s">
        <v>898</v>
      </c>
    </row>
    <row r="1328" spans="1:7" x14ac:dyDescent="0.25">
      <c r="A1328" t="s">
        <v>623</v>
      </c>
      <c r="B1328">
        <v>24</v>
      </c>
      <c r="C1328">
        <v>11</v>
      </c>
      <c r="D1328">
        <v>3</v>
      </c>
      <c r="E1328" t="s">
        <v>895</v>
      </c>
      <c r="F1328" t="s">
        <v>899</v>
      </c>
      <c r="G1328" t="s">
        <v>887</v>
      </c>
    </row>
    <row r="1329" spans="1:7" x14ac:dyDescent="0.25">
      <c r="A1329" t="s">
        <v>808</v>
      </c>
      <c r="B1329">
        <v>23</v>
      </c>
      <c r="C1329">
        <v>-6</v>
      </c>
      <c r="D1329">
        <v>4</v>
      </c>
      <c r="E1329" t="s">
        <v>895</v>
      </c>
      <c r="F1329" t="s">
        <v>899</v>
      </c>
      <c r="G1329" t="s">
        <v>887</v>
      </c>
    </row>
    <row r="1330" spans="1:7" x14ac:dyDescent="0.25">
      <c r="A1330" t="s">
        <v>152</v>
      </c>
      <c r="B1330">
        <v>322</v>
      </c>
      <c r="C1330">
        <v>193</v>
      </c>
      <c r="D1330">
        <v>5</v>
      </c>
      <c r="E1330" t="s">
        <v>885</v>
      </c>
      <c r="F1330" t="s">
        <v>892</v>
      </c>
      <c r="G1330" t="s">
        <v>887</v>
      </c>
    </row>
    <row r="1331" spans="1:7" x14ac:dyDescent="0.25">
      <c r="A1331" t="s">
        <v>308</v>
      </c>
      <c r="B1331">
        <v>688</v>
      </c>
      <c r="C1331">
        <v>-103</v>
      </c>
      <c r="D1331">
        <v>6</v>
      </c>
      <c r="E1331" t="s">
        <v>885</v>
      </c>
      <c r="F1331" t="s">
        <v>905</v>
      </c>
      <c r="G1331" t="s">
        <v>907</v>
      </c>
    </row>
    <row r="1332" spans="1:7" x14ac:dyDescent="0.25">
      <c r="A1332" t="s">
        <v>333</v>
      </c>
      <c r="B1332">
        <v>23</v>
      </c>
      <c r="C1332">
        <v>-3</v>
      </c>
      <c r="D1332">
        <v>1</v>
      </c>
      <c r="E1332" t="s">
        <v>895</v>
      </c>
      <c r="F1332" t="s">
        <v>909</v>
      </c>
      <c r="G1332" t="s">
        <v>887</v>
      </c>
    </row>
    <row r="1333" spans="1:7" x14ac:dyDescent="0.25">
      <c r="A1333" t="s">
        <v>417</v>
      </c>
      <c r="B1333">
        <v>26</v>
      </c>
      <c r="C1333">
        <v>3</v>
      </c>
      <c r="D1333">
        <v>3</v>
      </c>
      <c r="E1333" t="s">
        <v>895</v>
      </c>
      <c r="F1333" t="s">
        <v>901</v>
      </c>
      <c r="G1333" t="s">
        <v>898</v>
      </c>
    </row>
    <row r="1334" spans="1:7" x14ac:dyDescent="0.25">
      <c r="A1334" t="s">
        <v>373</v>
      </c>
      <c r="B1334">
        <v>68</v>
      </c>
      <c r="C1334">
        <v>-56</v>
      </c>
      <c r="D1334">
        <v>2</v>
      </c>
      <c r="E1334" t="s">
        <v>885</v>
      </c>
      <c r="F1334" t="s">
        <v>894</v>
      </c>
      <c r="G1334" t="s">
        <v>887</v>
      </c>
    </row>
    <row r="1335" spans="1:7" x14ac:dyDescent="0.25">
      <c r="A1335" t="s">
        <v>407</v>
      </c>
      <c r="B1335">
        <v>462</v>
      </c>
      <c r="C1335">
        <v>169</v>
      </c>
      <c r="D1335">
        <v>4</v>
      </c>
      <c r="E1335" t="s">
        <v>895</v>
      </c>
      <c r="F1335" t="s">
        <v>897</v>
      </c>
      <c r="G1335" t="s">
        <v>887</v>
      </c>
    </row>
    <row r="1336" spans="1:7" x14ac:dyDescent="0.25">
      <c r="A1336" t="s">
        <v>217</v>
      </c>
      <c r="B1336">
        <v>941</v>
      </c>
      <c r="C1336">
        <v>203</v>
      </c>
      <c r="D1336">
        <v>3</v>
      </c>
      <c r="E1336" t="s">
        <v>888</v>
      </c>
      <c r="F1336" t="s">
        <v>902</v>
      </c>
      <c r="G1336" t="s">
        <v>898</v>
      </c>
    </row>
    <row r="1337" spans="1:7" x14ac:dyDescent="0.25">
      <c r="A1337" t="s">
        <v>507</v>
      </c>
      <c r="B1337">
        <v>23</v>
      </c>
      <c r="C1337">
        <v>4</v>
      </c>
      <c r="D1337">
        <v>2</v>
      </c>
      <c r="E1337" t="s">
        <v>895</v>
      </c>
      <c r="F1337" t="s">
        <v>901</v>
      </c>
      <c r="G1337" t="s">
        <v>887</v>
      </c>
    </row>
    <row r="1338" spans="1:7" x14ac:dyDescent="0.25">
      <c r="A1338" t="s">
        <v>36</v>
      </c>
      <c r="B1338">
        <v>720</v>
      </c>
      <c r="C1338">
        <v>43</v>
      </c>
      <c r="D1338">
        <v>2</v>
      </c>
      <c r="E1338" t="s">
        <v>885</v>
      </c>
      <c r="F1338" t="s">
        <v>892</v>
      </c>
      <c r="G1338" t="s">
        <v>898</v>
      </c>
    </row>
    <row r="1339" spans="1:7" x14ac:dyDescent="0.25">
      <c r="A1339" t="s">
        <v>114</v>
      </c>
      <c r="B1339">
        <v>724</v>
      </c>
      <c r="C1339">
        <v>-447</v>
      </c>
      <c r="D1339">
        <v>4</v>
      </c>
      <c r="E1339" t="s">
        <v>885</v>
      </c>
      <c r="F1339" t="s">
        <v>886</v>
      </c>
      <c r="G1339" t="s">
        <v>898</v>
      </c>
    </row>
    <row r="1340" spans="1:7" x14ac:dyDescent="0.25">
      <c r="A1340" t="s">
        <v>296</v>
      </c>
      <c r="B1340">
        <v>724</v>
      </c>
      <c r="C1340">
        <v>253</v>
      </c>
      <c r="D1340">
        <v>2</v>
      </c>
      <c r="E1340" t="s">
        <v>888</v>
      </c>
      <c r="F1340" t="s">
        <v>891</v>
      </c>
      <c r="G1340" t="s">
        <v>898</v>
      </c>
    </row>
    <row r="1341" spans="1:7" x14ac:dyDescent="0.25">
      <c r="A1341" t="s">
        <v>187</v>
      </c>
      <c r="B1341">
        <v>26</v>
      </c>
      <c r="C1341">
        <v>10</v>
      </c>
      <c r="D1341">
        <v>4</v>
      </c>
      <c r="E1341" t="s">
        <v>895</v>
      </c>
      <c r="F1341" t="s">
        <v>899</v>
      </c>
      <c r="G1341" t="s">
        <v>898</v>
      </c>
    </row>
    <row r="1342" spans="1:7" x14ac:dyDescent="0.25">
      <c r="A1342" t="s">
        <v>689</v>
      </c>
      <c r="B1342">
        <v>22</v>
      </c>
      <c r="C1342">
        <v>-2</v>
      </c>
      <c r="D1342">
        <v>3</v>
      </c>
      <c r="E1342" t="s">
        <v>895</v>
      </c>
      <c r="F1342" t="s">
        <v>899</v>
      </c>
      <c r="G1342" t="s">
        <v>887</v>
      </c>
    </row>
    <row r="1343" spans="1:7" x14ac:dyDescent="0.25">
      <c r="A1343" t="s">
        <v>300</v>
      </c>
      <c r="B1343">
        <v>711</v>
      </c>
      <c r="C1343">
        <v>-8</v>
      </c>
      <c r="D1343">
        <v>4</v>
      </c>
      <c r="E1343" t="s">
        <v>895</v>
      </c>
      <c r="F1343" t="s">
        <v>897</v>
      </c>
      <c r="G1343" t="s">
        <v>907</v>
      </c>
    </row>
    <row r="1344" spans="1:7" x14ac:dyDescent="0.25">
      <c r="A1344" t="s">
        <v>212</v>
      </c>
      <c r="B1344">
        <v>107</v>
      </c>
      <c r="C1344">
        <v>31</v>
      </c>
      <c r="D1344">
        <v>5</v>
      </c>
      <c r="E1344" t="s">
        <v>895</v>
      </c>
      <c r="F1344" t="s">
        <v>906</v>
      </c>
      <c r="G1344" t="s">
        <v>887</v>
      </c>
    </row>
    <row r="1345" spans="1:7" x14ac:dyDescent="0.25">
      <c r="A1345" t="s">
        <v>273</v>
      </c>
      <c r="B1345">
        <v>765</v>
      </c>
      <c r="C1345">
        <v>-153</v>
      </c>
      <c r="D1345">
        <v>2</v>
      </c>
      <c r="E1345" t="s">
        <v>885</v>
      </c>
      <c r="F1345" t="s">
        <v>894</v>
      </c>
      <c r="G1345" t="s">
        <v>907</v>
      </c>
    </row>
    <row r="1346" spans="1:7" x14ac:dyDescent="0.25">
      <c r="A1346" t="s">
        <v>710</v>
      </c>
      <c r="B1346">
        <v>22</v>
      </c>
      <c r="C1346">
        <v>8</v>
      </c>
      <c r="D1346">
        <v>2</v>
      </c>
      <c r="E1346" t="s">
        <v>895</v>
      </c>
      <c r="F1346" t="s">
        <v>904</v>
      </c>
      <c r="G1346" t="s">
        <v>887</v>
      </c>
    </row>
    <row r="1347" spans="1:7" x14ac:dyDescent="0.25">
      <c r="A1347" t="s">
        <v>639</v>
      </c>
      <c r="B1347">
        <v>26</v>
      </c>
      <c r="C1347">
        <v>-5</v>
      </c>
      <c r="D1347">
        <v>2</v>
      </c>
      <c r="E1347" t="s">
        <v>895</v>
      </c>
      <c r="F1347" t="s">
        <v>903</v>
      </c>
      <c r="G1347" t="s">
        <v>898</v>
      </c>
    </row>
    <row r="1348" spans="1:7" x14ac:dyDescent="0.25">
      <c r="A1348" t="s">
        <v>34</v>
      </c>
      <c r="B1348">
        <v>22</v>
      </c>
      <c r="C1348">
        <v>8</v>
      </c>
      <c r="D1348">
        <v>3</v>
      </c>
      <c r="E1348" t="s">
        <v>895</v>
      </c>
      <c r="F1348" t="s">
        <v>899</v>
      </c>
      <c r="G1348" t="s">
        <v>887</v>
      </c>
    </row>
    <row r="1349" spans="1:7" x14ac:dyDescent="0.25">
      <c r="A1349" t="s">
        <v>282</v>
      </c>
      <c r="B1349">
        <v>743</v>
      </c>
      <c r="C1349">
        <v>89</v>
      </c>
      <c r="D1349">
        <v>5</v>
      </c>
      <c r="E1349" t="s">
        <v>885</v>
      </c>
      <c r="F1349" t="s">
        <v>892</v>
      </c>
      <c r="G1349" t="s">
        <v>898</v>
      </c>
    </row>
    <row r="1350" spans="1:7" x14ac:dyDescent="0.25">
      <c r="A1350" t="s">
        <v>537</v>
      </c>
      <c r="B1350">
        <v>22</v>
      </c>
      <c r="C1350">
        <v>-15</v>
      </c>
      <c r="D1350">
        <v>4</v>
      </c>
      <c r="E1350" t="s">
        <v>895</v>
      </c>
      <c r="F1350" t="s">
        <v>900</v>
      </c>
      <c r="G1350" t="s">
        <v>887</v>
      </c>
    </row>
    <row r="1351" spans="1:7" x14ac:dyDescent="0.25">
      <c r="A1351" t="s">
        <v>197</v>
      </c>
      <c r="B1351">
        <v>781</v>
      </c>
      <c r="C1351">
        <v>594</v>
      </c>
      <c r="D1351">
        <v>6</v>
      </c>
      <c r="E1351" t="s">
        <v>885</v>
      </c>
      <c r="F1351" t="s">
        <v>892</v>
      </c>
      <c r="G1351" t="s">
        <v>907</v>
      </c>
    </row>
    <row r="1352" spans="1:7" x14ac:dyDescent="0.25">
      <c r="A1352" t="s">
        <v>553</v>
      </c>
      <c r="B1352">
        <v>25</v>
      </c>
      <c r="C1352">
        <v>-2</v>
      </c>
      <c r="D1352">
        <v>5</v>
      </c>
      <c r="E1352" t="s">
        <v>895</v>
      </c>
      <c r="F1352" t="s">
        <v>899</v>
      </c>
      <c r="G1352" t="s">
        <v>898</v>
      </c>
    </row>
    <row r="1353" spans="1:7" x14ac:dyDescent="0.25">
      <c r="A1353" t="s">
        <v>680</v>
      </c>
      <c r="B1353">
        <v>25</v>
      </c>
      <c r="C1353">
        <v>2</v>
      </c>
      <c r="D1353">
        <v>2</v>
      </c>
      <c r="E1353" t="s">
        <v>895</v>
      </c>
      <c r="F1353" t="s">
        <v>899</v>
      </c>
      <c r="G1353" t="s">
        <v>898</v>
      </c>
    </row>
    <row r="1354" spans="1:7" x14ac:dyDescent="0.25">
      <c r="A1354" t="s">
        <v>273</v>
      </c>
      <c r="B1354">
        <v>119</v>
      </c>
      <c r="C1354">
        <v>43</v>
      </c>
      <c r="D1354">
        <v>5</v>
      </c>
      <c r="E1354" t="s">
        <v>895</v>
      </c>
      <c r="F1354" t="s">
        <v>906</v>
      </c>
      <c r="G1354" t="s">
        <v>887</v>
      </c>
    </row>
    <row r="1355" spans="1:7" x14ac:dyDescent="0.25">
      <c r="A1355" t="s">
        <v>263</v>
      </c>
      <c r="B1355">
        <v>785</v>
      </c>
      <c r="C1355">
        <v>52</v>
      </c>
      <c r="D1355">
        <v>2</v>
      </c>
      <c r="E1355" t="s">
        <v>885</v>
      </c>
      <c r="F1355" t="s">
        <v>894</v>
      </c>
      <c r="G1355" t="s">
        <v>907</v>
      </c>
    </row>
    <row r="1356" spans="1:7" x14ac:dyDescent="0.25">
      <c r="A1356" t="s">
        <v>517</v>
      </c>
      <c r="B1356">
        <v>183</v>
      </c>
      <c r="C1356">
        <v>-66</v>
      </c>
      <c r="D1356">
        <v>5</v>
      </c>
      <c r="E1356" t="s">
        <v>885</v>
      </c>
      <c r="F1356" t="s">
        <v>894</v>
      </c>
      <c r="G1356" t="s">
        <v>898</v>
      </c>
    </row>
    <row r="1357" spans="1:7" x14ac:dyDescent="0.25">
      <c r="A1357" t="s">
        <v>555</v>
      </c>
      <c r="B1357">
        <v>22</v>
      </c>
      <c r="C1357">
        <v>4</v>
      </c>
      <c r="D1357">
        <v>1</v>
      </c>
      <c r="E1357" t="s">
        <v>895</v>
      </c>
      <c r="F1357" t="s">
        <v>903</v>
      </c>
      <c r="G1357" t="s">
        <v>887</v>
      </c>
    </row>
    <row r="1358" spans="1:7" x14ac:dyDescent="0.25">
      <c r="A1358" t="s">
        <v>214</v>
      </c>
      <c r="B1358">
        <v>642</v>
      </c>
      <c r="C1358">
        <v>180</v>
      </c>
      <c r="D1358">
        <v>5</v>
      </c>
      <c r="E1358" t="s">
        <v>895</v>
      </c>
      <c r="F1358" t="s">
        <v>897</v>
      </c>
      <c r="G1358" t="s">
        <v>887</v>
      </c>
    </row>
    <row r="1359" spans="1:7" x14ac:dyDescent="0.25">
      <c r="A1359" t="s">
        <v>271</v>
      </c>
      <c r="B1359">
        <v>767</v>
      </c>
      <c r="C1359">
        <v>-353</v>
      </c>
      <c r="D1359">
        <v>5</v>
      </c>
      <c r="E1359" t="s">
        <v>895</v>
      </c>
      <c r="F1359" t="s">
        <v>896</v>
      </c>
      <c r="G1359" t="s">
        <v>887</v>
      </c>
    </row>
    <row r="1360" spans="1:7" x14ac:dyDescent="0.25">
      <c r="A1360" t="s">
        <v>269</v>
      </c>
      <c r="B1360">
        <v>770</v>
      </c>
      <c r="C1360">
        <v>323</v>
      </c>
      <c r="D1360">
        <v>3</v>
      </c>
      <c r="E1360" t="s">
        <v>885</v>
      </c>
      <c r="F1360" t="s">
        <v>905</v>
      </c>
      <c r="G1360" t="s">
        <v>887</v>
      </c>
    </row>
    <row r="1361" spans="1:7" x14ac:dyDescent="0.25">
      <c r="A1361" t="s">
        <v>826</v>
      </c>
      <c r="B1361">
        <v>21</v>
      </c>
      <c r="C1361">
        <v>-17</v>
      </c>
      <c r="D1361">
        <v>3</v>
      </c>
      <c r="E1361" t="s">
        <v>895</v>
      </c>
      <c r="F1361" t="s">
        <v>909</v>
      </c>
      <c r="G1361" t="s">
        <v>887</v>
      </c>
    </row>
    <row r="1362" spans="1:7" x14ac:dyDescent="0.25">
      <c r="A1362" t="s">
        <v>671</v>
      </c>
      <c r="B1362">
        <v>21</v>
      </c>
      <c r="C1362">
        <v>-6</v>
      </c>
      <c r="D1362">
        <v>3</v>
      </c>
      <c r="E1362" t="s">
        <v>895</v>
      </c>
      <c r="F1362" t="s">
        <v>904</v>
      </c>
      <c r="G1362" t="s">
        <v>887</v>
      </c>
    </row>
    <row r="1363" spans="1:7" x14ac:dyDescent="0.25">
      <c r="A1363" t="s">
        <v>26</v>
      </c>
      <c r="B1363">
        <v>492</v>
      </c>
      <c r="C1363">
        <v>187</v>
      </c>
      <c r="D1363">
        <v>2</v>
      </c>
      <c r="E1363" t="s">
        <v>885</v>
      </c>
      <c r="F1363" t="s">
        <v>905</v>
      </c>
      <c r="G1363" t="s">
        <v>898</v>
      </c>
    </row>
    <row r="1364" spans="1:7" x14ac:dyDescent="0.25">
      <c r="A1364" t="s">
        <v>239</v>
      </c>
      <c r="B1364">
        <v>816</v>
      </c>
      <c r="C1364">
        <v>-96</v>
      </c>
      <c r="D1364">
        <v>3</v>
      </c>
      <c r="E1364" t="s">
        <v>885</v>
      </c>
      <c r="F1364" t="s">
        <v>892</v>
      </c>
      <c r="G1364" t="s">
        <v>907</v>
      </c>
    </row>
    <row r="1365" spans="1:7" x14ac:dyDescent="0.25">
      <c r="A1365" t="s">
        <v>526</v>
      </c>
      <c r="B1365">
        <v>25</v>
      </c>
      <c r="C1365">
        <v>2</v>
      </c>
      <c r="D1365">
        <v>3</v>
      </c>
      <c r="E1365" t="s">
        <v>895</v>
      </c>
      <c r="F1365" t="s">
        <v>900</v>
      </c>
      <c r="G1365" t="s">
        <v>893</v>
      </c>
    </row>
    <row r="1366" spans="1:7" x14ac:dyDescent="0.25">
      <c r="A1366" t="s">
        <v>75</v>
      </c>
      <c r="B1366">
        <v>802</v>
      </c>
      <c r="C1366">
        <v>120</v>
      </c>
      <c r="D1366">
        <v>7</v>
      </c>
      <c r="E1366" t="s">
        <v>885</v>
      </c>
      <c r="F1366" t="s">
        <v>905</v>
      </c>
      <c r="G1366" t="s">
        <v>887</v>
      </c>
    </row>
    <row r="1367" spans="1:7" x14ac:dyDescent="0.25">
      <c r="A1367" t="s">
        <v>259</v>
      </c>
      <c r="B1367">
        <v>811</v>
      </c>
      <c r="C1367">
        <v>154</v>
      </c>
      <c r="D1367">
        <v>7</v>
      </c>
      <c r="E1367" t="s">
        <v>885</v>
      </c>
      <c r="F1367" t="s">
        <v>905</v>
      </c>
      <c r="G1367" t="s">
        <v>898</v>
      </c>
    </row>
    <row r="1368" spans="1:7" x14ac:dyDescent="0.25">
      <c r="A1368" t="s">
        <v>40</v>
      </c>
      <c r="B1368">
        <v>835</v>
      </c>
      <c r="C1368">
        <v>267</v>
      </c>
      <c r="D1368">
        <v>5</v>
      </c>
      <c r="E1368" t="s">
        <v>885</v>
      </c>
      <c r="F1368" t="s">
        <v>894</v>
      </c>
      <c r="G1368" t="s">
        <v>907</v>
      </c>
    </row>
    <row r="1369" spans="1:7" x14ac:dyDescent="0.25">
      <c r="A1369" t="s">
        <v>716</v>
      </c>
      <c r="B1369">
        <v>21</v>
      </c>
      <c r="C1369">
        <v>-5</v>
      </c>
      <c r="D1369">
        <v>1</v>
      </c>
      <c r="E1369" t="s">
        <v>885</v>
      </c>
      <c r="F1369" t="s">
        <v>905</v>
      </c>
      <c r="G1369" t="s">
        <v>887</v>
      </c>
    </row>
    <row r="1370" spans="1:7" x14ac:dyDescent="0.25">
      <c r="A1370" t="s">
        <v>416</v>
      </c>
      <c r="B1370">
        <v>450</v>
      </c>
      <c r="C1370">
        <v>-190</v>
      </c>
      <c r="D1370">
        <v>4</v>
      </c>
      <c r="E1370" t="s">
        <v>888</v>
      </c>
      <c r="F1370" t="s">
        <v>891</v>
      </c>
      <c r="G1370" t="s">
        <v>887</v>
      </c>
    </row>
    <row r="1371" spans="1:7" x14ac:dyDescent="0.25">
      <c r="A1371" t="s">
        <v>122</v>
      </c>
      <c r="B1371">
        <v>24</v>
      </c>
      <c r="C1371">
        <v>-1</v>
      </c>
      <c r="D1371">
        <v>4</v>
      </c>
      <c r="E1371" t="s">
        <v>895</v>
      </c>
      <c r="F1371" t="s">
        <v>901</v>
      </c>
      <c r="G1371" t="s">
        <v>893</v>
      </c>
    </row>
    <row r="1372" spans="1:7" x14ac:dyDescent="0.25">
      <c r="A1372" t="s">
        <v>254</v>
      </c>
      <c r="B1372">
        <v>832</v>
      </c>
      <c r="C1372">
        <v>0</v>
      </c>
      <c r="D1372">
        <v>3</v>
      </c>
      <c r="E1372" t="s">
        <v>895</v>
      </c>
      <c r="F1372" t="s">
        <v>896</v>
      </c>
      <c r="G1372" t="s">
        <v>898</v>
      </c>
    </row>
    <row r="1373" spans="1:7" x14ac:dyDescent="0.25">
      <c r="A1373" t="s">
        <v>252</v>
      </c>
      <c r="B1373">
        <v>833</v>
      </c>
      <c r="C1373">
        <v>93</v>
      </c>
      <c r="D1373">
        <v>3</v>
      </c>
      <c r="E1373" t="s">
        <v>895</v>
      </c>
      <c r="F1373" t="s">
        <v>896</v>
      </c>
      <c r="G1373" t="s">
        <v>898</v>
      </c>
    </row>
    <row r="1374" spans="1:7" x14ac:dyDescent="0.25">
      <c r="A1374" t="s">
        <v>859</v>
      </c>
      <c r="B1374">
        <v>20</v>
      </c>
      <c r="C1374">
        <v>6</v>
      </c>
      <c r="D1374">
        <v>1</v>
      </c>
      <c r="E1374" t="s">
        <v>895</v>
      </c>
      <c r="F1374" t="s">
        <v>906</v>
      </c>
      <c r="G1374" t="s">
        <v>887</v>
      </c>
    </row>
    <row r="1375" spans="1:7" x14ac:dyDescent="0.25">
      <c r="A1375" t="s">
        <v>639</v>
      </c>
      <c r="B1375">
        <v>23</v>
      </c>
      <c r="C1375">
        <v>-5</v>
      </c>
      <c r="D1375">
        <v>7</v>
      </c>
      <c r="E1375" t="s">
        <v>895</v>
      </c>
      <c r="F1375" t="s">
        <v>899</v>
      </c>
      <c r="G1375" t="s">
        <v>893</v>
      </c>
    </row>
    <row r="1376" spans="1:7" x14ac:dyDescent="0.25">
      <c r="A1376" t="s">
        <v>142</v>
      </c>
      <c r="B1376">
        <v>550</v>
      </c>
      <c r="C1376">
        <v>-242</v>
      </c>
      <c r="D1376">
        <v>5</v>
      </c>
      <c r="E1376" t="s">
        <v>888</v>
      </c>
      <c r="F1376" t="s">
        <v>908</v>
      </c>
      <c r="G1376" t="s">
        <v>898</v>
      </c>
    </row>
    <row r="1377" spans="1:7" x14ac:dyDescent="0.25">
      <c r="A1377" t="s">
        <v>200</v>
      </c>
      <c r="B1377">
        <v>148</v>
      </c>
      <c r="C1377">
        <v>-91</v>
      </c>
      <c r="D1377">
        <v>2</v>
      </c>
      <c r="E1377" t="s">
        <v>885</v>
      </c>
      <c r="F1377" t="s">
        <v>894</v>
      </c>
      <c r="G1377" t="s">
        <v>887</v>
      </c>
    </row>
    <row r="1378" spans="1:7" x14ac:dyDescent="0.25">
      <c r="A1378" t="s">
        <v>248</v>
      </c>
      <c r="B1378">
        <v>846</v>
      </c>
      <c r="C1378">
        <v>9</v>
      </c>
      <c r="D1378">
        <v>2</v>
      </c>
      <c r="E1378" t="s">
        <v>888</v>
      </c>
      <c r="F1378" t="s">
        <v>889</v>
      </c>
      <c r="G1378" t="s">
        <v>907</v>
      </c>
    </row>
    <row r="1379" spans="1:7" x14ac:dyDescent="0.25">
      <c r="A1379" t="s">
        <v>126</v>
      </c>
      <c r="B1379">
        <v>856</v>
      </c>
      <c r="C1379">
        <v>385</v>
      </c>
      <c r="D1379">
        <v>6</v>
      </c>
      <c r="E1379" t="s">
        <v>885</v>
      </c>
      <c r="F1379" t="s">
        <v>892</v>
      </c>
      <c r="G1379" t="s">
        <v>887</v>
      </c>
    </row>
    <row r="1380" spans="1:7" x14ac:dyDescent="0.25">
      <c r="A1380" t="s">
        <v>242</v>
      </c>
      <c r="B1380">
        <v>871</v>
      </c>
      <c r="C1380">
        <v>131</v>
      </c>
      <c r="D1380">
        <v>2</v>
      </c>
      <c r="E1380" t="s">
        <v>888</v>
      </c>
      <c r="F1380" t="s">
        <v>891</v>
      </c>
      <c r="G1380" t="s">
        <v>898</v>
      </c>
    </row>
    <row r="1381" spans="1:7" x14ac:dyDescent="0.25">
      <c r="A1381" t="s">
        <v>425</v>
      </c>
      <c r="B1381">
        <v>19</v>
      </c>
      <c r="C1381">
        <v>-18</v>
      </c>
      <c r="D1381">
        <v>4</v>
      </c>
      <c r="E1381" t="s">
        <v>895</v>
      </c>
      <c r="F1381" t="s">
        <v>900</v>
      </c>
      <c r="G1381" t="s">
        <v>887</v>
      </c>
    </row>
    <row r="1382" spans="1:7" x14ac:dyDescent="0.25">
      <c r="A1382" t="s">
        <v>343</v>
      </c>
      <c r="B1382">
        <v>610</v>
      </c>
      <c r="C1382">
        <v>-66</v>
      </c>
      <c r="D1382">
        <v>2</v>
      </c>
      <c r="E1382" t="s">
        <v>888</v>
      </c>
      <c r="F1382" t="s">
        <v>902</v>
      </c>
      <c r="G1382" t="s">
        <v>887</v>
      </c>
    </row>
    <row r="1383" spans="1:7" x14ac:dyDescent="0.25">
      <c r="A1383" t="s">
        <v>239</v>
      </c>
      <c r="B1383">
        <v>880</v>
      </c>
      <c r="C1383">
        <v>97</v>
      </c>
      <c r="D1383">
        <v>8</v>
      </c>
      <c r="E1383" t="s">
        <v>888</v>
      </c>
      <c r="F1383" t="s">
        <v>908</v>
      </c>
      <c r="G1383" t="s">
        <v>907</v>
      </c>
    </row>
    <row r="1384" spans="1:7" x14ac:dyDescent="0.25">
      <c r="A1384" t="s">
        <v>175</v>
      </c>
      <c r="B1384">
        <v>22</v>
      </c>
      <c r="C1384">
        <v>-8</v>
      </c>
      <c r="D1384">
        <v>4</v>
      </c>
      <c r="E1384" t="s">
        <v>895</v>
      </c>
      <c r="F1384" t="s">
        <v>899</v>
      </c>
      <c r="G1384" t="s">
        <v>893</v>
      </c>
    </row>
    <row r="1385" spans="1:7" x14ac:dyDescent="0.25">
      <c r="A1385" t="s">
        <v>850</v>
      </c>
      <c r="B1385">
        <v>22</v>
      </c>
      <c r="C1385">
        <v>11</v>
      </c>
      <c r="D1385">
        <v>2</v>
      </c>
      <c r="E1385" t="s">
        <v>895</v>
      </c>
      <c r="F1385" t="s">
        <v>901</v>
      </c>
      <c r="G1385" t="s">
        <v>893</v>
      </c>
    </row>
    <row r="1386" spans="1:7" x14ac:dyDescent="0.25">
      <c r="A1386" t="s">
        <v>855</v>
      </c>
      <c r="B1386">
        <v>21</v>
      </c>
      <c r="C1386">
        <v>4</v>
      </c>
      <c r="D1386">
        <v>3</v>
      </c>
      <c r="E1386" t="s">
        <v>895</v>
      </c>
      <c r="F1386" t="s">
        <v>899</v>
      </c>
      <c r="G1386" t="s">
        <v>893</v>
      </c>
    </row>
    <row r="1387" spans="1:7" x14ac:dyDescent="0.25">
      <c r="A1387" t="s">
        <v>122</v>
      </c>
      <c r="B1387">
        <v>18</v>
      </c>
      <c r="C1387">
        <v>1</v>
      </c>
      <c r="D1387">
        <v>3</v>
      </c>
      <c r="E1387" t="s">
        <v>895</v>
      </c>
      <c r="F1387" t="s">
        <v>899</v>
      </c>
      <c r="G1387" t="s">
        <v>887</v>
      </c>
    </row>
    <row r="1388" spans="1:7" x14ac:dyDescent="0.25">
      <c r="A1388" t="s">
        <v>231</v>
      </c>
      <c r="B1388">
        <v>911</v>
      </c>
      <c r="C1388">
        <v>202</v>
      </c>
      <c r="D1388">
        <v>7</v>
      </c>
      <c r="E1388" t="s">
        <v>888</v>
      </c>
      <c r="F1388" t="s">
        <v>889</v>
      </c>
      <c r="G1388" t="s">
        <v>887</v>
      </c>
    </row>
    <row r="1389" spans="1:7" x14ac:dyDescent="0.25">
      <c r="A1389" t="s">
        <v>376</v>
      </c>
      <c r="B1389">
        <v>18</v>
      </c>
      <c r="C1389">
        <v>2</v>
      </c>
      <c r="D1389">
        <v>3</v>
      </c>
      <c r="E1389" t="s">
        <v>895</v>
      </c>
      <c r="F1389" t="s">
        <v>899</v>
      </c>
      <c r="G1389" t="s">
        <v>887</v>
      </c>
    </row>
    <row r="1390" spans="1:7" x14ac:dyDescent="0.25">
      <c r="A1390" t="s">
        <v>233</v>
      </c>
      <c r="B1390">
        <v>911</v>
      </c>
      <c r="C1390">
        <v>355</v>
      </c>
      <c r="D1390">
        <v>5</v>
      </c>
      <c r="E1390" t="s">
        <v>885</v>
      </c>
      <c r="F1390" t="s">
        <v>894</v>
      </c>
      <c r="G1390" t="s">
        <v>907</v>
      </c>
    </row>
    <row r="1391" spans="1:7" x14ac:dyDescent="0.25">
      <c r="A1391" t="s">
        <v>641</v>
      </c>
      <c r="B1391">
        <v>143</v>
      </c>
      <c r="C1391">
        <v>-129</v>
      </c>
      <c r="D1391">
        <v>2</v>
      </c>
      <c r="E1391" t="s">
        <v>885</v>
      </c>
      <c r="F1391" t="s">
        <v>894</v>
      </c>
      <c r="G1391" t="s">
        <v>887</v>
      </c>
    </row>
    <row r="1392" spans="1:7" x14ac:dyDescent="0.25">
      <c r="A1392" t="s">
        <v>226</v>
      </c>
      <c r="B1392">
        <v>918</v>
      </c>
      <c r="C1392">
        <v>22</v>
      </c>
      <c r="D1392">
        <v>9</v>
      </c>
      <c r="E1392" t="s">
        <v>885</v>
      </c>
      <c r="F1392" t="s">
        <v>886</v>
      </c>
      <c r="G1392" t="s">
        <v>887</v>
      </c>
    </row>
    <row r="1393" spans="1:7" x14ac:dyDescent="0.25">
      <c r="A1393" t="s">
        <v>224</v>
      </c>
      <c r="B1393">
        <v>925</v>
      </c>
      <c r="C1393">
        <v>-447</v>
      </c>
      <c r="D1393">
        <v>5</v>
      </c>
      <c r="E1393" t="s">
        <v>885</v>
      </c>
      <c r="F1393" t="s">
        <v>886</v>
      </c>
      <c r="G1393" t="s">
        <v>887</v>
      </c>
    </row>
    <row r="1394" spans="1:7" x14ac:dyDescent="0.25">
      <c r="A1394" t="s">
        <v>360</v>
      </c>
      <c r="B1394">
        <v>17</v>
      </c>
      <c r="C1394">
        <v>8</v>
      </c>
      <c r="D1394">
        <v>2</v>
      </c>
      <c r="E1394" t="s">
        <v>895</v>
      </c>
      <c r="F1394" t="s">
        <v>901</v>
      </c>
      <c r="G1394" t="s">
        <v>887</v>
      </c>
    </row>
    <row r="1395" spans="1:7" x14ac:dyDescent="0.25">
      <c r="A1395" t="s">
        <v>405</v>
      </c>
      <c r="B1395">
        <v>465</v>
      </c>
      <c r="C1395">
        <v>207</v>
      </c>
      <c r="D1395">
        <v>9</v>
      </c>
      <c r="E1395" t="s">
        <v>895</v>
      </c>
      <c r="F1395" t="s">
        <v>897</v>
      </c>
      <c r="G1395" t="s">
        <v>887</v>
      </c>
    </row>
    <row r="1396" spans="1:7" x14ac:dyDescent="0.25">
      <c r="A1396" t="s">
        <v>298</v>
      </c>
      <c r="B1396">
        <v>17</v>
      </c>
      <c r="C1396">
        <v>-9</v>
      </c>
      <c r="D1396">
        <v>3</v>
      </c>
      <c r="E1396" t="s">
        <v>895</v>
      </c>
      <c r="F1396" t="s">
        <v>903</v>
      </c>
      <c r="G1396" t="s">
        <v>887</v>
      </c>
    </row>
    <row r="1397" spans="1:7" x14ac:dyDescent="0.25">
      <c r="A1397" t="s">
        <v>219</v>
      </c>
      <c r="B1397">
        <v>935</v>
      </c>
      <c r="C1397">
        <v>114</v>
      </c>
      <c r="D1397">
        <v>4</v>
      </c>
      <c r="E1397" t="s">
        <v>885</v>
      </c>
      <c r="F1397" t="s">
        <v>886</v>
      </c>
      <c r="G1397" t="s">
        <v>898</v>
      </c>
    </row>
    <row r="1398" spans="1:7" x14ac:dyDescent="0.25">
      <c r="A1398" t="s">
        <v>258</v>
      </c>
      <c r="B1398">
        <v>16</v>
      </c>
      <c r="C1398">
        <v>-10</v>
      </c>
      <c r="D1398">
        <v>2</v>
      </c>
      <c r="E1398" t="s">
        <v>895</v>
      </c>
      <c r="F1398" t="s">
        <v>906</v>
      </c>
      <c r="G1398" t="s">
        <v>887</v>
      </c>
    </row>
    <row r="1399" spans="1:7" x14ac:dyDescent="0.25">
      <c r="A1399" t="s">
        <v>23</v>
      </c>
      <c r="B1399">
        <v>954</v>
      </c>
      <c r="C1399">
        <v>95</v>
      </c>
      <c r="D1399">
        <v>3</v>
      </c>
      <c r="E1399" t="s">
        <v>885</v>
      </c>
      <c r="F1399" t="s">
        <v>892</v>
      </c>
      <c r="G1399" t="s">
        <v>898</v>
      </c>
    </row>
    <row r="1400" spans="1:7" x14ac:dyDescent="0.25">
      <c r="A1400" t="s">
        <v>230</v>
      </c>
      <c r="B1400">
        <v>915</v>
      </c>
      <c r="C1400">
        <v>-99</v>
      </c>
      <c r="D1400">
        <v>3</v>
      </c>
      <c r="E1400" t="s">
        <v>888</v>
      </c>
      <c r="F1400" t="s">
        <v>902</v>
      </c>
      <c r="G1400" t="s">
        <v>907</v>
      </c>
    </row>
    <row r="1401" spans="1:7" x14ac:dyDescent="0.25">
      <c r="A1401" t="s">
        <v>216</v>
      </c>
      <c r="B1401">
        <v>955</v>
      </c>
      <c r="C1401">
        <v>305</v>
      </c>
      <c r="D1401">
        <v>3</v>
      </c>
      <c r="E1401" t="s">
        <v>885</v>
      </c>
      <c r="F1401" t="s">
        <v>892</v>
      </c>
      <c r="G1401" t="s">
        <v>907</v>
      </c>
    </row>
    <row r="1402" spans="1:7" x14ac:dyDescent="0.25">
      <c r="A1402" t="s">
        <v>81</v>
      </c>
      <c r="B1402">
        <v>976</v>
      </c>
      <c r="C1402">
        <v>293</v>
      </c>
      <c r="D1402">
        <v>4</v>
      </c>
      <c r="E1402" t="s">
        <v>885</v>
      </c>
      <c r="F1402" t="s">
        <v>905</v>
      </c>
      <c r="G1402" t="s">
        <v>887</v>
      </c>
    </row>
    <row r="1403" spans="1:7" x14ac:dyDescent="0.25">
      <c r="A1403" t="s">
        <v>200</v>
      </c>
      <c r="B1403">
        <v>1069</v>
      </c>
      <c r="C1403">
        <v>0</v>
      </c>
      <c r="D1403">
        <v>6</v>
      </c>
      <c r="E1403" t="s">
        <v>895</v>
      </c>
      <c r="F1403" t="s">
        <v>897</v>
      </c>
      <c r="G1403" t="s">
        <v>890</v>
      </c>
    </row>
    <row r="1404" spans="1:7" x14ac:dyDescent="0.25">
      <c r="A1404" t="s">
        <v>539</v>
      </c>
      <c r="B1404">
        <v>19</v>
      </c>
      <c r="C1404">
        <v>-15</v>
      </c>
      <c r="D1404">
        <v>3</v>
      </c>
      <c r="E1404" t="s">
        <v>895</v>
      </c>
      <c r="F1404" t="s">
        <v>899</v>
      </c>
      <c r="G1404" t="s">
        <v>893</v>
      </c>
    </row>
    <row r="1405" spans="1:7" x14ac:dyDescent="0.25">
      <c r="A1405" t="s">
        <v>42</v>
      </c>
      <c r="B1405">
        <v>16</v>
      </c>
      <c r="C1405">
        <v>6</v>
      </c>
      <c r="D1405">
        <v>3</v>
      </c>
      <c r="E1405" t="s">
        <v>895</v>
      </c>
      <c r="F1405" t="s">
        <v>899</v>
      </c>
      <c r="G1405" t="s">
        <v>887</v>
      </c>
    </row>
    <row r="1406" spans="1:7" x14ac:dyDescent="0.25">
      <c r="A1406" t="s">
        <v>209</v>
      </c>
      <c r="B1406">
        <v>1030</v>
      </c>
      <c r="C1406">
        <v>206</v>
      </c>
      <c r="D1406">
        <v>8</v>
      </c>
      <c r="E1406" t="s">
        <v>885</v>
      </c>
      <c r="F1406" t="s">
        <v>892</v>
      </c>
      <c r="G1406" t="s">
        <v>898</v>
      </c>
    </row>
    <row r="1407" spans="1:7" x14ac:dyDescent="0.25">
      <c r="A1407" t="s">
        <v>212</v>
      </c>
      <c r="B1407">
        <v>620</v>
      </c>
      <c r="C1407">
        <v>82</v>
      </c>
      <c r="D1407">
        <v>6</v>
      </c>
      <c r="E1407" t="s">
        <v>885</v>
      </c>
      <c r="F1407" t="s">
        <v>905</v>
      </c>
      <c r="G1407" t="s">
        <v>887</v>
      </c>
    </row>
    <row r="1408" spans="1:7" x14ac:dyDescent="0.25">
      <c r="A1408" t="s">
        <v>320</v>
      </c>
      <c r="B1408">
        <v>16</v>
      </c>
      <c r="C1408">
        <v>8</v>
      </c>
      <c r="D1408">
        <v>2</v>
      </c>
      <c r="E1408" t="s">
        <v>895</v>
      </c>
      <c r="F1408" t="s">
        <v>899</v>
      </c>
      <c r="G1408" t="s">
        <v>887</v>
      </c>
    </row>
    <row r="1409" spans="1:7" x14ac:dyDescent="0.25">
      <c r="A1409" t="s">
        <v>313</v>
      </c>
      <c r="B1409">
        <v>19</v>
      </c>
      <c r="C1409">
        <v>8</v>
      </c>
      <c r="D1409">
        <v>2</v>
      </c>
      <c r="E1409" t="s">
        <v>895</v>
      </c>
      <c r="F1409" t="s">
        <v>899</v>
      </c>
      <c r="G1409" t="s">
        <v>893</v>
      </c>
    </row>
    <row r="1410" spans="1:7" x14ac:dyDescent="0.25">
      <c r="A1410" t="s">
        <v>300</v>
      </c>
      <c r="B1410">
        <v>249</v>
      </c>
      <c r="C1410">
        <v>-130</v>
      </c>
      <c r="D1410">
        <v>4</v>
      </c>
      <c r="E1410" t="s">
        <v>885</v>
      </c>
      <c r="F1410" t="s">
        <v>894</v>
      </c>
      <c r="G1410" t="s">
        <v>898</v>
      </c>
    </row>
    <row r="1411" spans="1:7" x14ac:dyDescent="0.25">
      <c r="A1411" t="s">
        <v>696</v>
      </c>
      <c r="B1411">
        <v>16</v>
      </c>
      <c r="C1411">
        <v>6</v>
      </c>
      <c r="D1411">
        <v>1</v>
      </c>
      <c r="E1411" t="s">
        <v>895</v>
      </c>
      <c r="F1411" t="s">
        <v>903</v>
      </c>
      <c r="G1411" t="s">
        <v>887</v>
      </c>
    </row>
    <row r="1412" spans="1:7" x14ac:dyDescent="0.25">
      <c r="A1412" t="s">
        <v>130</v>
      </c>
      <c r="B1412">
        <v>1361</v>
      </c>
      <c r="C1412">
        <v>197</v>
      </c>
      <c r="D1412">
        <v>9</v>
      </c>
      <c r="E1412" t="s">
        <v>888</v>
      </c>
      <c r="F1412" t="s">
        <v>891</v>
      </c>
      <c r="G1412" t="s">
        <v>887</v>
      </c>
    </row>
    <row r="1413" spans="1:7" x14ac:dyDescent="0.25">
      <c r="A1413" t="s">
        <v>267</v>
      </c>
      <c r="B1413">
        <v>15</v>
      </c>
      <c r="C1413">
        <v>1</v>
      </c>
      <c r="D1413">
        <v>1</v>
      </c>
      <c r="E1413" t="s">
        <v>895</v>
      </c>
      <c r="F1413" t="s">
        <v>909</v>
      </c>
      <c r="G1413" t="s">
        <v>887</v>
      </c>
    </row>
    <row r="1414" spans="1:7" x14ac:dyDescent="0.25">
      <c r="A1414" t="s">
        <v>197</v>
      </c>
      <c r="B1414">
        <v>1076</v>
      </c>
      <c r="C1414">
        <v>-38</v>
      </c>
      <c r="D1414">
        <v>4</v>
      </c>
      <c r="E1414" t="s">
        <v>885</v>
      </c>
      <c r="F1414" t="s">
        <v>892</v>
      </c>
      <c r="G1414" t="s">
        <v>887</v>
      </c>
    </row>
    <row r="1415" spans="1:7" x14ac:dyDescent="0.25">
      <c r="A1415" t="s">
        <v>321</v>
      </c>
      <c r="B1415">
        <v>18</v>
      </c>
      <c r="C1415">
        <v>2</v>
      </c>
      <c r="D1415">
        <v>3</v>
      </c>
      <c r="E1415" t="s">
        <v>895</v>
      </c>
      <c r="F1415" t="s">
        <v>899</v>
      </c>
      <c r="G1415" t="s">
        <v>893</v>
      </c>
    </row>
    <row r="1416" spans="1:7" x14ac:dyDescent="0.25">
      <c r="A1416" t="s">
        <v>195</v>
      </c>
      <c r="B1416">
        <v>1101</v>
      </c>
      <c r="C1416">
        <v>352</v>
      </c>
      <c r="D1416">
        <v>3</v>
      </c>
      <c r="E1416" t="s">
        <v>888</v>
      </c>
      <c r="F1416" t="s">
        <v>891</v>
      </c>
      <c r="G1416" t="s">
        <v>898</v>
      </c>
    </row>
    <row r="1417" spans="1:7" x14ac:dyDescent="0.25">
      <c r="A1417" t="s">
        <v>369</v>
      </c>
      <c r="B1417">
        <v>15</v>
      </c>
      <c r="C1417">
        <v>2</v>
      </c>
      <c r="D1417">
        <v>1</v>
      </c>
      <c r="E1417" t="s">
        <v>895</v>
      </c>
      <c r="F1417" t="s">
        <v>904</v>
      </c>
      <c r="G1417" t="s">
        <v>887</v>
      </c>
    </row>
    <row r="1418" spans="1:7" x14ac:dyDescent="0.25">
      <c r="A1418" t="s">
        <v>120</v>
      </c>
      <c r="B1418">
        <v>1104</v>
      </c>
      <c r="C1418">
        <v>209</v>
      </c>
      <c r="D1418">
        <v>4</v>
      </c>
      <c r="E1418" t="s">
        <v>895</v>
      </c>
      <c r="F1418" t="s">
        <v>896</v>
      </c>
      <c r="G1418" t="s">
        <v>898</v>
      </c>
    </row>
    <row r="1419" spans="1:7" x14ac:dyDescent="0.25">
      <c r="A1419" t="s">
        <v>318</v>
      </c>
      <c r="B1419">
        <v>14</v>
      </c>
      <c r="C1419">
        <v>2</v>
      </c>
      <c r="D1419">
        <v>1</v>
      </c>
      <c r="E1419" t="s">
        <v>895</v>
      </c>
      <c r="F1419" t="s">
        <v>899</v>
      </c>
      <c r="G1419" t="s">
        <v>887</v>
      </c>
    </row>
    <row r="1420" spans="1:7" x14ac:dyDescent="0.25">
      <c r="A1420" t="s">
        <v>16</v>
      </c>
      <c r="B1420">
        <v>14</v>
      </c>
      <c r="C1420">
        <v>5</v>
      </c>
      <c r="D1420">
        <v>1</v>
      </c>
      <c r="E1420" t="s">
        <v>895</v>
      </c>
      <c r="F1420" t="s">
        <v>899</v>
      </c>
      <c r="G1420" t="s">
        <v>887</v>
      </c>
    </row>
    <row r="1421" spans="1:7" x14ac:dyDescent="0.25">
      <c r="A1421" t="s">
        <v>373</v>
      </c>
      <c r="B1421">
        <v>14</v>
      </c>
      <c r="C1421">
        <v>-3</v>
      </c>
      <c r="D1421">
        <v>2</v>
      </c>
      <c r="E1421" t="s">
        <v>895</v>
      </c>
      <c r="F1421" t="s">
        <v>904</v>
      </c>
      <c r="G1421" t="s">
        <v>887</v>
      </c>
    </row>
    <row r="1422" spans="1:7" x14ac:dyDescent="0.25">
      <c r="A1422" t="s">
        <v>442</v>
      </c>
      <c r="B1422">
        <v>14</v>
      </c>
      <c r="C1422">
        <v>-1</v>
      </c>
      <c r="D1422">
        <v>4</v>
      </c>
      <c r="E1422" t="s">
        <v>895</v>
      </c>
      <c r="F1422" t="s">
        <v>900</v>
      </c>
      <c r="G1422" t="s">
        <v>887</v>
      </c>
    </row>
    <row r="1423" spans="1:7" x14ac:dyDescent="0.25">
      <c r="A1423" t="s">
        <v>341</v>
      </c>
      <c r="B1423">
        <v>13</v>
      </c>
      <c r="C1423">
        <v>-8</v>
      </c>
      <c r="D1423">
        <v>1</v>
      </c>
      <c r="E1423" t="s">
        <v>895</v>
      </c>
      <c r="F1423" t="s">
        <v>906</v>
      </c>
      <c r="G1423" t="s">
        <v>887</v>
      </c>
    </row>
    <row r="1424" spans="1:7" x14ac:dyDescent="0.25">
      <c r="A1424" t="s">
        <v>124</v>
      </c>
      <c r="B1424">
        <v>13</v>
      </c>
      <c r="C1424">
        <v>-1</v>
      </c>
      <c r="D1424">
        <v>3</v>
      </c>
      <c r="E1424" t="s">
        <v>895</v>
      </c>
      <c r="F1424" t="s">
        <v>899</v>
      </c>
      <c r="G1424" t="s">
        <v>887</v>
      </c>
    </row>
    <row r="1425" spans="1:7" x14ac:dyDescent="0.25">
      <c r="A1425" t="s">
        <v>158</v>
      </c>
      <c r="B1425">
        <v>1275</v>
      </c>
      <c r="C1425">
        <v>1148</v>
      </c>
      <c r="D1425">
        <v>7</v>
      </c>
      <c r="E1425" t="s">
        <v>888</v>
      </c>
      <c r="F1425" t="s">
        <v>891</v>
      </c>
      <c r="G1425" t="s">
        <v>890</v>
      </c>
    </row>
    <row r="1426" spans="1:7" x14ac:dyDescent="0.25">
      <c r="A1426" t="s">
        <v>350</v>
      </c>
      <c r="B1426">
        <v>17</v>
      </c>
      <c r="C1426">
        <v>1</v>
      </c>
      <c r="D1426">
        <v>2</v>
      </c>
      <c r="E1426" t="s">
        <v>895</v>
      </c>
      <c r="F1426" t="s">
        <v>901</v>
      </c>
      <c r="G1426" t="s">
        <v>893</v>
      </c>
    </row>
    <row r="1427" spans="1:7" x14ac:dyDescent="0.25">
      <c r="A1427" t="s">
        <v>625</v>
      </c>
      <c r="B1427">
        <v>13</v>
      </c>
      <c r="C1427">
        <v>0</v>
      </c>
      <c r="D1427">
        <v>2</v>
      </c>
      <c r="E1427" t="s">
        <v>895</v>
      </c>
      <c r="F1427" t="s">
        <v>899</v>
      </c>
      <c r="G1427" t="s">
        <v>887</v>
      </c>
    </row>
    <row r="1428" spans="1:7" x14ac:dyDescent="0.25">
      <c r="A1428" t="s">
        <v>164</v>
      </c>
      <c r="B1428">
        <v>1270</v>
      </c>
      <c r="C1428">
        <v>546</v>
      </c>
      <c r="D1428">
        <v>11</v>
      </c>
      <c r="E1428" t="s">
        <v>885</v>
      </c>
      <c r="F1428" t="s">
        <v>886</v>
      </c>
      <c r="G1428" t="s">
        <v>890</v>
      </c>
    </row>
    <row r="1429" spans="1:7" x14ac:dyDescent="0.25">
      <c r="A1429" t="s">
        <v>800</v>
      </c>
      <c r="B1429">
        <v>13</v>
      </c>
      <c r="C1429">
        <v>-2</v>
      </c>
      <c r="D1429">
        <v>1</v>
      </c>
      <c r="E1429" t="s">
        <v>895</v>
      </c>
      <c r="F1429" t="s">
        <v>903</v>
      </c>
      <c r="G1429" t="s">
        <v>887</v>
      </c>
    </row>
    <row r="1430" spans="1:7" x14ac:dyDescent="0.25">
      <c r="A1430" t="s">
        <v>871</v>
      </c>
      <c r="B1430">
        <v>13</v>
      </c>
      <c r="C1430">
        <v>3</v>
      </c>
      <c r="D1430">
        <v>1</v>
      </c>
      <c r="E1430" t="s">
        <v>895</v>
      </c>
      <c r="F1430" t="s">
        <v>904</v>
      </c>
      <c r="G1430" t="s">
        <v>887</v>
      </c>
    </row>
    <row r="1431" spans="1:7" x14ac:dyDescent="0.25">
      <c r="A1431" t="s">
        <v>710</v>
      </c>
      <c r="B1431">
        <v>17</v>
      </c>
      <c r="C1431">
        <v>5</v>
      </c>
      <c r="D1431">
        <v>1</v>
      </c>
      <c r="E1431" t="s">
        <v>895</v>
      </c>
      <c r="F1431" t="s">
        <v>899</v>
      </c>
      <c r="G1431" t="s">
        <v>898</v>
      </c>
    </row>
    <row r="1432" spans="1:7" x14ac:dyDescent="0.25">
      <c r="A1432" t="s">
        <v>335</v>
      </c>
      <c r="B1432">
        <v>13</v>
      </c>
      <c r="C1432">
        <v>-13</v>
      </c>
      <c r="D1432">
        <v>2</v>
      </c>
      <c r="E1432" t="s">
        <v>895</v>
      </c>
      <c r="F1432" t="s">
        <v>901</v>
      </c>
      <c r="G1432" t="s">
        <v>887</v>
      </c>
    </row>
    <row r="1433" spans="1:7" x14ac:dyDescent="0.25">
      <c r="A1433" t="s">
        <v>333</v>
      </c>
      <c r="B1433">
        <v>13</v>
      </c>
      <c r="C1433">
        <v>-9</v>
      </c>
      <c r="D1433">
        <v>2</v>
      </c>
      <c r="E1433" t="s">
        <v>895</v>
      </c>
      <c r="F1433" t="s">
        <v>901</v>
      </c>
      <c r="G1433" t="s">
        <v>887</v>
      </c>
    </row>
    <row r="1434" spans="1:7" x14ac:dyDescent="0.25">
      <c r="A1434" t="s">
        <v>166</v>
      </c>
      <c r="B1434">
        <v>1263</v>
      </c>
      <c r="C1434">
        <v>-56</v>
      </c>
      <c r="D1434">
        <v>5</v>
      </c>
      <c r="E1434" t="s">
        <v>895</v>
      </c>
      <c r="F1434" t="s">
        <v>896</v>
      </c>
      <c r="G1434" t="s">
        <v>890</v>
      </c>
    </row>
    <row r="1435" spans="1:7" x14ac:dyDescent="0.25">
      <c r="A1435" t="s">
        <v>83</v>
      </c>
      <c r="B1435">
        <v>1629</v>
      </c>
      <c r="C1435">
        <v>-153</v>
      </c>
      <c r="D1435">
        <v>3</v>
      </c>
      <c r="E1435" t="s">
        <v>885</v>
      </c>
      <c r="F1435" t="s">
        <v>894</v>
      </c>
      <c r="G1435" t="s">
        <v>887</v>
      </c>
    </row>
    <row r="1436" spans="1:7" x14ac:dyDescent="0.25">
      <c r="A1436" t="s">
        <v>16</v>
      </c>
      <c r="B1436">
        <v>17</v>
      </c>
      <c r="C1436">
        <v>7</v>
      </c>
      <c r="D1436">
        <v>3</v>
      </c>
      <c r="E1436" t="s">
        <v>895</v>
      </c>
      <c r="F1436" t="s">
        <v>899</v>
      </c>
      <c r="G1436" t="s">
        <v>898</v>
      </c>
    </row>
    <row r="1437" spans="1:7" x14ac:dyDescent="0.25">
      <c r="A1437" t="s">
        <v>68</v>
      </c>
      <c r="B1437">
        <v>17</v>
      </c>
      <c r="C1437">
        <v>2</v>
      </c>
      <c r="D1437">
        <v>2</v>
      </c>
      <c r="E1437" t="s">
        <v>895</v>
      </c>
      <c r="F1437" t="s">
        <v>901</v>
      </c>
      <c r="G1437" t="s">
        <v>898</v>
      </c>
    </row>
    <row r="1438" spans="1:7" x14ac:dyDescent="0.25">
      <c r="A1438" t="s">
        <v>3</v>
      </c>
      <c r="B1438">
        <v>1250</v>
      </c>
      <c r="C1438">
        <v>-12</v>
      </c>
      <c r="D1438">
        <v>2</v>
      </c>
      <c r="E1438" t="s">
        <v>885</v>
      </c>
      <c r="F1438" t="s">
        <v>892</v>
      </c>
      <c r="G1438" t="s">
        <v>890</v>
      </c>
    </row>
    <row r="1439" spans="1:7" x14ac:dyDescent="0.25">
      <c r="A1439" t="s">
        <v>61</v>
      </c>
      <c r="B1439">
        <v>17</v>
      </c>
      <c r="C1439">
        <v>-11</v>
      </c>
      <c r="D1439">
        <v>3</v>
      </c>
      <c r="E1439" t="s">
        <v>895</v>
      </c>
      <c r="F1439" t="s">
        <v>901</v>
      </c>
      <c r="G1439" t="s">
        <v>898</v>
      </c>
    </row>
    <row r="1440" spans="1:7" x14ac:dyDescent="0.25">
      <c r="A1440" t="s">
        <v>96</v>
      </c>
      <c r="B1440">
        <v>977</v>
      </c>
      <c r="C1440">
        <v>-244</v>
      </c>
      <c r="D1440">
        <v>7</v>
      </c>
      <c r="E1440" t="s">
        <v>885</v>
      </c>
      <c r="F1440" t="s">
        <v>894</v>
      </c>
      <c r="G1440" t="s">
        <v>887</v>
      </c>
    </row>
    <row r="1441" spans="1:7" x14ac:dyDescent="0.25">
      <c r="A1441" t="s">
        <v>171</v>
      </c>
      <c r="B1441">
        <v>1246</v>
      </c>
      <c r="C1441">
        <v>62</v>
      </c>
      <c r="D1441">
        <v>3</v>
      </c>
      <c r="E1441" t="s">
        <v>888</v>
      </c>
      <c r="F1441" t="s">
        <v>891</v>
      </c>
      <c r="G1441" t="s">
        <v>890</v>
      </c>
    </row>
    <row r="1442" spans="1:7" x14ac:dyDescent="0.25">
      <c r="A1442" t="s">
        <v>356</v>
      </c>
      <c r="B1442">
        <v>12</v>
      </c>
      <c r="C1442">
        <v>1</v>
      </c>
      <c r="D1442">
        <v>2</v>
      </c>
      <c r="E1442" t="s">
        <v>895</v>
      </c>
      <c r="F1442" t="s">
        <v>899</v>
      </c>
      <c r="G1442" t="s">
        <v>887</v>
      </c>
    </row>
    <row r="1443" spans="1:7" x14ac:dyDescent="0.25">
      <c r="A1443" t="s">
        <v>258</v>
      </c>
      <c r="B1443">
        <v>11</v>
      </c>
      <c r="C1443">
        <v>-4</v>
      </c>
      <c r="D1443">
        <v>2</v>
      </c>
      <c r="E1443" t="s">
        <v>895</v>
      </c>
      <c r="F1443" t="s">
        <v>901</v>
      </c>
      <c r="G1443" t="s">
        <v>887</v>
      </c>
    </row>
    <row r="1444" spans="1:7" x14ac:dyDescent="0.25">
      <c r="A1444" t="s">
        <v>140</v>
      </c>
      <c r="B1444">
        <v>1327</v>
      </c>
      <c r="C1444">
        <v>318</v>
      </c>
      <c r="D1444">
        <v>8</v>
      </c>
      <c r="E1444" t="s">
        <v>888</v>
      </c>
      <c r="F1444" t="s">
        <v>889</v>
      </c>
      <c r="G1444" t="s">
        <v>890</v>
      </c>
    </row>
    <row r="1445" spans="1:7" x14ac:dyDescent="0.25">
      <c r="A1445" t="s">
        <v>142</v>
      </c>
      <c r="B1445">
        <v>1319</v>
      </c>
      <c r="C1445">
        <v>567</v>
      </c>
      <c r="D1445">
        <v>5</v>
      </c>
      <c r="E1445" t="s">
        <v>885</v>
      </c>
      <c r="F1445" t="s">
        <v>892</v>
      </c>
      <c r="G1445" t="s">
        <v>887</v>
      </c>
    </row>
    <row r="1446" spans="1:7" x14ac:dyDescent="0.25">
      <c r="A1446" t="s">
        <v>122</v>
      </c>
      <c r="B1446">
        <v>1402</v>
      </c>
      <c r="C1446">
        <v>109</v>
      </c>
      <c r="D1446">
        <v>11</v>
      </c>
      <c r="E1446" t="s">
        <v>895</v>
      </c>
      <c r="F1446" t="s">
        <v>897</v>
      </c>
      <c r="G1446" t="s">
        <v>890</v>
      </c>
    </row>
    <row r="1447" spans="1:7" x14ac:dyDescent="0.25">
      <c r="A1447" t="s">
        <v>112</v>
      </c>
      <c r="B1447">
        <v>1514</v>
      </c>
      <c r="C1447">
        <v>742</v>
      </c>
      <c r="D1447">
        <v>4</v>
      </c>
      <c r="E1447" t="s">
        <v>885</v>
      </c>
      <c r="F1447" t="s">
        <v>892</v>
      </c>
      <c r="G1447" t="s">
        <v>890</v>
      </c>
    </row>
    <row r="1448" spans="1:7" x14ac:dyDescent="0.25">
      <c r="A1448" t="s">
        <v>44</v>
      </c>
      <c r="B1448">
        <v>1351</v>
      </c>
      <c r="C1448">
        <v>111</v>
      </c>
      <c r="D1448">
        <v>6</v>
      </c>
      <c r="E1448" t="s">
        <v>885</v>
      </c>
      <c r="F1448" t="s">
        <v>886</v>
      </c>
      <c r="G1448" t="s">
        <v>887</v>
      </c>
    </row>
    <row r="1449" spans="1:7" x14ac:dyDescent="0.25">
      <c r="A1449" t="s">
        <v>134</v>
      </c>
      <c r="B1449">
        <v>1355</v>
      </c>
      <c r="C1449">
        <v>-60</v>
      </c>
      <c r="D1449">
        <v>5</v>
      </c>
      <c r="E1449" t="s">
        <v>895</v>
      </c>
      <c r="F1449" t="s">
        <v>896</v>
      </c>
      <c r="G1449" t="s">
        <v>887</v>
      </c>
    </row>
    <row r="1450" spans="1:7" x14ac:dyDescent="0.25">
      <c r="A1450" t="s">
        <v>470</v>
      </c>
      <c r="B1450">
        <v>10</v>
      </c>
      <c r="C1450">
        <v>2</v>
      </c>
      <c r="D1450">
        <v>2</v>
      </c>
      <c r="E1450" t="s">
        <v>895</v>
      </c>
      <c r="F1450" t="s">
        <v>899</v>
      </c>
      <c r="G1450" t="s">
        <v>887</v>
      </c>
    </row>
    <row r="1451" spans="1:7" x14ac:dyDescent="0.25">
      <c r="A1451" t="s">
        <v>633</v>
      </c>
      <c r="B1451">
        <v>10</v>
      </c>
      <c r="C1451">
        <v>-2</v>
      </c>
      <c r="D1451">
        <v>2</v>
      </c>
      <c r="E1451" t="s">
        <v>895</v>
      </c>
      <c r="F1451" t="s">
        <v>904</v>
      </c>
      <c r="G1451" t="s">
        <v>887</v>
      </c>
    </row>
    <row r="1452" spans="1:7" x14ac:dyDescent="0.25">
      <c r="A1452" t="s">
        <v>100</v>
      </c>
      <c r="B1452">
        <v>1582</v>
      </c>
      <c r="C1452">
        <v>-443</v>
      </c>
      <c r="D1452">
        <v>6</v>
      </c>
      <c r="E1452" t="s">
        <v>895</v>
      </c>
      <c r="F1452" t="s">
        <v>896</v>
      </c>
      <c r="G1452" t="s">
        <v>890</v>
      </c>
    </row>
    <row r="1453" spans="1:7" x14ac:dyDescent="0.25">
      <c r="A1453" t="s">
        <v>175</v>
      </c>
      <c r="B1453">
        <v>1218</v>
      </c>
      <c r="C1453">
        <v>352</v>
      </c>
      <c r="D1453">
        <v>9</v>
      </c>
      <c r="E1453" t="s">
        <v>888</v>
      </c>
      <c r="F1453" t="s">
        <v>891</v>
      </c>
      <c r="G1453" t="s">
        <v>890</v>
      </c>
    </row>
    <row r="1454" spans="1:7" x14ac:dyDescent="0.25">
      <c r="A1454" t="s">
        <v>71</v>
      </c>
      <c r="B1454">
        <v>321</v>
      </c>
      <c r="C1454">
        <v>315</v>
      </c>
      <c r="D1454">
        <v>5</v>
      </c>
      <c r="E1454" t="s">
        <v>895</v>
      </c>
      <c r="F1454" t="s">
        <v>897</v>
      </c>
      <c r="G1454" t="s">
        <v>898</v>
      </c>
    </row>
    <row r="1455" spans="1:7" x14ac:dyDescent="0.25">
      <c r="A1455" t="s">
        <v>290</v>
      </c>
      <c r="B1455">
        <v>736</v>
      </c>
      <c r="C1455">
        <v>346</v>
      </c>
      <c r="D1455">
        <v>5</v>
      </c>
      <c r="E1455" t="s">
        <v>885</v>
      </c>
      <c r="F1455" t="s">
        <v>892</v>
      </c>
      <c r="G1455" t="s">
        <v>887</v>
      </c>
    </row>
    <row r="1456" spans="1:7" x14ac:dyDescent="0.25">
      <c r="A1456" t="s">
        <v>3</v>
      </c>
      <c r="B1456">
        <v>1218</v>
      </c>
      <c r="C1456">
        <v>-420</v>
      </c>
      <c r="D1456">
        <v>8</v>
      </c>
      <c r="E1456" t="s">
        <v>888</v>
      </c>
      <c r="F1456" t="s">
        <v>891</v>
      </c>
      <c r="G1456" t="s">
        <v>887</v>
      </c>
    </row>
    <row r="1457" spans="1:7" x14ac:dyDescent="0.25">
      <c r="A1457" t="s">
        <v>142</v>
      </c>
      <c r="B1457">
        <v>1027</v>
      </c>
      <c r="C1457">
        <v>441</v>
      </c>
      <c r="D1457">
        <v>8</v>
      </c>
      <c r="E1457" t="s">
        <v>895</v>
      </c>
      <c r="F1457" t="s">
        <v>897</v>
      </c>
      <c r="G1457" t="s">
        <v>887</v>
      </c>
    </row>
    <row r="1458" spans="1:7" x14ac:dyDescent="0.25">
      <c r="A1458" t="s">
        <v>467</v>
      </c>
      <c r="B1458">
        <v>10</v>
      </c>
      <c r="C1458">
        <v>5</v>
      </c>
      <c r="D1458">
        <v>1</v>
      </c>
      <c r="E1458" t="s">
        <v>895</v>
      </c>
      <c r="F1458" t="s">
        <v>903</v>
      </c>
      <c r="G1458" t="s">
        <v>887</v>
      </c>
    </row>
    <row r="1459" spans="1:7" x14ac:dyDescent="0.25">
      <c r="A1459" t="s">
        <v>40</v>
      </c>
      <c r="B1459">
        <v>2366</v>
      </c>
      <c r="C1459">
        <v>552</v>
      </c>
      <c r="D1459">
        <v>5</v>
      </c>
      <c r="E1459" t="s">
        <v>895</v>
      </c>
      <c r="F1459" t="s">
        <v>896</v>
      </c>
      <c r="G1459" t="s">
        <v>898</v>
      </c>
    </row>
    <row r="1460" spans="1:7" x14ac:dyDescent="0.25">
      <c r="A1460" t="s">
        <v>553</v>
      </c>
      <c r="B1460">
        <v>9</v>
      </c>
      <c r="C1460">
        <v>-6</v>
      </c>
      <c r="D1460">
        <v>2</v>
      </c>
      <c r="E1460" t="s">
        <v>895</v>
      </c>
      <c r="F1460" t="s">
        <v>899</v>
      </c>
      <c r="G1460" t="s">
        <v>887</v>
      </c>
    </row>
    <row r="1461" spans="1:7" x14ac:dyDescent="0.25">
      <c r="A1461" t="s">
        <v>753</v>
      </c>
      <c r="B1461">
        <v>16</v>
      </c>
      <c r="C1461">
        <v>-12</v>
      </c>
      <c r="D1461">
        <v>2</v>
      </c>
      <c r="E1461" t="s">
        <v>895</v>
      </c>
      <c r="F1461" t="s">
        <v>903</v>
      </c>
      <c r="G1461" t="s">
        <v>898</v>
      </c>
    </row>
    <row r="1462" spans="1:7" x14ac:dyDescent="0.25">
      <c r="A1462" t="s">
        <v>40</v>
      </c>
      <c r="B1462">
        <v>9</v>
      </c>
      <c r="C1462">
        <v>3</v>
      </c>
      <c r="D1462">
        <v>1</v>
      </c>
      <c r="E1462" t="s">
        <v>895</v>
      </c>
      <c r="F1462" t="s">
        <v>901</v>
      </c>
      <c r="G1462" t="s">
        <v>887</v>
      </c>
    </row>
    <row r="1463" spans="1:7" x14ac:dyDescent="0.25">
      <c r="A1463" t="s">
        <v>104</v>
      </c>
      <c r="B1463">
        <v>1560</v>
      </c>
      <c r="C1463">
        <v>421</v>
      </c>
      <c r="D1463">
        <v>3</v>
      </c>
      <c r="E1463" t="s">
        <v>895</v>
      </c>
      <c r="F1463" t="s">
        <v>896</v>
      </c>
      <c r="G1463" t="s">
        <v>887</v>
      </c>
    </row>
    <row r="1464" spans="1:7" x14ac:dyDescent="0.25">
      <c r="A1464" t="s">
        <v>183</v>
      </c>
      <c r="B1464">
        <v>1137</v>
      </c>
      <c r="C1464">
        <v>568</v>
      </c>
      <c r="D1464">
        <v>2</v>
      </c>
      <c r="E1464" t="s">
        <v>895</v>
      </c>
      <c r="F1464" t="s">
        <v>896</v>
      </c>
      <c r="G1464" t="s">
        <v>890</v>
      </c>
    </row>
    <row r="1465" spans="1:7" x14ac:dyDescent="0.25">
      <c r="A1465" t="s">
        <v>497</v>
      </c>
      <c r="B1465">
        <v>9</v>
      </c>
      <c r="C1465">
        <v>-9</v>
      </c>
      <c r="D1465">
        <v>2</v>
      </c>
      <c r="E1465" t="s">
        <v>895</v>
      </c>
      <c r="F1465" t="s">
        <v>900</v>
      </c>
      <c r="G1465" t="s">
        <v>887</v>
      </c>
    </row>
    <row r="1466" spans="1:7" x14ac:dyDescent="0.25">
      <c r="A1466" t="s">
        <v>718</v>
      </c>
      <c r="B1466">
        <v>15</v>
      </c>
      <c r="C1466">
        <v>-7</v>
      </c>
      <c r="D1466">
        <v>1</v>
      </c>
      <c r="E1466" t="s">
        <v>895</v>
      </c>
      <c r="F1466" t="s">
        <v>899</v>
      </c>
      <c r="G1466" t="s">
        <v>898</v>
      </c>
    </row>
    <row r="1467" spans="1:7" x14ac:dyDescent="0.25">
      <c r="A1467" t="s">
        <v>313</v>
      </c>
      <c r="B1467">
        <v>14</v>
      </c>
      <c r="C1467">
        <v>5</v>
      </c>
      <c r="D1467">
        <v>1</v>
      </c>
      <c r="E1467" t="s">
        <v>895</v>
      </c>
      <c r="F1467" t="s">
        <v>899</v>
      </c>
      <c r="G1467" t="s">
        <v>898</v>
      </c>
    </row>
    <row r="1468" spans="1:7" x14ac:dyDescent="0.25">
      <c r="A1468" t="s">
        <v>351</v>
      </c>
      <c r="B1468">
        <v>14</v>
      </c>
      <c r="C1468">
        <v>7</v>
      </c>
      <c r="D1468">
        <v>2</v>
      </c>
      <c r="E1468" t="s">
        <v>895</v>
      </c>
      <c r="F1468" t="s">
        <v>899</v>
      </c>
      <c r="G1468" t="s">
        <v>898</v>
      </c>
    </row>
    <row r="1469" spans="1:7" x14ac:dyDescent="0.25">
      <c r="A1469" t="s">
        <v>130</v>
      </c>
      <c r="B1469">
        <v>8</v>
      </c>
      <c r="C1469">
        <v>-2</v>
      </c>
      <c r="D1469">
        <v>2</v>
      </c>
      <c r="E1469" t="s">
        <v>895</v>
      </c>
      <c r="F1469" t="s">
        <v>899</v>
      </c>
      <c r="G1469" t="s">
        <v>887</v>
      </c>
    </row>
    <row r="1470" spans="1:7" x14ac:dyDescent="0.25">
      <c r="A1470" t="s">
        <v>124</v>
      </c>
      <c r="B1470">
        <v>1389</v>
      </c>
      <c r="C1470">
        <v>680</v>
      </c>
      <c r="D1470">
        <v>7</v>
      </c>
      <c r="E1470" t="s">
        <v>895</v>
      </c>
      <c r="F1470" t="s">
        <v>897</v>
      </c>
      <c r="G1470" t="s">
        <v>887</v>
      </c>
    </row>
    <row r="1471" spans="1:7" x14ac:dyDescent="0.25">
      <c r="A1471" t="s">
        <v>541</v>
      </c>
      <c r="B1471">
        <v>8</v>
      </c>
      <c r="C1471">
        <v>-1</v>
      </c>
      <c r="D1471">
        <v>2</v>
      </c>
      <c r="E1471" t="s">
        <v>895</v>
      </c>
      <c r="F1471" t="s">
        <v>904</v>
      </c>
      <c r="G1471" t="s">
        <v>887</v>
      </c>
    </row>
    <row r="1472" spans="1:7" x14ac:dyDescent="0.25">
      <c r="A1472" t="s">
        <v>879</v>
      </c>
      <c r="B1472">
        <v>8</v>
      </c>
      <c r="C1472">
        <v>-2</v>
      </c>
      <c r="D1472">
        <v>1</v>
      </c>
      <c r="E1472" t="s">
        <v>895</v>
      </c>
      <c r="F1472" t="s">
        <v>903</v>
      </c>
      <c r="G1472" t="s">
        <v>887</v>
      </c>
    </row>
    <row r="1473" spans="1:7" x14ac:dyDescent="0.25">
      <c r="A1473" t="s">
        <v>91</v>
      </c>
      <c r="B1473">
        <v>13</v>
      </c>
      <c r="C1473">
        <v>4</v>
      </c>
      <c r="D1473">
        <v>1</v>
      </c>
      <c r="E1473" t="s">
        <v>895</v>
      </c>
      <c r="F1473" t="s">
        <v>904</v>
      </c>
      <c r="G1473" t="s">
        <v>898</v>
      </c>
    </row>
    <row r="1474" spans="1:7" x14ac:dyDescent="0.25">
      <c r="A1474" t="s">
        <v>878</v>
      </c>
      <c r="B1474">
        <v>8</v>
      </c>
      <c r="C1474">
        <v>-6</v>
      </c>
      <c r="D1474">
        <v>1</v>
      </c>
      <c r="E1474" t="s">
        <v>895</v>
      </c>
      <c r="F1474" t="s">
        <v>903</v>
      </c>
      <c r="G1474" t="s">
        <v>887</v>
      </c>
    </row>
    <row r="1475" spans="1:7" x14ac:dyDescent="0.25">
      <c r="A1475" t="s">
        <v>87</v>
      </c>
      <c r="B1475">
        <v>12</v>
      </c>
      <c r="C1475">
        <v>2</v>
      </c>
      <c r="D1475">
        <v>2</v>
      </c>
      <c r="E1475" t="s">
        <v>895</v>
      </c>
      <c r="F1475" t="s">
        <v>901</v>
      </c>
      <c r="G1475" t="s">
        <v>893</v>
      </c>
    </row>
    <row r="1476" spans="1:7" x14ac:dyDescent="0.25">
      <c r="A1476" t="s">
        <v>23</v>
      </c>
      <c r="B1476">
        <v>1716</v>
      </c>
      <c r="C1476">
        <v>309</v>
      </c>
      <c r="D1476">
        <v>7</v>
      </c>
      <c r="E1476" t="s">
        <v>885</v>
      </c>
      <c r="F1476" t="s">
        <v>905</v>
      </c>
      <c r="G1476" t="s">
        <v>887</v>
      </c>
    </row>
    <row r="1477" spans="1:7" x14ac:dyDescent="0.25">
      <c r="A1477" t="s">
        <v>192</v>
      </c>
      <c r="B1477">
        <v>1117</v>
      </c>
      <c r="C1477">
        <v>447</v>
      </c>
      <c r="D1477">
        <v>10</v>
      </c>
      <c r="E1477" t="s">
        <v>888</v>
      </c>
      <c r="F1477" t="s">
        <v>891</v>
      </c>
      <c r="G1477" t="s">
        <v>890</v>
      </c>
    </row>
    <row r="1478" spans="1:7" x14ac:dyDescent="0.25">
      <c r="A1478" t="s">
        <v>434</v>
      </c>
      <c r="B1478">
        <v>9</v>
      </c>
      <c r="C1478">
        <v>-6</v>
      </c>
      <c r="D1478">
        <v>2</v>
      </c>
      <c r="E1478" t="s">
        <v>895</v>
      </c>
      <c r="F1478" t="s">
        <v>901</v>
      </c>
      <c r="G1478" t="s">
        <v>893</v>
      </c>
    </row>
    <row r="1479" spans="1:7" x14ac:dyDescent="0.25">
      <c r="A1479" t="s">
        <v>62</v>
      </c>
      <c r="B1479">
        <v>332</v>
      </c>
      <c r="C1479">
        <v>503</v>
      </c>
      <c r="D1479">
        <v>3</v>
      </c>
      <c r="E1479" t="s">
        <v>885</v>
      </c>
      <c r="F1479" t="s">
        <v>892</v>
      </c>
      <c r="G1479" t="s">
        <v>887</v>
      </c>
    </row>
    <row r="1480" spans="1:7" x14ac:dyDescent="0.25">
      <c r="A1480" t="s">
        <v>434</v>
      </c>
      <c r="B1480">
        <v>7</v>
      </c>
      <c r="C1480">
        <v>-4</v>
      </c>
      <c r="D1480">
        <v>3</v>
      </c>
      <c r="E1480" t="s">
        <v>895</v>
      </c>
      <c r="F1480" t="s">
        <v>899</v>
      </c>
      <c r="G1480" t="s">
        <v>887</v>
      </c>
    </row>
    <row r="1481" spans="1:7" x14ac:dyDescent="0.25">
      <c r="A1481" t="s">
        <v>158</v>
      </c>
      <c r="B1481">
        <v>8</v>
      </c>
      <c r="C1481">
        <v>-2</v>
      </c>
      <c r="D1481">
        <v>3</v>
      </c>
      <c r="E1481" t="s">
        <v>895</v>
      </c>
      <c r="F1481" t="s">
        <v>899</v>
      </c>
      <c r="G1481" t="s">
        <v>893</v>
      </c>
    </row>
    <row r="1482" spans="1:7" x14ac:dyDescent="0.25">
      <c r="A1482" t="s">
        <v>53</v>
      </c>
      <c r="B1482">
        <v>2061</v>
      </c>
      <c r="C1482">
        <v>701</v>
      </c>
      <c r="D1482">
        <v>5</v>
      </c>
      <c r="E1482" t="s">
        <v>888</v>
      </c>
      <c r="F1482" t="s">
        <v>891</v>
      </c>
      <c r="G1482" t="s">
        <v>898</v>
      </c>
    </row>
    <row r="1483" spans="1:7" x14ac:dyDescent="0.25">
      <c r="A1483" t="s">
        <v>194</v>
      </c>
      <c r="B1483">
        <v>1103</v>
      </c>
      <c r="C1483">
        <v>276</v>
      </c>
      <c r="D1483">
        <v>3</v>
      </c>
      <c r="E1483" t="s">
        <v>888</v>
      </c>
      <c r="F1483" t="s">
        <v>889</v>
      </c>
      <c r="G1483" t="s">
        <v>890</v>
      </c>
    </row>
    <row r="1484" spans="1:7" x14ac:dyDescent="0.25">
      <c r="A1484" t="s">
        <v>48</v>
      </c>
      <c r="B1484">
        <v>2103</v>
      </c>
      <c r="C1484">
        <v>322</v>
      </c>
      <c r="D1484">
        <v>8</v>
      </c>
      <c r="E1484" t="s">
        <v>885</v>
      </c>
      <c r="F1484" t="s">
        <v>886</v>
      </c>
      <c r="G1484" t="s">
        <v>898</v>
      </c>
    </row>
    <row r="1485" spans="1:7" x14ac:dyDescent="0.25">
      <c r="A1485" t="s">
        <v>44</v>
      </c>
      <c r="B1485">
        <v>2115</v>
      </c>
      <c r="C1485">
        <v>23</v>
      </c>
      <c r="D1485">
        <v>5</v>
      </c>
      <c r="E1485" t="s">
        <v>888</v>
      </c>
      <c r="F1485" t="s">
        <v>889</v>
      </c>
      <c r="G1485" t="s">
        <v>887</v>
      </c>
    </row>
    <row r="1486" spans="1:7" x14ac:dyDescent="0.25">
      <c r="A1486" t="s">
        <v>89</v>
      </c>
      <c r="B1486">
        <v>850</v>
      </c>
      <c r="C1486">
        <v>-289</v>
      </c>
      <c r="D1486">
        <v>5</v>
      </c>
      <c r="E1486" t="s">
        <v>885</v>
      </c>
      <c r="F1486" t="s">
        <v>886</v>
      </c>
      <c r="G1486" t="s">
        <v>887</v>
      </c>
    </row>
    <row r="1487" spans="1:7" x14ac:dyDescent="0.25">
      <c r="A1487" t="s">
        <v>57</v>
      </c>
      <c r="B1487">
        <v>1063</v>
      </c>
      <c r="C1487">
        <v>64</v>
      </c>
      <c r="D1487">
        <v>7</v>
      </c>
      <c r="E1487" t="s">
        <v>885</v>
      </c>
      <c r="F1487" t="s">
        <v>894</v>
      </c>
      <c r="G1487" t="s">
        <v>890</v>
      </c>
    </row>
    <row r="1488" spans="1:7" x14ac:dyDescent="0.25">
      <c r="A1488" t="s">
        <v>202</v>
      </c>
      <c r="B1488">
        <v>1063</v>
      </c>
      <c r="C1488">
        <v>-175</v>
      </c>
      <c r="D1488">
        <v>4</v>
      </c>
      <c r="E1488" t="s">
        <v>885</v>
      </c>
      <c r="F1488" t="s">
        <v>886</v>
      </c>
      <c r="G1488" t="s">
        <v>890</v>
      </c>
    </row>
    <row r="1489" spans="1:7" x14ac:dyDescent="0.25">
      <c r="A1489" t="s">
        <v>42</v>
      </c>
      <c r="B1489">
        <v>2292</v>
      </c>
      <c r="C1489">
        <v>127</v>
      </c>
      <c r="D1489">
        <v>7</v>
      </c>
      <c r="E1489" t="s">
        <v>888</v>
      </c>
      <c r="F1489" t="s">
        <v>891</v>
      </c>
      <c r="G1489" t="s">
        <v>887</v>
      </c>
    </row>
    <row r="1490" spans="1:7" x14ac:dyDescent="0.25">
      <c r="A1490" t="s">
        <v>539</v>
      </c>
      <c r="B1490">
        <v>7</v>
      </c>
      <c r="C1490">
        <v>-1</v>
      </c>
      <c r="D1490">
        <v>2</v>
      </c>
      <c r="E1490" t="s">
        <v>895</v>
      </c>
      <c r="F1490" t="s">
        <v>899</v>
      </c>
      <c r="G1490" t="s">
        <v>893</v>
      </c>
    </row>
    <row r="1491" spans="1:7" x14ac:dyDescent="0.25">
      <c r="A1491" t="s">
        <v>36</v>
      </c>
      <c r="B1491">
        <v>2452</v>
      </c>
      <c r="C1491">
        <v>191</v>
      </c>
      <c r="D1491">
        <v>7</v>
      </c>
      <c r="E1491" t="s">
        <v>888</v>
      </c>
      <c r="F1491" t="s">
        <v>891</v>
      </c>
      <c r="G1491" t="s">
        <v>898</v>
      </c>
    </row>
    <row r="1492" spans="1:7" x14ac:dyDescent="0.25">
      <c r="A1492" t="s">
        <v>34</v>
      </c>
      <c r="B1492">
        <v>2457</v>
      </c>
      <c r="C1492">
        <v>665</v>
      </c>
      <c r="D1492">
        <v>11</v>
      </c>
      <c r="E1492" t="s">
        <v>885</v>
      </c>
      <c r="F1492" t="s">
        <v>886</v>
      </c>
      <c r="G1492" t="s">
        <v>890</v>
      </c>
    </row>
    <row r="1493" spans="1:7" x14ac:dyDescent="0.25">
      <c r="A1493" t="s">
        <v>152</v>
      </c>
      <c r="B1493">
        <v>4</v>
      </c>
      <c r="C1493">
        <v>-3</v>
      </c>
      <c r="D1493">
        <v>1</v>
      </c>
      <c r="E1493" t="s">
        <v>895</v>
      </c>
      <c r="F1493" t="s">
        <v>901</v>
      </c>
      <c r="G1493" t="s">
        <v>893</v>
      </c>
    </row>
    <row r="1494" spans="1:7" x14ac:dyDescent="0.25">
      <c r="A1494" t="s">
        <v>28</v>
      </c>
      <c r="B1494">
        <v>2830</v>
      </c>
      <c r="C1494">
        <v>-1981</v>
      </c>
      <c r="D1494">
        <v>13</v>
      </c>
      <c r="E1494" t="s">
        <v>888</v>
      </c>
      <c r="F1494" t="s">
        <v>891</v>
      </c>
      <c r="G1494" t="s">
        <v>890</v>
      </c>
    </row>
    <row r="1495" spans="1:7" x14ac:dyDescent="0.25">
      <c r="A1495" t="s">
        <v>160</v>
      </c>
      <c r="B1495">
        <v>7</v>
      </c>
      <c r="C1495">
        <v>1</v>
      </c>
      <c r="D1495">
        <v>1</v>
      </c>
      <c r="E1495" t="s">
        <v>895</v>
      </c>
      <c r="F1495" t="s">
        <v>899</v>
      </c>
      <c r="G1495" t="s">
        <v>887</v>
      </c>
    </row>
    <row r="1496" spans="1:7" x14ac:dyDescent="0.25">
      <c r="A1496" t="s">
        <v>775</v>
      </c>
      <c r="B1496">
        <v>7</v>
      </c>
      <c r="C1496">
        <v>0</v>
      </c>
      <c r="D1496">
        <v>2</v>
      </c>
      <c r="E1496" t="s">
        <v>895</v>
      </c>
      <c r="F1496" t="s">
        <v>901</v>
      </c>
      <c r="G1496" t="s">
        <v>887</v>
      </c>
    </row>
    <row r="1497" spans="1:7" x14ac:dyDescent="0.25">
      <c r="A1497" t="s">
        <v>661</v>
      </c>
      <c r="B1497">
        <v>7</v>
      </c>
      <c r="C1497">
        <v>-3</v>
      </c>
      <c r="D1497">
        <v>2</v>
      </c>
      <c r="E1497" t="s">
        <v>895</v>
      </c>
      <c r="F1497" t="s">
        <v>899</v>
      </c>
      <c r="G1497" t="s">
        <v>887</v>
      </c>
    </row>
    <row r="1498" spans="1:7" x14ac:dyDescent="0.25">
      <c r="A1498" t="s">
        <v>16</v>
      </c>
      <c r="B1498">
        <v>3151</v>
      </c>
      <c r="C1498">
        <v>-35</v>
      </c>
      <c r="D1498">
        <v>7</v>
      </c>
      <c r="E1498" t="s">
        <v>895</v>
      </c>
      <c r="F1498" t="s">
        <v>896</v>
      </c>
      <c r="G1498" t="s">
        <v>890</v>
      </c>
    </row>
    <row r="1499" spans="1:7" x14ac:dyDescent="0.25">
      <c r="A1499" t="s">
        <v>10</v>
      </c>
      <c r="B1499">
        <v>4141</v>
      </c>
      <c r="C1499">
        <v>1698</v>
      </c>
      <c r="D1499">
        <v>13</v>
      </c>
      <c r="E1499" t="s">
        <v>885</v>
      </c>
      <c r="F1499" t="s">
        <v>892</v>
      </c>
      <c r="G1499" t="s">
        <v>887</v>
      </c>
    </row>
    <row r="1500" spans="1:7" x14ac:dyDescent="0.25">
      <c r="A1500" t="s">
        <v>379</v>
      </c>
      <c r="B1500">
        <v>7</v>
      </c>
      <c r="C1500">
        <v>-2</v>
      </c>
      <c r="D1500">
        <v>1</v>
      </c>
      <c r="E1500" t="s">
        <v>895</v>
      </c>
      <c r="F1500" t="s">
        <v>899</v>
      </c>
      <c r="G1500" t="s">
        <v>887</v>
      </c>
    </row>
    <row r="1501" spans="1:7" x14ac:dyDescent="0.25">
      <c r="A1501" t="s">
        <v>7</v>
      </c>
      <c r="B1501">
        <v>4363</v>
      </c>
      <c r="C1501">
        <v>305</v>
      </c>
      <c r="D1501">
        <v>5</v>
      </c>
      <c r="E1501" t="s">
        <v>888</v>
      </c>
      <c r="F1501" t="s">
        <v>902</v>
      </c>
      <c r="G1501" t="s">
        <v>890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E9B18-1748-4E0C-9678-8A4DE21C39D1}">
  <dimension ref="A1:R1501"/>
  <sheetViews>
    <sheetView workbookViewId="0">
      <selection activeCell="F18" sqref="F18"/>
    </sheetView>
  </sheetViews>
  <sheetFormatPr defaultRowHeight="15" x14ac:dyDescent="0.25"/>
  <cols>
    <col min="1" max="1" width="10.42578125" bestFit="1" customWidth="1"/>
    <col min="2" max="2" width="11.7109375" style="4" bestFit="1" customWidth="1"/>
    <col min="3" max="3" width="9.85546875" style="4" bestFit="1" customWidth="1"/>
    <col min="4" max="4" width="11" style="3" bestFit="1" customWidth="1"/>
    <col min="5" max="5" width="11.42578125" bestFit="1" customWidth="1"/>
    <col min="6" max="6" width="16.42578125" bestFit="1" customWidth="1"/>
    <col min="7" max="7" width="16.28515625" bestFit="1" customWidth="1"/>
    <col min="8" max="8" width="12.7109375" style="5" bestFit="1" customWidth="1"/>
    <col min="9" max="9" width="17.7109375" bestFit="1" customWidth="1"/>
    <col min="10" max="10" width="19.42578125" bestFit="1" customWidth="1"/>
    <col min="11" max="11" width="20" bestFit="1" customWidth="1"/>
    <col min="12" max="12" width="9.140625" style="3"/>
    <col min="13" max="13" width="16.42578125" style="3" bestFit="1" customWidth="1"/>
    <col min="14" max="14" width="14.28515625" style="8" bestFit="1" customWidth="1"/>
    <col min="15" max="15" width="13" style="8" bestFit="1" customWidth="1"/>
    <col min="16" max="16" width="14.28515625" style="7" bestFit="1" customWidth="1"/>
    <col min="18" max="18" width="13.7109375" bestFit="1" customWidth="1"/>
  </cols>
  <sheetData>
    <row r="1" spans="1:18" x14ac:dyDescent="0.25">
      <c r="A1" t="s">
        <v>911</v>
      </c>
      <c r="B1" s="4" t="s">
        <v>910</v>
      </c>
      <c r="C1" s="4" t="s">
        <v>881</v>
      </c>
      <c r="D1" s="3" t="s">
        <v>882</v>
      </c>
      <c r="E1" t="s">
        <v>883</v>
      </c>
      <c r="F1" t="s">
        <v>912</v>
      </c>
      <c r="G1" t="s">
        <v>884</v>
      </c>
      <c r="H1" s="5" t="s">
        <v>913</v>
      </c>
      <c r="I1" t="s">
        <v>0</v>
      </c>
      <c r="J1" t="s">
        <v>1</v>
      </c>
      <c r="K1" t="s">
        <v>2</v>
      </c>
      <c r="L1" s="3" t="s">
        <v>914</v>
      </c>
      <c r="M1" s="3" t="s">
        <v>915</v>
      </c>
      <c r="N1" s="8" t="s">
        <v>916</v>
      </c>
      <c r="O1" s="8" t="s">
        <v>917</v>
      </c>
      <c r="P1" s="7" t="s">
        <v>918</v>
      </c>
      <c r="Q1" t="s">
        <v>919</v>
      </c>
      <c r="R1" t="s">
        <v>920</v>
      </c>
    </row>
    <row r="2" spans="1:18" x14ac:dyDescent="0.25">
      <c r="A2" t="s">
        <v>85</v>
      </c>
      <c r="B2" s="4">
        <v>1096</v>
      </c>
      <c r="C2" s="4">
        <v>658</v>
      </c>
      <c r="D2" s="3">
        <v>7</v>
      </c>
      <c r="E2" t="s">
        <v>885</v>
      </c>
      <c r="F2" t="s">
        <v>886</v>
      </c>
      <c r="G2" t="s">
        <v>887</v>
      </c>
      <c r="H2" s="6">
        <f>_xlfn.XLOOKUP(A2,Orders[OrderID],Orders[OrderDate])</f>
        <v>43255</v>
      </c>
      <c r="I2" s="2" t="str">
        <f>_xlfn.XLOOKUP(A2,Orders[OrderID],Orders[CustomerName])</f>
        <v>Bhawna</v>
      </c>
      <c r="J2" s="2" t="str">
        <f>_xlfn.XLOOKUP(A2,Orders[OrderID],Orders[State])</f>
        <v>Madhya Pradesh</v>
      </c>
      <c r="K2" s="2" t="str">
        <f>_xlfn.XLOOKUP(A2,Orders[OrderID],Orders[City])</f>
        <v>Indore</v>
      </c>
      <c r="L2" s="3">
        <f>YEAR(Clean_Data[[#This Row],[OrderDate]])</f>
        <v>2018</v>
      </c>
      <c r="M2" s="3">
        <f>MONTH(Clean_Data[[#This Row],[OrderDate]])</f>
        <v>6</v>
      </c>
      <c r="N2" s="8" t="str">
        <f>TEXT(Clean_Data[[#This Row],[OrderDate]],"mmm")</f>
        <v>Jun</v>
      </c>
      <c r="O2" s="8" t="str">
        <f>TEXT(Clean_Data[[#This Row],[OrderDate]], "yyyy-mm")</f>
        <v>2018-06</v>
      </c>
      <c r="P2" s="7">
        <f>Clean_Data[[#This Row],[Profit]]/Clean_Data[[#This Row],[Revenue ]]</f>
        <v>0.60036496350364965</v>
      </c>
      <c r="Q2" t="str">
        <f>"Q"&amp;ROUNDUP(MONTH(Clean_Data[[#This Row],[OrderDate]])/3,0)</f>
        <v>Q2</v>
      </c>
      <c r="R2" t="str">
        <f>TEXT(Clean_Data[[#This Row],[OrderDate]], "dddd")</f>
        <v>Monday</v>
      </c>
    </row>
    <row r="3" spans="1:18" x14ac:dyDescent="0.25">
      <c r="A3" t="s">
        <v>3</v>
      </c>
      <c r="B3" s="4">
        <v>5729</v>
      </c>
      <c r="C3" s="4">
        <v>64</v>
      </c>
      <c r="D3" s="3">
        <v>14</v>
      </c>
      <c r="E3" t="s">
        <v>888</v>
      </c>
      <c r="F3" t="s">
        <v>889</v>
      </c>
      <c r="G3" t="s">
        <v>890</v>
      </c>
      <c r="H3" s="6">
        <f>_xlfn.XLOOKUP(A3,Orders[OrderID],Orders[OrderDate])</f>
        <v>43169</v>
      </c>
      <c r="I3" t="str">
        <f>_xlfn.XLOOKUP(A3,Orders[OrderID],Orders[CustomerName])</f>
        <v>Harivansh</v>
      </c>
      <c r="J3" t="str">
        <f>_xlfn.XLOOKUP(A3,Orders[OrderID],Orders[State])</f>
        <v>Uttar Pradesh</v>
      </c>
      <c r="K3" t="str">
        <f>_xlfn.XLOOKUP(A3,Orders[OrderID],Orders[City])</f>
        <v>Mathura</v>
      </c>
      <c r="L3" s="3">
        <f>YEAR(Clean_Data[[#This Row],[OrderDate]])</f>
        <v>2018</v>
      </c>
      <c r="M3" s="3">
        <f>MONTH(Clean_Data[[#This Row],[OrderDate]])</f>
        <v>3</v>
      </c>
      <c r="N3" s="8" t="str">
        <f>TEXT(Clean_Data[[#This Row],[OrderDate]],"mmm")</f>
        <v>Mar</v>
      </c>
      <c r="O3" s="8" t="str">
        <f>TEXT(Clean_Data[[#This Row],[OrderDate]], "yyyy-mm")</f>
        <v>2018-03</v>
      </c>
      <c r="P3" s="7">
        <f>Clean_Data[[#This Row],[Profit]]/Clean_Data[[#This Row],[Revenue ]]</f>
        <v>1.1171234072263921E-2</v>
      </c>
      <c r="Q3" t="str">
        <f>"Q"&amp;ROUNDUP(MONTH(Clean_Data[[#This Row],[OrderDate]])/3,0)</f>
        <v>Q1</v>
      </c>
      <c r="R3" t="str">
        <f>TEXT(Clean_Data[[#This Row],[OrderDate]], "dddd")</f>
        <v>Saturday</v>
      </c>
    </row>
    <row r="4" spans="1:18" x14ac:dyDescent="0.25">
      <c r="A4" t="s">
        <v>23</v>
      </c>
      <c r="B4" s="4">
        <v>2927</v>
      </c>
      <c r="C4" s="4">
        <v>146</v>
      </c>
      <c r="D4" s="3">
        <v>8</v>
      </c>
      <c r="E4" t="s">
        <v>888</v>
      </c>
      <c r="F4" t="s">
        <v>891</v>
      </c>
      <c r="G4" t="s">
        <v>890</v>
      </c>
      <c r="H4" s="6">
        <f>_xlfn.XLOOKUP(A4,Orders[OrderID],Orders[OrderDate])</f>
        <v>43116</v>
      </c>
      <c r="I4" t="str">
        <f>_xlfn.XLOOKUP(A4,Orders[OrderID],Orders[CustomerName])</f>
        <v>Shiva</v>
      </c>
      <c r="J4" t="str">
        <f>_xlfn.XLOOKUP(A4,Orders[OrderID],Orders[State])</f>
        <v>Maharashtra</v>
      </c>
      <c r="K4" t="str">
        <f>_xlfn.XLOOKUP(A4,Orders[OrderID],Orders[City])</f>
        <v>Pune</v>
      </c>
      <c r="L4" s="3">
        <f>YEAR(Clean_Data[[#This Row],[OrderDate]])</f>
        <v>2018</v>
      </c>
      <c r="M4" s="3">
        <f>MONTH(Clean_Data[[#This Row],[OrderDate]])</f>
        <v>1</v>
      </c>
      <c r="N4" s="8" t="str">
        <f>TEXT(Clean_Data[[#This Row],[OrderDate]],"mmm")</f>
        <v>Jan</v>
      </c>
      <c r="O4" s="8" t="str">
        <f>TEXT(Clean_Data[[#This Row],[OrderDate]], "yyyy-mm")</f>
        <v>2018-01</v>
      </c>
      <c r="P4" s="7">
        <f>Clean_Data[[#This Row],[Profit]]/Clean_Data[[#This Row],[Revenue ]]</f>
        <v>4.9880423641954219E-2</v>
      </c>
      <c r="Q4" t="str">
        <f>"Q"&amp;ROUNDUP(MONTH(Clean_Data[[#This Row],[OrderDate]])/3,0)</f>
        <v>Q1</v>
      </c>
      <c r="R4" t="str">
        <f>TEXT(Clean_Data[[#This Row],[OrderDate]], "dddd")</f>
        <v>Tuesday</v>
      </c>
    </row>
    <row r="5" spans="1:18" x14ac:dyDescent="0.25">
      <c r="A5" t="s">
        <v>26</v>
      </c>
      <c r="B5" s="4">
        <v>2847</v>
      </c>
      <c r="C5" s="4">
        <v>712</v>
      </c>
      <c r="D5" s="3">
        <v>8</v>
      </c>
      <c r="E5" t="s">
        <v>885</v>
      </c>
      <c r="F5" t="s">
        <v>892</v>
      </c>
      <c r="G5" t="s">
        <v>893</v>
      </c>
      <c r="H5" s="6">
        <f>_xlfn.XLOOKUP(A5,Orders[OrderID],Orders[OrderDate])</f>
        <v>43186</v>
      </c>
      <c r="I5" t="str">
        <f>_xlfn.XLOOKUP(A5,Orders[OrderID],Orders[CustomerName])</f>
        <v>Sarita</v>
      </c>
      <c r="J5" t="str">
        <f>_xlfn.XLOOKUP(A5,Orders[OrderID],Orders[State])</f>
        <v>Maharashtra</v>
      </c>
      <c r="K5" t="str">
        <f>_xlfn.XLOOKUP(A5,Orders[OrderID],Orders[City])</f>
        <v>Pune</v>
      </c>
      <c r="L5" s="3">
        <f>YEAR(Clean_Data[[#This Row],[OrderDate]])</f>
        <v>2018</v>
      </c>
      <c r="M5" s="3">
        <f>MONTH(Clean_Data[[#This Row],[OrderDate]])</f>
        <v>3</v>
      </c>
      <c r="N5" s="8" t="str">
        <f>TEXT(Clean_Data[[#This Row],[OrderDate]],"mmm")</f>
        <v>Mar</v>
      </c>
      <c r="O5" s="8" t="str">
        <f>TEXT(Clean_Data[[#This Row],[OrderDate]], "yyyy-mm")</f>
        <v>2018-03</v>
      </c>
      <c r="P5" s="7">
        <f>Clean_Data[[#This Row],[Profit]]/Clean_Data[[#This Row],[Revenue ]]</f>
        <v>0.25008781173164735</v>
      </c>
      <c r="Q5" t="str">
        <f>"Q"&amp;ROUNDUP(MONTH(Clean_Data[[#This Row],[OrderDate]])/3,0)</f>
        <v>Q1</v>
      </c>
      <c r="R5" t="str">
        <f>TEXT(Clean_Data[[#This Row],[OrderDate]], "dddd")</f>
        <v>Tuesday</v>
      </c>
    </row>
    <row r="6" spans="1:18" x14ac:dyDescent="0.25">
      <c r="A6" t="s">
        <v>32</v>
      </c>
      <c r="B6" s="4">
        <v>2617</v>
      </c>
      <c r="C6" s="4">
        <v>1151</v>
      </c>
      <c r="D6" s="3">
        <v>4</v>
      </c>
      <c r="E6" t="s">
        <v>885</v>
      </c>
      <c r="F6" t="s">
        <v>894</v>
      </c>
      <c r="G6" t="s">
        <v>893</v>
      </c>
      <c r="H6" s="6">
        <f>_xlfn.XLOOKUP(A6,Orders[OrderID],Orders[OrderDate])</f>
        <v>43191</v>
      </c>
      <c r="I6" t="str">
        <f>_xlfn.XLOOKUP(A6,Orders[OrderID],Orders[CustomerName])</f>
        <v>Vrinda</v>
      </c>
      <c r="J6" t="str">
        <f>_xlfn.XLOOKUP(A6,Orders[OrderID],Orders[State])</f>
        <v>Maharashtra</v>
      </c>
      <c r="K6" t="str">
        <f>_xlfn.XLOOKUP(A6,Orders[OrderID],Orders[City])</f>
        <v>Pune</v>
      </c>
      <c r="L6" s="3">
        <f>YEAR(Clean_Data[[#This Row],[OrderDate]])</f>
        <v>2018</v>
      </c>
      <c r="M6" s="3">
        <f>MONTH(Clean_Data[[#This Row],[OrderDate]])</f>
        <v>4</v>
      </c>
      <c r="N6" s="8" t="str">
        <f>TEXT(Clean_Data[[#This Row],[OrderDate]],"mmm")</f>
        <v>Apr</v>
      </c>
      <c r="O6" s="8" t="str">
        <f>TEXT(Clean_Data[[#This Row],[OrderDate]], "yyyy-mm")</f>
        <v>2018-04</v>
      </c>
      <c r="P6" s="7">
        <f>Clean_Data[[#This Row],[Profit]]/Clean_Data[[#This Row],[Revenue ]]</f>
        <v>0.43981658387466566</v>
      </c>
      <c r="Q6" t="str">
        <f>"Q"&amp;ROUNDUP(MONTH(Clean_Data[[#This Row],[OrderDate]])/3,0)</f>
        <v>Q2</v>
      </c>
      <c r="R6" t="str">
        <f>TEXT(Clean_Data[[#This Row],[OrderDate]], "dddd")</f>
        <v>Sunday</v>
      </c>
    </row>
    <row r="7" spans="1:18" x14ac:dyDescent="0.25">
      <c r="A7" t="s">
        <v>44</v>
      </c>
      <c r="B7" s="4">
        <v>2244</v>
      </c>
      <c r="C7" s="4">
        <v>247</v>
      </c>
      <c r="D7" s="3">
        <v>4</v>
      </c>
      <c r="E7" t="s">
        <v>895</v>
      </c>
      <c r="F7" t="s">
        <v>896</v>
      </c>
      <c r="G7" t="s">
        <v>893</v>
      </c>
      <c r="H7" s="6">
        <f>_xlfn.XLOOKUP(A7,Orders[OrderID],Orders[OrderDate])</f>
        <v>43429</v>
      </c>
      <c r="I7" t="str">
        <f>_xlfn.XLOOKUP(A7,Orders[OrderID],Orders[CustomerName])</f>
        <v>Lalita</v>
      </c>
      <c r="J7" t="str">
        <f>_xlfn.XLOOKUP(A7,Orders[OrderID],Orders[State])</f>
        <v>Uttar Pradesh</v>
      </c>
      <c r="K7" t="str">
        <f>_xlfn.XLOOKUP(A7,Orders[OrderID],Orders[City])</f>
        <v>Mathura</v>
      </c>
      <c r="L7" s="3">
        <f>YEAR(Clean_Data[[#This Row],[OrderDate]])</f>
        <v>2018</v>
      </c>
      <c r="M7" s="3">
        <f>MONTH(Clean_Data[[#This Row],[OrderDate]])</f>
        <v>11</v>
      </c>
      <c r="N7" s="8" t="str">
        <f>TEXT(Clean_Data[[#This Row],[OrderDate]],"mmm")</f>
        <v>Nov</v>
      </c>
      <c r="O7" s="8" t="str">
        <f>TEXT(Clean_Data[[#This Row],[OrderDate]], "yyyy-mm")</f>
        <v>2018-11</v>
      </c>
      <c r="P7" s="7">
        <f>Clean_Data[[#This Row],[Profit]]/Clean_Data[[#This Row],[Revenue ]]</f>
        <v>0.11007130124777184</v>
      </c>
      <c r="Q7" t="str">
        <f>"Q"&amp;ROUNDUP(MONTH(Clean_Data[[#This Row],[OrderDate]])/3,0)</f>
        <v>Q4</v>
      </c>
      <c r="R7" t="str">
        <f>TEXT(Clean_Data[[#This Row],[OrderDate]], "dddd")</f>
        <v>Sunday</v>
      </c>
    </row>
    <row r="8" spans="1:18" x14ac:dyDescent="0.25">
      <c r="A8" t="s">
        <v>237</v>
      </c>
      <c r="B8" s="4">
        <v>275</v>
      </c>
      <c r="C8" s="4">
        <v>-275</v>
      </c>
      <c r="D8" s="3">
        <v>4</v>
      </c>
      <c r="E8" t="s">
        <v>895</v>
      </c>
      <c r="F8" t="s">
        <v>897</v>
      </c>
      <c r="G8" t="s">
        <v>887</v>
      </c>
      <c r="H8" s="6">
        <f>_xlfn.XLOOKUP(A8,Orders[OrderID],Orders[OrderDate])</f>
        <v>43272</v>
      </c>
      <c r="I8" t="str">
        <f>_xlfn.XLOOKUP(A8,Orders[OrderID],Orders[CustomerName])</f>
        <v>Noopur</v>
      </c>
      <c r="J8" t="str">
        <f>_xlfn.XLOOKUP(A8,Orders[OrderID],Orders[State])</f>
        <v>Karnataka</v>
      </c>
      <c r="K8" t="str">
        <f>_xlfn.XLOOKUP(A8,Orders[OrderID],Orders[City])</f>
        <v>Bangalore</v>
      </c>
      <c r="L8" s="3">
        <f>YEAR(Clean_Data[[#This Row],[OrderDate]])</f>
        <v>2018</v>
      </c>
      <c r="M8" s="3">
        <f>MONTH(Clean_Data[[#This Row],[OrderDate]])</f>
        <v>6</v>
      </c>
      <c r="N8" s="8" t="str">
        <f>TEXT(Clean_Data[[#This Row],[OrderDate]],"mmm")</f>
        <v>Jun</v>
      </c>
      <c r="O8" s="8" t="str">
        <f>TEXT(Clean_Data[[#This Row],[OrderDate]], "yyyy-mm")</f>
        <v>2018-06</v>
      </c>
      <c r="P8" s="7">
        <f>Clean_Data[[#This Row],[Profit]]/Clean_Data[[#This Row],[Revenue ]]</f>
        <v>-1</v>
      </c>
      <c r="Q8" t="str">
        <f>"Q"&amp;ROUNDUP(MONTH(Clean_Data[[#This Row],[OrderDate]])/3,0)</f>
        <v>Q2</v>
      </c>
      <c r="R8" t="str">
        <f>TEXT(Clean_Data[[#This Row],[OrderDate]], "dddd")</f>
        <v>Thursday</v>
      </c>
    </row>
    <row r="9" spans="1:18" x14ac:dyDescent="0.25">
      <c r="A9" t="s">
        <v>442</v>
      </c>
      <c r="B9" s="4">
        <v>387</v>
      </c>
      <c r="C9" s="4">
        <v>-213</v>
      </c>
      <c r="D9" s="3">
        <v>5</v>
      </c>
      <c r="E9" t="s">
        <v>895</v>
      </c>
      <c r="F9" t="s">
        <v>897</v>
      </c>
      <c r="G9" t="s">
        <v>898</v>
      </c>
      <c r="H9" s="6">
        <f>_xlfn.XLOOKUP(A9,Orders[OrderID],Orders[OrderDate])</f>
        <v>43262</v>
      </c>
      <c r="I9" t="str">
        <f>_xlfn.XLOOKUP(A9,Orders[OrderID],Orders[CustomerName])</f>
        <v>Sanjna</v>
      </c>
      <c r="J9" t="str">
        <f>_xlfn.XLOOKUP(A9,Orders[OrderID],Orders[State])</f>
        <v>Maharashtra</v>
      </c>
      <c r="K9" t="str">
        <f>_xlfn.XLOOKUP(A9,Orders[OrderID],Orders[City])</f>
        <v>Mumbai</v>
      </c>
      <c r="L9" s="3">
        <f>YEAR(Clean_Data[[#This Row],[OrderDate]])</f>
        <v>2018</v>
      </c>
      <c r="M9" s="3">
        <f>MONTH(Clean_Data[[#This Row],[OrderDate]])</f>
        <v>6</v>
      </c>
      <c r="N9" s="8" t="str">
        <f>TEXT(Clean_Data[[#This Row],[OrderDate]],"mmm")</f>
        <v>Jun</v>
      </c>
      <c r="O9" s="8" t="str">
        <f>TEXT(Clean_Data[[#This Row],[OrderDate]], "yyyy-mm")</f>
        <v>2018-06</v>
      </c>
      <c r="P9" s="7">
        <f>Clean_Data[[#This Row],[Profit]]/Clean_Data[[#This Row],[Revenue ]]</f>
        <v>-0.55038759689922478</v>
      </c>
      <c r="Q9" t="str">
        <f>"Q"&amp;ROUNDUP(MONTH(Clean_Data[[#This Row],[OrderDate]])/3,0)</f>
        <v>Q2</v>
      </c>
      <c r="R9" t="str">
        <f>TEXT(Clean_Data[[#This Row],[OrderDate]], "dddd")</f>
        <v>Monday</v>
      </c>
    </row>
    <row r="10" spans="1:18" x14ac:dyDescent="0.25">
      <c r="A10" t="s">
        <v>204</v>
      </c>
      <c r="B10" s="4">
        <v>50</v>
      </c>
      <c r="C10" s="4">
        <v>-44</v>
      </c>
      <c r="D10" s="3">
        <v>2</v>
      </c>
      <c r="E10" t="s">
        <v>895</v>
      </c>
      <c r="F10" t="s">
        <v>899</v>
      </c>
      <c r="G10" t="s">
        <v>898</v>
      </c>
      <c r="H10" s="6">
        <f>_xlfn.XLOOKUP(A10,Orders[OrderID],Orders[OrderDate])</f>
        <v>43219</v>
      </c>
      <c r="I10" t="str">
        <f>_xlfn.XLOOKUP(A10,Orders[OrderID],Orders[CustomerName])</f>
        <v>Kirti</v>
      </c>
      <c r="J10" t="str">
        <f>_xlfn.XLOOKUP(A10,Orders[OrderID],Orders[State])</f>
        <v>Jammu and Kashmir</v>
      </c>
      <c r="K10" t="str">
        <f>_xlfn.XLOOKUP(A10,Orders[OrderID],Orders[City])</f>
        <v>Kashmir</v>
      </c>
      <c r="L10" s="3">
        <f>YEAR(Clean_Data[[#This Row],[OrderDate]])</f>
        <v>2018</v>
      </c>
      <c r="M10" s="3">
        <f>MONTH(Clean_Data[[#This Row],[OrderDate]])</f>
        <v>4</v>
      </c>
      <c r="N10" s="8" t="str">
        <f>TEXT(Clean_Data[[#This Row],[OrderDate]],"mmm")</f>
        <v>Apr</v>
      </c>
      <c r="O10" s="8" t="str">
        <f>TEXT(Clean_Data[[#This Row],[OrderDate]], "yyyy-mm")</f>
        <v>2018-04</v>
      </c>
      <c r="P10" s="7">
        <f>Clean_Data[[#This Row],[Profit]]/Clean_Data[[#This Row],[Revenue ]]</f>
        <v>-0.88</v>
      </c>
      <c r="Q10" t="str">
        <f>"Q"&amp;ROUNDUP(MONTH(Clean_Data[[#This Row],[OrderDate]])/3,0)</f>
        <v>Q2</v>
      </c>
      <c r="R10" t="str">
        <f>TEXT(Clean_Data[[#This Row],[OrderDate]], "dddd")</f>
        <v>Sunday</v>
      </c>
    </row>
    <row r="11" spans="1:18" x14ac:dyDescent="0.25">
      <c r="A11" t="s">
        <v>470</v>
      </c>
      <c r="B11" s="4">
        <v>135</v>
      </c>
      <c r="C11" s="4">
        <v>-54</v>
      </c>
      <c r="D11" s="3">
        <v>5</v>
      </c>
      <c r="E11" t="s">
        <v>895</v>
      </c>
      <c r="F11" t="s">
        <v>900</v>
      </c>
      <c r="G11" t="s">
        <v>887</v>
      </c>
      <c r="H11" s="6">
        <f>_xlfn.XLOOKUP(A11,Orders[OrderID],Orders[OrderDate])</f>
        <v>43410</v>
      </c>
      <c r="I11" t="str">
        <f>_xlfn.XLOOKUP(A11,Orders[OrderID],Orders[CustomerName])</f>
        <v>Kushal</v>
      </c>
      <c r="J11" t="str">
        <f>_xlfn.XLOOKUP(A11,Orders[OrderID],Orders[State])</f>
        <v>Nagaland</v>
      </c>
      <c r="K11" t="str">
        <f>_xlfn.XLOOKUP(A11,Orders[OrderID],Orders[City])</f>
        <v>Kohima</v>
      </c>
      <c r="L11" s="3">
        <f>YEAR(Clean_Data[[#This Row],[OrderDate]])</f>
        <v>2018</v>
      </c>
      <c r="M11" s="3">
        <f>MONTH(Clean_Data[[#This Row],[OrderDate]])</f>
        <v>11</v>
      </c>
      <c r="N11" s="8" t="str">
        <f>TEXT(Clean_Data[[#This Row],[OrderDate]],"mmm")</f>
        <v>Nov</v>
      </c>
      <c r="O11" s="8" t="str">
        <f>TEXT(Clean_Data[[#This Row],[OrderDate]], "yyyy-mm")</f>
        <v>2018-11</v>
      </c>
      <c r="P11" s="7">
        <f>Clean_Data[[#This Row],[Profit]]/Clean_Data[[#This Row],[Revenue ]]</f>
        <v>-0.4</v>
      </c>
      <c r="Q11" t="str">
        <f>"Q"&amp;ROUNDUP(MONTH(Clean_Data[[#This Row],[OrderDate]])/3,0)</f>
        <v>Q4</v>
      </c>
      <c r="R11" t="str">
        <f>TEXT(Clean_Data[[#This Row],[OrderDate]], "dddd")</f>
        <v>Tuesday</v>
      </c>
    </row>
    <row r="12" spans="1:18" x14ac:dyDescent="0.25">
      <c r="A12" t="s">
        <v>537</v>
      </c>
      <c r="B12" s="4">
        <v>231</v>
      </c>
      <c r="C12" s="4">
        <v>-190</v>
      </c>
      <c r="D12" s="3">
        <v>9</v>
      </c>
      <c r="E12" t="s">
        <v>895</v>
      </c>
      <c r="F12" t="s">
        <v>899</v>
      </c>
      <c r="G12" t="s">
        <v>887</v>
      </c>
      <c r="H12" s="6">
        <f>_xlfn.XLOOKUP(A12,Orders[OrderID],Orders[OrderDate])</f>
        <v>43279</v>
      </c>
      <c r="I12" t="str">
        <f>_xlfn.XLOOKUP(A12,Orders[OrderID],Orders[CustomerName])</f>
        <v>Ekta</v>
      </c>
      <c r="J12" t="str">
        <f>_xlfn.XLOOKUP(A12,Orders[OrderID],Orders[State])</f>
        <v>Madhya Pradesh</v>
      </c>
      <c r="K12" t="str">
        <f>_xlfn.XLOOKUP(A12,Orders[OrderID],Orders[City])</f>
        <v>Indore</v>
      </c>
      <c r="L12" s="3">
        <f>YEAR(Clean_Data[[#This Row],[OrderDate]])</f>
        <v>2018</v>
      </c>
      <c r="M12" s="3">
        <f>MONTH(Clean_Data[[#This Row],[OrderDate]])</f>
        <v>6</v>
      </c>
      <c r="N12" s="8" t="str">
        <f>TEXT(Clean_Data[[#This Row],[OrderDate]],"mmm")</f>
        <v>Jun</v>
      </c>
      <c r="O12" s="8" t="str">
        <f>TEXT(Clean_Data[[#This Row],[OrderDate]], "yyyy-mm")</f>
        <v>2018-06</v>
      </c>
      <c r="P12" s="7">
        <f>Clean_Data[[#This Row],[Profit]]/Clean_Data[[#This Row],[Revenue ]]</f>
        <v>-0.82251082251082253</v>
      </c>
      <c r="Q12" t="str">
        <f>"Q"&amp;ROUNDUP(MONTH(Clean_Data[[#This Row],[OrderDate]])/3,0)</f>
        <v>Q2</v>
      </c>
      <c r="R12" t="str">
        <f>TEXT(Clean_Data[[#This Row],[OrderDate]], "dddd")</f>
        <v>Thursday</v>
      </c>
    </row>
    <row r="13" spans="1:18" x14ac:dyDescent="0.25">
      <c r="A13" t="s">
        <v>47</v>
      </c>
      <c r="B13" s="4">
        <v>2125</v>
      </c>
      <c r="C13" s="4">
        <v>-234</v>
      </c>
      <c r="D13" s="3">
        <v>6</v>
      </c>
      <c r="E13" t="s">
        <v>885</v>
      </c>
      <c r="F13" t="s">
        <v>892</v>
      </c>
      <c r="G13" t="s">
        <v>890</v>
      </c>
      <c r="H13" s="6">
        <f>_xlfn.XLOOKUP(A13,Orders[OrderID],Orders[OrderDate])</f>
        <v>43435</v>
      </c>
      <c r="I13" t="str">
        <f>_xlfn.XLOOKUP(A13,Orders[OrderID],Orders[CustomerName])</f>
        <v>Vishakha</v>
      </c>
      <c r="J13" t="str">
        <f>_xlfn.XLOOKUP(A13,Orders[OrderID],Orders[State])</f>
        <v>Uttar Pradesh</v>
      </c>
      <c r="K13" t="str">
        <f>_xlfn.XLOOKUP(A13,Orders[OrderID],Orders[City])</f>
        <v>Prayagraj</v>
      </c>
      <c r="L13" s="3">
        <f>YEAR(Clean_Data[[#This Row],[OrderDate]])</f>
        <v>2018</v>
      </c>
      <c r="M13" s="3">
        <f>MONTH(Clean_Data[[#This Row],[OrderDate]])</f>
        <v>12</v>
      </c>
      <c r="N13" s="8" t="str">
        <f>TEXT(Clean_Data[[#This Row],[OrderDate]],"mmm")</f>
        <v>Dec</v>
      </c>
      <c r="O13" s="8" t="str">
        <f>TEXT(Clean_Data[[#This Row],[OrderDate]], "yyyy-mm")</f>
        <v>2018-12</v>
      </c>
      <c r="P13" s="7">
        <f>Clean_Data[[#This Row],[Profit]]/Clean_Data[[#This Row],[Revenue ]]</f>
        <v>-0.11011764705882353</v>
      </c>
      <c r="Q13" t="str">
        <f>"Q"&amp;ROUNDUP(MONTH(Clean_Data[[#This Row],[OrderDate]])/3,0)</f>
        <v>Q4</v>
      </c>
      <c r="R13" t="str">
        <f>TEXT(Clean_Data[[#This Row],[OrderDate]], "dddd")</f>
        <v>Saturday</v>
      </c>
    </row>
    <row r="14" spans="1:18" x14ac:dyDescent="0.25">
      <c r="A14" t="s">
        <v>12</v>
      </c>
      <c r="B14" s="4">
        <v>3873</v>
      </c>
      <c r="C14" s="4">
        <v>-891</v>
      </c>
      <c r="D14" s="3">
        <v>6</v>
      </c>
      <c r="E14" t="s">
        <v>885</v>
      </c>
      <c r="F14" t="s">
        <v>894</v>
      </c>
      <c r="G14" t="s">
        <v>893</v>
      </c>
      <c r="H14" s="6">
        <f>_xlfn.XLOOKUP(A14,Orders[OrderID],Orders[OrderDate])</f>
        <v>43461</v>
      </c>
      <c r="I14" t="str">
        <f>_xlfn.XLOOKUP(A14,Orders[OrderID],Orders[CustomerName])</f>
        <v>Gopal</v>
      </c>
      <c r="J14" t="str">
        <f>_xlfn.XLOOKUP(A14,Orders[OrderID],Orders[State])</f>
        <v>Maharashtra</v>
      </c>
      <c r="K14" t="str">
        <f>_xlfn.XLOOKUP(A14,Orders[OrderID],Orders[City])</f>
        <v>Mumbai</v>
      </c>
      <c r="L14" s="3">
        <f>YEAR(Clean_Data[[#This Row],[OrderDate]])</f>
        <v>2018</v>
      </c>
      <c r="M14" s="3">
        <f>MONTH(Clean_Data[[#This Row],[OrderDate]])</f>
        <v>12</v>
      </c>
      <c r="N14" s="8" t="str">
        <f>TEXT(Clean_Data[[#This Row],[OrderDate]],"mmm")</f>
        <v>Dec</v>
      </c>
      <c r="O14" s="8" t="str">
        <f>TEXT(Clean_Data[[#This Row],[OrderDate]], "yyyy-mm")</f>
        <v>2018-12</v>
      </c>
      <c r="P14" s="7">
        <f>Clean_Data[[#This Row],[Profit]]/Clean_Data[[#This Row],[Revenue ]]</f>
        <v>-0.23005422153369481</v>
      </c>
      <c r="Q14" t="str">
        <f>"Q"&amp;ROUNDUP(MONTH(Clean_Data[[#This Row],[OrderDate]])/3,0)</f>
        <v>Q4</v>
      </c>
      <c r="R14" t="str">
        <f>TEXT(Clean_Data[[#This Row],[OrderDate]], "dddd")</f>
        <v>Thursday</v>
      </c>
    </row>
    <row r="15" spans="1:18" x14ac:dyDescent="0.25">
      <c r="A15" t="s">
        <v>295</v>
      </c>
      <c r="B15" s="4">
        <v>729</v>
      </c>
      <c r="C15" s="4">
        <v>-492</v>
      </c>
      <c r="D15" s="3">
        <v>5</v>
      </c>
      <c r="E15" t="s">
        <v>888</v>
      </c>
      <c r="F15" t="s">
        <v>891</v>
      </c>
      <c r="G15" t="s">
        <v>898</v>
      </c>
      <c r="H15" s="6">
        <f>_xlfn.XLOOKUP(A15,Orders[OrderID],Orders[OrderDate])</f>
        <v>43332</v>
      </c>
      <c r="I15" t="str">
        <f>_xlfn.XLOOKUP(A15,Orders[OrderID],Orders[CustomerName])</f>
        <v>Mohan</v>
      </c>
      <c r="J15" t="str">
        <f>_xlfn.XLOOKUP(A15,Orders[OrderID],Orders[State])</f>
        <v>Maharashtra</v>
      </c>
      <c r="K15" t="str">
        <f>_xlfn.XLOOKUP(A15,Orders[OrderID],Orders[City])</f>
        <v>Mumbai</v>
      </c>
      <c r="L15" s="3">
        <f>YEAR(Clean_Data[[#This Row],[OrderDate]])</f>
        <v>2018</v>
      </c>
      <c r="M15" s="3">
        <f>MONTH(Clean_Data[[#This Row],[OrderDate]])</f>
        <v>8</v>
      </c>
      <c r="N15" s="8" t="str">
        <f>TEXT(Clean_Data[[#This Row],[OrderDate]],"mmm")</f>
        <v>Aug</v>
      </c>
      <c r="O15" s="8" t="str">
        <f>TEXT(Clean_Data[[#This Row],[OrderDate]], "yyyy-mm")</f>
        <v>2018-08</v>
      </c>
      <c r="P15" s="7">
        <f>Clean_Data[[#This Row],[Profit]]/Clean_Data[[#This Row],[Revenue ]]</f>
        <v>-0.67489711934156382</v>
      </c>
      <c r="Q15" t="str">
        <f>"Q"&amp;ROUNDUP(MONTH(Clean_Data[[#This Row],[OrderDate]])/3,0)</f>
        <v>Q3</v>
      </c>
      <c r="R15" t="str">
        <f>TEXT(Clean_Data[[#This Row],[OrderDate]], "dddd")</f>
        <v>Monday</v>
      </c>
    </row>
    <row r="16" spans="1:18" x14ac:dyDescent="0.25">
      <c r="A16" t="s">
        <v>46</v>
      </c>
      <c r="B16" s="4">
        <v>2188</v>
      </c>
      <c r="C16" s="4">
        <v>1050</v>
      </c>
      <c r="D16" s="3">
        <v>5</v>
      </c>
      <c r="E16" t="s">
        <v>888</v>
      </c>
      <c r="F16" t="s">
        <v>891</v>
      </c>
      <c r="G16" t="s">
        <v>893</v>
      </c>
      <c r="H16" s="6">
        <f>_xlfn.XLOOKUP(A16,Orders[OrderID],Orders[OrderDate])</f>
        <v>43337</v>
      </c>
      <c r="I16" t="str">
        <f>_xlfn.XLOOKUP(A16,Orders[OrderID],Orders[CustomerName])</f>
        <v>Madhav</v>
      </c>
      <c r="J16" t="str">
        <f>_xlfn.XLOOKUP(A16,Orders[OrderID],Orders[State])</f>
        <v>Uttar Pradesh</v>
      </c>
      <c r="K16" t="str">
        <f>_xlfn.XLOOKUP(A16,Orders[OrderID],Orders[City])</f>
        <v>Mathura</v>
      </c>
      <c r="L16" s="3">
        <f>YEAR(Clean_Data[[#This Row],[OrderDate]])</f>
        <v>2018</v>
      </c>
      <c r="M16" s="3">
        <f>MONTH(Clean_Data[[#This Row],[OrderDate]])</f>
        <v>8</v>
      </c>
      <c r="N16" s="8" t="str">
        <f>TEXT(Clean_Data[[#This Row],[OrderDate]],"mmm")</f>
        <v>Aug</v>
      </c>
      <c r="O16" s="8" t="str">
        <f>TEXT(Clean_Data[[#This Row],[OrderDate]], "yyyy-mm")</f>
        <v>2018-08</v>
      </c>
      <c r="P16" s="7">
        <f>Clean_Data[[#This Row],[Profit]]/Clean_Data[[#This Row],[Revenue ]]</f>
        <v>0.47989031078610606</v>
      </c>
      <c r="Q16" t="str">
        <f>"Q"&amp;ROUNDUP(MONTH(Clean_Data[[#This Row],[OrderDate]])/3,0)</f>
        <v>Q3</v>
      </c>
      <c r="R16" t="str">
        <f>TEXT(Clean_Data[[#This Row],[OrderDate]], "dddd")</f>
        <v>Saturday</v>
      </c>
    </row>
    <row r="17" spans="1:18" x14ac:dyDescent="0.25">
      <c r="A17" t="s">
        <v>434</v>
      </c>
      <c r="B17" s="4">
        <v>6</v>
      </c>
      <c r="C17" s="4">
        <v>-3</v>
      </c>
      <c r="D17" s="3">
        <v>1</v>
      </c>
      <c r="E17" t="s">
        <v>895</v>
      </c>
      <c r="F17" t="s">
        <v>899</v>
      </c>
      <c r="G17" t="s">
        <v>898</v>
      </c>
      <c r="H17" s="6">
        <f>_xlfn.XLOOKUP(A17,Orders[OrderID],Orders[OrderDate])</f>
        <v>43231</v>
      </c>
      <c r="I17" t="str">
        <f>_xlfn.XLOOKUP(A17,Orders[OrderID],Orders[CustomerName])</f>
        <v>Nida</v>
      </c>
      <c r="J17" t="str">
        <f>_xlfn.XLOOKUP(A17,Orders[OrderID],Orders[State])</f>
        <v>Madhya Pradesh</v>
      </c>
      <c r="K17" t="str">
        <f>_xlfn.XLOOKUP(A17,Orders[OrderID],Orders[City])</f>
        <v>Indore</v>
      </c>
      <c r="L17" s="3">
        <f>YEAR(Clean_Data[[#This Row],[OrderDate]])</f>
        <v>2018</v>
      </c>
      <c r="M17" s="3">
        <f>MONTH(Clean_Data[[#This Row],[OrderDate]])</f>
        <v>5</v>
      </c>
      <c r="N17" s="8" t="str">
        <f>TEXT(Clean_Data[[#This Row],[OrderDate]],"mmm")</f>
        <v>May</v>
      </c>
      <c r="O17" s="8" t="str">
        <f>TEXT(Clean_Data[[#This Row],[OrderDate]], "yyyy-mm")</f>
        <v>2018-05</v>
      </c>
      <c r="P17" s="7">
        <f>Clean_Data[[#This Row],[Profit]]/Clean_Data[[#This Row],[Revenue ]]</f>
        <v>-0.5</v>
      </c>
      <c r="Q17" t="str">
        <f>"Q"&amp;ROUNDUP(MONTH(Clean_Data[[#This Row],[OrderDate]])/3,0)</f>
        <v>Q2</v>
      </c>
      <c r="R17" t="str">
        <f>TEXT(Clean_Data[[#This Row],[OrderDate]], "dddd")</f>
        <v>Friday</v>
      </c>
    </row>
    <row r="18" spans="1:18" x14ac:dyDescent="0.25">
      <c r="A18" t="s">
        <v>61</v>
      </c>
      <c r="B18" s="4">
        <v>1854</v>
      </c>
      <c r="C18" s="4">
        <v>433</v>
      </c>
      <c r="D18" s="3">
        <v>5</v>
      </c>
      <c r="E18" t="s">
        <v>888</v>
      </c>
      <c r="F18" t="s">
        <v>891</v>
      </c>
      <c r="G18" t="s">
        <v>893</v>
      </c>
      <c r="H18" s="6">
        <f>_xlfn.XLOOKUP(A18,Orders[OrderID],Orders[OrderDate])</f>
        <v>43362</v>
      </c>
      <c r="I18" t="str">
        <f>_xlfn.XLOOKUP(A18,Orders[OrderID],Orders[CustomerName])</f>
        <v>Madan Mohan</v>
      </c>
      <c r="J18" t="str">
        <f>_xlfn.XLOOKUP(A18,Orders[OrderID],Orders[State])</f>
        <v>Uttar Pradesh</v>
      </c>
      <c r="K18" t="str">
        <f>_xlfn.XLOOKUP(A18,Orders[OrderID],Orders[City])</f>
        <v>Mathura</v>
      </c>
      <c r="L18" s="3">
        <f>YEAR(Clean_Data[[#This Row],[OrderDate]])</f>
        <v>2018</v>
      </c>
      <c r="M18" s="3">
        <f>MONTH(Clean_Data[[#This Row],[OrderDate]])</f>
        <v>9</v>
      </c>
      <c r="N18" s="8" t="str">
        <f>TEXT(Clean_Data[[#This Row],[OrderDate]],"mmm")</f>
        <v>Sep</v>
      </c>
      <c r="O18" s="8" t="str">
        <f>TEXT(Clean_Data[[#This Row],[OrderDate]], "yyyy-mm")</f>
        <v>2018-09</v>
      </c>
      <c r="P18" s="7">
        <f>Clean_Data[[#This Row],[Profit]]/Clean_Data[[#This Row],[Revenue ]]</f>
        <v>0.23354908306364616</v>
      </c>
      <c r="Q18" t="str">
        <f>"Q"&amp;ROUNDUP(MONTH(Clean_Data[[#This Row],[OrderDate]])/3,0)</f>
        <v>Q3</v>
      </c>
      <c r="R18" t="str">
        <f>TEXT(Clean_Data[[#This Row],[OrderDate]], "dddd")</f>
        <v>Wednesday</v>
      </c>
    </row>
    <row r="19" spans="1:18" x14ac:dyDescent="0.25">
      <c r="A19" t="s">
        <v>880</v>
      </c>
      <c r="B19" s="4">
        <v>6</v>
      </c>
      <c r="C19" s="4">
        <v>1</v>
      </c>
      <c r="D19" s="3">
        <v>1</v>
      </c>
      <c r="E19" t="s">
        <v>895</v>
      </c>
      <c r="F19" t="s">
        <v>900</v>
      </c>
      <c r="G19" t="s">
        <v>898</v>
      </c>
      <c r="H19" s="6">
        <f>_xlfn.XLOOKUP(A19,Orders[OrderID],Orders[OrderDate])</f>
        <v>43187</v>
      </c>
      <c r="I19" t="str">
        <f>_xlfn.XLOOKUP(A19,Orders[OrderID],Orders[CustomerName])</f>
        <v>Monisha</v>
      </c>
      <c r="J19" t="str">
        <f>_xlfn.XLOOKUP(A19,Orders[OrderID],Orders[State])</f>
        <v>Rajasthan</v>
      </c>
      <c r="K19" t="str">
        <f>_xlfn.XLOOKUP(A19,Orders[OrderID],Orders[City])</f>
        <v>Jaipur</v>
      </c>
      <c r="L19" s="3">
        <f>YEAR(Clean_Data[[#This Row],[OrderDate]])</f>
        <v>2018</v>
      </c>
      <c r="M19" s="3">
        <f>MONTH(Clean_Data[[#This Row],[OrderDate]])</f>
        <v>3</v>
      </c>
      <c r="N19" s="8" t="str">
        <f>TEXT(Clean_Data[[#This Row],[OrderDate]],"mmm")</f>
        <v>Mar</v>
      </c>
      <c r="O19" s="8" t="str">
        <f>TEXT(Clean_Data[[#This Row],[OrderDate]], "yyyy-mm")</f>
        <v>2018-03</v>
      </c>
      <c r="P19" s="7">
        <f>Clean_Data[[#This Row],[Profit]]/Clean_Data[[#This Row],[Revenue ]]</f>
        <v>0.16666666666666666</v>
      </c>
      <c r="Q19" t="str">
        <f>"Q"&amp;ROUNDUP(MONTH(Clean_Data[[#This Row],[OrderDate]])/3,0)</f>
        <v>Q1</v>
      </c>
      <c r="R19" t="str">
        <f>TEXT(Clean_Data[[#This Row],[OrderDate]], "dddd")</f>
        <v>Wednesday</v>
      </c>
    </row>
    <row r="20" spans="1:18" x14ac:dyDescent="0.25">
      <c r="A20" t="s">
        <v>50</v>
      </c>
      <c r="B20" s="4">
        <v>2093</v>
      </c>
      <c r="C20" s="4">
        <v>721</v>
      </c>
      <c r="D20" s="3">
        <v>5</v>
      </c>
      <c r="E20" t="s">
        <v>888</v>
      </c>
      <c r="F20" t="s">
        <v>889</v>
      </c>
      <c r="G20" t="s">
        <v>893</v>
      </c>
      <c r="H20" s="6">
        <f>_xlfn.XLOOKUP(A20,Orders[OrderID],Orders[OrderDate])</f>
        <v>43412</v>
      </c>
      <c r="I20" t="str">
        <f>_xlfn.XLOOKUP(A20,Orders[OrderID],Orders[CustomerName])</f>
        <v>Gaurav</v>
      </c>
      <c r="J20" t="str">
        <f>_xlfn.XLOOKUP(A20,Orders[OrderID],Orders[State])</f>
        <v>Gujarat</v>
      </c>
      <c r="K20" t="str">
        <f>_xlfn.XLOOKUP(A20,Orders[OrderID],Orders[City])</f>
        <v>Ahmedabad</v>
      </c>
      <c r="L20" s="3">
        <f>YEAR(Clean_Data[[#This Row],[OrderDate]])</f>
        <v>2018</v>
      </c>
      <c r="M20" s="3">
        <f>MONTH(Clean_Data[[#This Row],[OrderDate]])</f>
        <v>11</v>
      </c>
      <c r="N20" s="8" t="str">
        <f>TEXT(Clean_Data[[#This Row],[OrderDate]],"mmm")</f>
        <v>Nov</v>
      </c>
      <c r="O20" s="8" t="str">
        <f>TEXT(Clean_Data[[#This Row],[OrderDate]], "yyyy-mm")</f>
        <v>2018-11</v>
      </c>
      <c r="P20" s="7">
        <f>Clean_Data[[#This Row],[Profit]]/Clean_Data[[#This Row],[Revenue ]]</f>
        <v>0.34448160535117056</v>
      </c>
      <c r="Q20" t="str">
        <f>"Q"&amp;ROUNDUP(MONTH(Clean_Data[[#This Row],[OrderDate]])/3,0)</f>
        <v>Q4</v>
      </c>
      <c r="R20" t="str">
        <f>TEXT(Clean_Data[[#This Row],[OrderDate]], "dddd")</f>
        <v>Thursday</v>
      </c>
    </row>
    <row r="21" spans="1:18" x14ac:dyDescent="0.25">
      <c r="A21" t="s">
        <v>718</v>
      </c>
      <c r="B21" s="4">
        <v>7</v>
      </c>
      <c r="C21" s="4">
        <v>-1</v>
      </c>
      <c r="D21" s="3">
        <v>2</v>
      </c>
      <c r="E21" t="s">
        <v>895</v>
      </c>
      <c r="F21" t="s">
        <v>901</v>
      </c>
      <c r="G21" t="s">
        <v>898</v>
      </c>
      <c r="H21" s="6">
        <f>_xlfn.XLOOKUP(A21,Orders[OrderID],Orders[OrderDate])</f>
        <v>43311</v>
      </c>
      <c r="I21" t="str">
        <f>_xlfn.XLOOKUP(A21,Orders[OrderID],Orders[CustomerName])</f>
        <v>Arindam</v>
      </c>
      <c r="J21" t="str">
        <f>_xlfn.XLOOKUP(A21,Orders[OrderID],Orders[State])</f>
        <v>Uttar Pradesh</v>
      </c>
      <c r="K21" t="str">
        <f>_xlfn.XLOOKUP(A21,Orders[OrderID],Orders[City])</f>
        <v>Lucknow</v>
      </c>
      <c r="L21" s="3">
        <f>YEAR(Clean_Data[[#This Row],[OrderDate]])</f>
        <v>2018</v>
      </c>
      <c r="M21" s="3">
        <f>MONTH(Clean_Data[[#This Row],[OrderDate]])</f>
        <v>7</v>
      </c>
      <c r="N21" s="8" t="str">
        <f>TEXT(Clean_Data[[#This Row],[OrderDate]],"mmm")</f>
        <v>Jul</v>
      </c>
      <c r="O21" s="8" t="str">
        <f>TEXT(Clean_Data[[#This Row],[OrderDate]], "yyyy-mm")</f>
        <v>2018-07</v>
      </c>
      <c r="P21" s="7">
        <f>Clean_Data[[#This Row],[Profit]]/Clean_Data[[#This Row],[Revenue ]]</f>
        <v>-0.14285714285714285</v>
      </c>
      <c r="Q21" t="str">
        <f>"Q"&amp;ROUNDUP(MONTH(Clean_Data[[#This Row],[OrderDate]])/3,0)</f>
        <v>Q3</v>
      </c>
      <c r="R21" t="str">
        <f>TEXT(Clean_Data[[#This Row],[OrderDate]], "dddd")</f>
        <v>Monday</v>
      </c>
    </row>
    <row r="22" spans="1:18" x14ac:dyDescent="0.25">
      <c r="A22" t="s">
        <v>89</v>
      </c>
      <c r="B22" s="4">
        <v>1622</v>
      </c>
      <c r="C22" s="4">
        <v>-624</v>
      </c>
      <c r="D22" s="3">
        <v>5</v>
      </c>
      <c r="E22" t="s">
        <v>888</v>
      </c>
      <c r="F22" t="s">
        <v>902</v>
      </c>
      <c r="G22" t="s">
        <v>893</v>
      </c>
      <c r="H22" s="6">
        <f>_xlfn.XLOOKUP(A22,Orders[OrderID],Orders[OrderDate])</f>
        <v>43448</v>
      </c>
      <c r="I22" t="str">
        <f>_xlfn.XLOOKUP(A22,Orders[OrderID],Orders[CustomerName])</f>
        <v>Jay</v>
      </c>
      <c r="J22" t="str">
        <f>_xlfn.XLOOKUP(A22,Orders[OrderID],Orders[State])</f>
        <v>Delhi</v>
      </c>
      <c r="K22" t="str">
        <f>_xlfn.XLOOKUP(A22,Orders[OrderID],Orders[City])</f>
        <v>Delhi</v>
      </c>
      <c r="L22" s="3">
        <f>YEAR(Clean_Data[[#This Row],[OrderDate]])</f>
        <v>2018</v>
      </c>
      <c r="M22" s="3">
        <f>MONTH(Clean_Data[[#This Row],[OrderDate]])</f>
        <v>12</v>
      </c>
      <c r="N22" s="8" t="str">
        <f>TEXT(Clean_Data[[#This Row],[OrderDate]],"mmm")</f>
        <v>Dec</v>
      </c>
      <c r="O22" s="8" t="str">
        <f>TEXT(Clean_Data[[#This Row],[OrderDate]], "yyyy-mm")</f>
        <v>2018-12</v>
      </c>
      <c r="P22" s="7">
        <f>Clean_Data[[#This Row],[Profit]]/Clean_Data[[#This Row],[Revenue ]]</f>
        <v>-0.38471023427866829</v>
      </c>
      <c r="Q22" t="str">
        <f>"Q"&amp;ROUNDUP(MONTH(Clean_Data[[#This Row],[OrderDate]])/3,0)</f>
        <v>Q4</v>
      </c>
      <c r="R22" t="str">
        <f>TEXT(Clean_Data[[#This Row],[OrderDate]], "dddd")</f>
        <v>Friday</v>
      </c>
    </row>
    <row r="23" spans="1:18" x14ac:dyDescent="0.25">
      <c r="A23" t="s">
        <v>91</v>
      </c>
      <c r="B23" s="4">
        <v>1622</v>
      </c>
      <c r="C23" s="4">
        <v>95</v>
      </c>
      <c r="D23" s="3">
        <v>5</v>
      </c>
      <c r="E23" t="s">
        <v>885</v>
      </c>
      <c r="F23" t="s">
        <v>892</v>
      </c>
      <c r="G23" t="s">
        <v>893</v>
      </c>
      <c r="H23" s="6">
        <f>_xlfn.XLOOKUP(A23,Orders[OrderID],Orders[OrderDate])</f>
        <v>43113</v>
      </c>
      <c r="I23" t="str">
        <f>_xlfn.XLOOKUP(A23,Orders[OrderID],Orders[CustomerName])</f>
        <v>Shruti</v>
      </c>
      <c r="J23" t="str">
        <f>_xlfn.XLOOKUP(A23,Orders[OrderID],Orders[State])</f>
        <v>Madhya Pradesh</v>
      </c>
      <c r="K23" t="str">
        <f>_xlfn.XLOOKUP(A23,Orders[OrderID],Orders[City])</f>
        <v>Indore</v>
      </c>
      <c r="L23" s="3">
        <f>YEAR(Clean_Data[[#This Row],[OrderDate]])</f>
        <v>2018</v>
      </c>
      <c r="M23" s="3">
        <f>MONTH(Clean_Data[[#This Row],[OrderDate]])</f>
        <v>1</v>
      </c>
      <c r="N23" s="8" t="str">
        <f>TEXT(Clean_Data[[#This Row],[OrderDate]],"mmm")</f>
        <v>Jan</v>
      </c>
      <c r="O23" s="8" t="str">
        <f>TEXT(Clean_Data[[#This Row],[OrderDate]], "yyyy-mm")</f>
        <v>2018-01</v>
      </c>
      <c r="P23" s="7">
        <f>Clean_Data[[#This Row],[Profit]]/Clean_Data[[#This Row],[Revenue ]]</f>
        <v>5.8569667077681874E-2</v>
      </c>
      <c r="Q23" t="str">
        <f>"Q"&amp;ROUNDUP(MONTH(Clean_Data[[#This Row],[OrderDate]])/3,0)</f>
        <v>Q1</v>
      </c>
      <c r="R23" t="str">
        <f>TEXT(Clean_Data[[#This Row],[OrderDate]], "dddd")</f>
        <v>Saturday</v>
      </c>
    </row>
    <row r="24" spans="1:18" x14ac:dyDescent="0.25">
      <c r="A24" t="s">
        <v>452</v>
      </c>
      <c r="B24" s="4">
        <v>373</v>
      </c>
      <c r="C24" s="4">
        <v>254</v>
      </c>
      <c r="D24" s="3">
        <v>6</v>
      </c>
      <c r="E24" t="s">
        <v>885</v>
      </c>
      <c r="F24" t="s">
        <v>892</v>
      </c>
      <c r="G24" t="s">
        <v>898</v>
      </c>
      <c r="H24" s="6">
        <f>_xlfn.XLOOKUP(A24,Orders[OrderID],Orders[OrderDate])</f>
        <v>43320</v>
      </c>
      <c r="I24" t="str">
        <f>_xlfn.XLOOKUP(A24,Orders[OrderID],Orders[CustomerName])</f>
        <v>Devendra</v>
      </c>
      <c r="J24" t="str">
        <f>_xlfn.XLOOKUP(A24,Orders[OrderID],Orders[State])</f>
        <v>Andhra Pradesh</v>
      </c>
      <c r="K24" t="str">
        <f>_xlfn.XLOOKUP(A24,Orders[OrderID],Orders[City])</f>
        <v>Hyderabad</v>
      </c>
      <c r="L24" s="3">
        <f>YEAR(Clean_Data[[#This Row],[OrderDate]])</f>
        <v>2018</v>
      </c>
      <c r="M24" s="3">
        <f>MONTH(Clean_Data[[#This Row],[OrderDate]])</f>
        <v>8</v>
      </c>
      <c r="N24" s="8" t="str">
        <f>TEXT(Clean_Data[[#This Row],[OrderDate]],"mmm")</f>
        <v>Aug</v>
      </c>
      <c r="O24" s="8" t="str">
        <f>TEXT(Clean_Data[[#This Row],[OrderDate]], "yyyy-mm")</f>
        <v>2018-08</v>
      </c>
      <c r="P24" s="7">
        <f>Clean_Data[[#This Row],[Profit]]/Clean_Data[[#This Row],[Revenue ]]</f>
        <v>0.68096514745308312</v>
      </c>
      <c r="Q24" t="str">
        <f>"Q"&amp;ROUNDUP(MONTH(Clean_Data[[#This Row],[OrderDate]])/3,0)</f>
        <v>Q3</v>
      </c>
      <c r="R24" t="str">
        <f>TEXT(Clean_Data[[#This Row],[OrderDate]], "dddd")</f>
        <v>Wednesday</v>
      </c>
    </row>
    <row r="25" spans="1:18" x14ac:dyDescent="0.25">
      <c r="A25" t="s">
        <v>280</v>
      </c>
      <c r="B25" s="4">
        <v>82</v>
      </c>
      <c r="C25" s="4">
        <v>-33</v>
      </c>
      <c r="D25" s="3">
        <v>4</v>
      </c>
      <c r="E25" t="s">
        <v>895</v>
      </c>
      <c r="F25" t="s">
        <v>900</v>
      </c>
      <c r="G25" t="s">
        <v>887</v>
      </c>
      <c r="H25" s="6">
        <f>_xlfn.XLOOKUP(A25,Orders[OrderID],Orders[OrderDate])</f>
        <v>43407</v>
      </c>
      <c r="I25" t="str">
        <f>_xlfn.XLOOKUP(A25,Orders[OrderID],Orders[CustomerName])</f>
        <v>Snel</v>
      </c>
      <c r="J25" t="str">
        <f>_xlfn.XLOOKUP(A25,Orders[OrderID],Orders[State])</f>
        <v xml:space="preserve">Kerala </v>
      </c>
      <c r="K25" t="str">
        <f>_xlfn.XLOOKUP(A25,Orders[OrderID],Orders[City])</f>
        <v>Thiruvananthapuram</v>
      </c>
      <c r="L25" s="3">
        <f>YEAR(Clean_Data[[#This Row],[OrderDate]])</f>
        <v>2018</v>
      </c>
      <c r="M25" s="3">
        <f>MONTH(Clean_Data[[#This Row],[OrderDate]])</f>
        <v>11</v>
      </c>
      <c r="N25" s="8" t="str">
        <f>TEXT(Clean_Data[[#This Row],[OrderDate]],"mmm")</f>
        <v>Nov</v>
      </c>
      <c r="O25" s="8" t="str">
        <f>TEXT(Clean_Data[[#This Row],[OrderDate]], "yyyy-mm")</f>
        <v>2018-11</v>
      </c>
      <c r="P25" s="7">
        <f>Clean_Data[[#This Row],[Profit]]/Clean_Data[[#This Row],[Revenue ]]</f>
        <v>-0.40243902439024393</v>
      </c>
      <c r="Q25" t="str">
        <f>"Q"&amp;ROUNDUP(MONTH(Clean_Data[[#This Row],[OrderDate]])/3,0)</f>
        <v>Q4</v>
      </c>
      <c r="R25" t="str">
        <f>TEXT(Clean_Data[[#This Row],[OrderDate]], "dddd")</f>
        <v>Saturday</v>
      </c>
    </row>
    <row r="26" spans="1:18" x14ac:dyDescent="0.25">
      <c r="A26" t="s">
        <v>625</v>
      </c>
      <c r="B26" s="4">
        <v>8</v>
      </c>
      <c r="C26" s="4">
        <v>2</v>
      </c>
      <c r="D26" s="3">
        <v>2</v>
      </c>
      <c r="E26" t="s">
        <v>895</v>
      </c>
      <c r="F26" t="s">
        <v>901</v>
      </c>
      <c r="G26" t="s">
        <v>898</v>
      </c>
      <c r="H26" s="6">
        <f>_xlfn.XLOOKUP(A26,Orders[OrderID],Orders[OrderDate])</f>
        <v>43138</v>
      </c>
      <c r="I26" t="str">
        <f>_xlfn.XLOOKUP(A26,Orders[OrderID],Orders[CustomerName])</f>
        <v>Patil</v>
      </c>
      <c r="J26" t="str">
        <f>_xlfn.XLOOKUP(A26,Orders[OrderID],Orders[State])</f>
        <v>Delhi</v>
      </c>
      <c r="K26" t="str">
        <f>_xlfn.XLOOKUP(A26,Orders[OrderID],Orders[City])</f>
        <v>Delhi</v>
      </c>
      <c r="L26" s="3">
        <f>YEAR(Clean_Data[[#This Row],[OrderDate]])</f>
        <v>2018</v>
      </c>
      <c r="M26" s="3">
        <f>MONTH(Clean_Data[[#This Row],[OrderDate]])</f>
        <v>2</v>
      </c>
      <c r="N26" s="8" t="str">
        <f>TEXT(Clean_Data[[#This Row],[OrderDate]],"mmm")</f>
        <v>Feb</v>
      </c>
      <c r="O26" s="8" t="str">
        <f>TEXT(Clean_Data[[#This Row],[OrderDate]], "yyyy-mm")</f>
        <v>2018-02</v>
      </c>
      <c r="P26" s="7">
        <f>Clean_Data[[#This Row],[Profit]]/Clean_Data[[#This Row],[Revenue ]]</f>
        <v>0.25</v>
      </c>
      <c r="Q26" t="str">
        <f>"Q"&amp;ROUNDUP(MONTH(Clean_Data[[#This Row],[OrderDate]])/3,0)</f>
        <v>Q1</v>
      </c>
      <c r="R26" t="str">
        <f>TEXT(Clean_Data[[#This Row],[OrderDate]], "dddd")</f>
        <v>Wednesday</v>
      </c>
    </row>
    <row r="27" spans="1:18" x14ac:dyDescent="0.25">
      <c r="A27" t="s">
        <v>57</v>
      </c>
      <c r="B27" s="4">
        <v>1954</v>
      </c>
      <c r="C27" s="4">
        <v>782</v>
      </c>
      <c r="D27" s="3">
        <v>3</v>
      </c>
      <c r="E27" t="s">
        <v>885</v>
      </c>
      <c r="F27" t="s">
        <v>894</v>
      </c>
      <c r="G27" t="s">
        <v>893</v>
      </c>
      <c r="H27" s="6">
        <f>_xlfn.XLOOKUP(A27,Orders[OrderID],Orders[OrderDate])</f>
        <v>43399</v>
      </c>
      <c r="I27" t="str">
        <f>_xlfn.XLOOKUP(A27,Orders[OrderID],Orders[CustomerName])</f>
        <v>Aastha</v>
      </c>
      <c r="J27" t="str">
        <f>_xlfn.XLOOKUP(A27,Orders[OrderID],Orders[State])</f>
        <v>Himachal Pradesh</v>
      </c>
      <c r="K27" t="str">
        <f>_xlfn.XLOOKUP(A27,Orders[OrderID],Orders[City])</f>
        <v>Simla</v>
      </c>
      <c r="L27" s="3">
        <f>YEAR(Clean_Data[[#This Row],[OrderDate]])</f>
        <v>2018</v>
      </c>
      <c r="M27" s="3">
        <f>MONTH(Clean_Data[[#This Row],[OrderDate]])</f>
        <v>10</v>
      </c>
      <c r="N27" s="8" t="str">
        <f>TEXT(Clean_Data[[#This Row],[OrderDate]],"mmm")</f>
        <v>Oct</v>
      </c>
      <c r="O27" s="8" t="str">
        <f>TEXT(Clean_Data[[#This Row],[OrderDate]], "yyyy-mm")</f>
        <v>2018-10</v>
      </c>
      <c r="P27" s="7">
        <f>Clean_Data[[#This Row],[Profit]]/Clean_Data[[#This Row],[Revenue ]]</f>
        <v>0.40020470829068577</v>
      </c>
      <c r="Q27" t="str">
        <f>"Q"&amp;ROUNDUP(MONTH(Clean_Data[[#This Row],[OrderDate]])/3,0)</f>
        <v>Q4</v>
      </c>
      <c r="R27" t="str">
        <f>TEXT(Clean_Data[[#This Row],[OrderDate]], "dddd")</f>
        <v>Friday</v>
      </c>
    </row>
    <row r="28" spans="1:18" x14ac:dyDescent="0.25">
      <c r="A28" t="s">
        <v>110</v>
      </c>
      <c r="B28" s="4">
        <v>1543</v>
      </c>
      <c r="C28" s="4">
        <v>370</v>
      </c>
      <c r="D28" s="3">
        <v>8</v>
      </c>
      <c r="E28" t="s">
        <v>885</v>
      </c>
      <c r="F28" t="s">
        <v>892</v>
      </c>
      <c r="G28" t="s">
        <v>893</v>
      </c>
      <c r="H28" s="6">
        <f>_xlfn.XLOOKUP(A28,Orders[OrderID],Orders[OrderDate])</f>
        <v>43406</v>
      </c>
      <c r="I28" t="str">
        <f>_xlfn.XLOOKUP(A28,Orders[OrderID],Orders[CustomerName])</f>
        <v>Sheetal</v>
      </c>
      <c r="J28" t="str">
        <f>_xlfn.XLOOKUP(A28,Orders[OrderID],Orders[State])</f>
        <v>Maharashtra</v>
      </c>
      <c r="K28" t="str">
        <f>_xlfn.XLOOKUP(A28,Orders[OrderID],Orders[City])</f>
        <v>Pune</v>
      </c>
      <c r="L28" s="3">
        <f>YEAR(Clean_Data[[#This Row],[OrderDate]])</f>
        <v>2018</v>
      </c>
      <c r="M28" s="3">
        <f>MONTH(Clean_Data[[#This Row],[OrderDate]])</f>
        <v>11</v>
      </c>
      <c r="N28" s="8" t="str">
        <f>TEXT(Clean_Data[[#This Row],[OrderDate]],"mmm")</f>
        <v>Nov</v>
      </c>
      <c r="O28" s="8" t="str">
        <f>TEXT(Clean_Data[[#This Row],[OrderDate]], "yyyy-mm")</f>
        <v>2018-11</v>
      </c>
      <c r="P28" s="7">
        <f>Clean_Data[[#This Row],[Profit]]/Clean_Data[[#This Row],[Revenue ]]</f>
        <v>0.23979261179520414</v>
      </c>
      <c r="Q28" t="str">
        <f>"Q"&amp;ROUNDUP(MONTH(Clean_Data[[#This Row],[OrderDate]])/3,0)</f>
        <v>Q4</v>
      </c>
      <c r="R28" t="str">
        <f>TEXT(Clean_Data[[#This Row],[OrderDate]], "dddd")</f>
        <v>Friday</v>
      </c>
    </row>
    <row r="29" spans="1:18" x14ac:dyDescent="0.25">
      <c r="A29" t="s">
        <v>114</v>
      </c>
      <c r="B29" s="4">
        <v>1506</v>
      </c>
      <c r="C29" s="4">
        <v>-266</v>
      </c>
      <c r="D29" s="3">
        <v>6</v>
      </c>
      <c r="E29" t="s">
        <v>885</v>
      </c>
      <c r="F29" t="s">
        <v>892</v>
      </c>
      <c r="G29" t="s">
        <v>893</v>
      </c>
      <c r="H29" s="6">
        <f>_xlfn.XLOOKUP(A29,Orders[OrderID],Orders[OrderDate])</f>
        <v>43354</v>
      </c>
      <c r="I29" t="str">
        <f>_xlfn.XLOOKUP(A29,Orders[OrderID],Orders[CustomerName])</f>
        <v>Surabhi</v>
      </c>
      <c r="J29" t="str">
        <f>_xlfn.XLOOKUP(A29,Orders[OrderID],Orders[State])</f>
        <v>Maharashtra</v>
      </c>
      <c r="K29" t="str">
        <f>_xlfn.XLOOKUP(A29,Orders[OrderID],Orders[City])</f>
        <v>Mumbai</v>
      </c>
      <c r="L29" s="3">
        <f>YEAR(Clean_Data[[#This Row],[OrderDate]])</f>
        <v>2018</v>
      </c>
      <c r="M29" s="3">
        <f>MONTH(Clean_Data[[#This Row],[OrderDate]])</f>
        <v>9</v>
      </c>
      <c r="N29" s="8" t="str">
        <f>TEXT(Clean_Data[[#This Row],[OrderDate]],"mmm")</f>
        <v>Sep</v>
      </c>
      <c r="O29" s="8" t="str">
        <f>TEXT(Clean_Data[[#This Row],[OrderDate]], "yyyy-mm")</f>
        <v>2018-09</v>
      </c>
      <c r="P29" s="7">
        <f>Clean_Data[[#This Row],[Profit]]/Clean_Data[[#This Row],[Revenue ]]</f>
        <v>-0.17662682602921648</v>
      </c>
      <c r="Q29" t="str">
        <f>"Q"&amp;ROUNDUP(MONTH(Clean_Data[[#This Row],[OrderDate]])/3,0)</f>
        <v>Q3</v>
      </c>
      <c r="R29" t="str">
        <f>TEXT(Clean_Data[[#This Row],[OrderDate]], "dddd")</f>
        <v>Tuesday</v>
      </c>
    </row>
    <row r="30" spans="1:18" x14ac:dyDescent="0.25">
      <c r="A30" t="s">
        <v>62</v>
      </c>
      <c r="B30" s="4">
        <v>1829</v>
      </c>
      <c r="C30" s="4">
        <v>-56</v>
      </c>
      <c r="D30" s="3">
        <v>6</v>
      </c>
      <c r="E30" t="s">
        <v>888</v>
      </c>
      <c r="F30" t="s">
        <v>902</v>
      </c>
      <c r="G30" t="s">
        <v>893</v>
      </c>
      <c r="H30" s="6">
        <f>_xlfn.XLOOKUP(A30,Orders[OrderID],Orders[OrderDate])</f>
        <v>43262</v>
      </c>
      <c r="I30" t="str">
        <f>_xlfn.XLOOKUP(A30,Orders[OrderID],Orders[CustomerName])</f>
        <v>Pooja</v>
      </c>
      <c r="J30" t="str">
        <f>_xlfn.XLOOKUP(A30,Orders[OrderID],Orders[State])</f>
        <v>Himachal Pradesh</v>
      </c>
      <c r="K30" t="str">
        <f>_xlfn.XLOOKUP(A30,Orders[OrderID],Orders[City])</f>
        <v>Simla</v>
      </c>
      <c r="L30" s="3">
        <f>YEAR(Clean_Data[[#This Row],[OrderDate]])</f>
        <v>2018</v>
      </c>
      <c r="M30" s="3">
        <f>MONTH(Clean_Data[[#This Row],[OrderDate]])</f>
        <v>6</v>
      </c>
      <c r="N30" s="8" t="str">
        <f>TEXT(Clean_Data[[#This Row],[OrderDate]],"mmm")</f>
        <v>Jun</v>
      </c>
      <c r="O30" s="8" t="str">
        <f>TEXT(Clean_Data[[#This Row],[OrderDate]], "yyyy-mm")</f>
        <v>2018-06</v>
      </c>
      <c r="P30" s="7">
        <f>Clean_Data[[#This Row],[Profit]]/Clean_Data[[#This Row],[Revenue ]]</f>
        <v>-3.06178239475123E-2</v>
      </c>
      <c r="Q30" t="str">
        <f>"Q"&amp;ROUNDUP(MONTH(Clean_Data[[#This Row],[OrderDate]])/3,0)</f>
        <v>Q2</v>
      </c>
      <c r="R30" t="str">
        <f>TEXT(Clean_Data[[#This Row],[OrderDate]], "dddd")</f>
        <v>Monday</v>
      </c>
    </row>
    <row r="31" spans="1:18" x14ac:dyDescent="0.25">
      <c r="A31" t="s">
        <v>486</v>
      </c>
      <c r="B31" s="4">
        <v>9</v>
      </c>
      <c r="C31" s="4">
        <v>-1</v>
      </c>
      <c r="D31" s="3">
        <v>3</v>
      </c>
      <c r="E31" t="s">
        <v>895</v>
      </c>
      <c r="F31" t="s">
        <v>901</v>
      </c>
      <c r="G31" t="s">
        <v>898</v>
      </c>
      <c r="H31" s="6">
        <f>_xlfn.XLOOKUP(A31,Orders[OrderID],Orders[OrderDate])</f>
        <v>43330</v>
      </c>
      <c r="I31" t="str">
        <f>_xlfn.XLOOKUP(A31,Orders[OrderID],Orders[CustomerName])</f>
        <v>Akshay</v>
      </c>
      <c r="J31" t="str">
        <f>_xlfn.XLOOKUP(A31,Orders[OrderID],Orders[State])</f>
        <v>Bihar</v>
      </c>
      <c r="K31" t="str">
        <f>_xlfn.XLOOKUP(A31,Orders[OrderID],Orders[City])</f>
        <v>Patna</v>
      </c>
      <c r="L31" s="3">
        <f>YEAR(Clean_Data[[#This Row],[OrderDate]])</f>
        <v>2018</v>
      </c>
      <c r="M31" s="3">
        <f>MONTH(Clean_Data[[#This Row],[OrderDate]])</f>
        <v>8</v>
      </c>
      <c r="N31" s="8" t="str">
        <f>TEXT(Clean_Data[[#This Row],[OrderDate]],"mmm")</f>
        <v>Aug</v>
      </c>
      <c r="O31" s="8" t="str">
        <f>TEXT(Clean_Data[[#This Row],[OrderDate]], "yyyy-mm")</f>
        <v>2018-08</v>
      </c>
      <c r="P31" s="7">
        <f>Clean_Data[[#This Row],[Profit]]/Clean_Data[[#This Row],[Revenue ]]</f>
        <v>-0.1111111111111111</v>
      </c>
      <c r="Q31" t="str">
        <f>"Q"&amp;ROUNDUP(MONTH(Clean_Data[[#This Row],[OrderDate]])/3,0)</f>
        <v>Q3</v>
      </c>
      <c r="R31" t="str">
        <f>TEXT(Clean_Data[[#This Row],[OrderDate]], "dddd")</f>
        <v>Saturday</v>
      </c>
    </row>
    <row r="32" spans="1:18" x14ac:dyDescent="0.25">
      <c r="A32" t="s">
        <v>120</v>
      </c>
      <c r="B32" s="4">
        <v>1461</v>
      </c>
      <c r="C32" s="4">
        <v>202</v>
      </c>
      <c r="D32" s="3">
        <v>5</v>
      </c>
      <c r="E32" t="s">
        <v>888</v>
      </c>
      <c r="F32" t="s">
        <v>902</v>
      </c>
      <c r="G32" t="s">
        <v>890</v>
      </c>
      <c r="H32" s="6">
        <f>_xlfn.XLOOKUP(A32,Orders[OrderID],Orders[OrderDate])</f>
        <v>43163</v>
      </c>
      <c r="I32" t="str">
        <f>_xlfn.XLOOKUP(A32,Orders[OrderID],Orders[CustomerName])</f>
        <v>Parth</v>
      </c>
      <c r="J32" t="str">
        <f>_xlfn.XLOOKUP(A32,Orders[OrderID],Orders[State])</f>
        <v>Maharashtra</v>
      </c>
      <c r="K32" t="str">
        <f>_xlfn.XLOOKUP(A32,Orders[OrderID],Orders[City])</f>
        <v>Pune</v>
      </c>
      <c r="L32" s="3">
        <f>YEAR(Clean_Data[[#This Row],[OrderDate]])</f>
        <v>2018</v>
      </c>
      <c r="M32" s="3">
        <f>MONTH(Clean_Data[[#This Row],[OrderDate]])</f>
        <v>3</v>
      </c>
      <c r="N32" s="8" t="str">
        <f>TEXT(Clean_Data[[#This Row],[OrderDate]],"mmm")</f>
        <v>Mar</v>
      </c>
      <c r="O32" s="8" t="str">
        <f>TEXT(Clean_Data[[#This Row],[OrderDate]], "yyyy-mm")</f>
        <v>2018-03</v>
      </c>
      <c r="P32" s="7">
        <f>Clean_Data[[#This Row],[Profit]]/Clean_Data[[#This Row],[Revenue ]]</f>
        <v>0.13826146475017112</v>
      </c>
      <c r="Q32" t="str">
        <f>"Q"&amp;ROUNDUP(MONTH(Clean_Data[[#This Row],[OrderDate]])/3,0)</f>
        <v>Q1</v>
      </c>
      <c r="R32" t="str">
        <f>TEXT(Clean_Data[[#This Row],[OrderDate]], "dddd")</f>
        <v>Sunday</v>
      </c>
    </row>
    <row r="33" spans="1:18" x14ac:dyDescent="0.25">
      <c r="A33" t="s">
        <v>436</v>
      </c>
      <c r="B33" s="4">
        <v>391</v>
      </c>
      <c r="C33" s="4">
        <v>113</v>
      </c>
      <c r="D33" s="3">
        <v>8</v>
      </c>
      <c r="E33" t="s">
        <v>895</v>
      </c>
      <c r="F33" t="s">
        <v>903</v>
      </c>
      <c r="G33" t="s">
        <v>887</v>
      </c>
      <c r="H33" s="6">
        <f>_xlfn.XLOOKUP(A33,Orders[OrderID],Orders[OrderDate])</f>
        <v>43385</v>
      </c>
      <c r="I33" t="str">
        <f>_xlfn.XLOOKUP(A33,Orders[OrderID],Orders[CustomerName])</f>
        <v>Mane</v>
      </c>
      <c r="J33" t="str">
        <f>_xlfn.XLOOKUP(A33,Orders[OrderID],Orders[State])</f>
        <v>Andhra Pradesh</v>
      </c>
      <c r="K33" t="str">
        <f>_xlfn.XLOOKUP(A33,Orders[OrderID],Orders[City])</f>
        <v>Hyderabad</v>
      </c>
      <c r="L33" s="3">
        <f>YEAR(Clean_Data[[#This Row],[OrderDate]])</f>
        <v>2018</v>
      </c>
      <c r="M33" s="3">
        <f>MONTH(Clean_Data[[#This Row],[OrderDate]])</f>
        <v>10</v>
      </c>
      <c r="N33" s="8" t="str">
        <f>TEXT(Clean_Data[[#This Row],[OrderDate]],"mmm")</f>
        <v>Oct</v>
      </c>
      <c r="O33" s="8" t="str">
        <f>TEXT(Clean_Data[[#This Row],[OrderDate]], "yyyy-mm")</f>
        <v>2018-10</v>
      </c>
      <c r="P33" s="7">
        <f>Clean_Data[[#This Row],[Profit]]/Clean_Data[[#This Row],[Revenue ]]</f>
        <v>0.28900255754475701</v>
      </c>
      <c r="Q33" t="str">
        <f>"Q"&amp;ROUNDUP(MONTH(Clean_Data[[#This Row],[OrderDate]])/3,0)</f>
        <v>Q4</v>
      </c>
      <c r="R33" t="str">
        <f>TEXT(Clean_Data[[#This Row],[OrderDate]], "dddd")</f>
        <v>Friday</v>
      </c>
    </row>
    <row r="34" spans="1:18" x14ac:dyDescent="0.25">
      <c r="A34" t="s">
        <v>64</v>
      </c>
      <c r="B34" s="4">
        <v>1824</v>
      </c>
      <c r="C34" s="4">
        <v>1303</v>
      </c>
      <c r="D34" s="3">
        <v>8</v>
      </c>
      <c r="E34" t="s">
        <v>885</v>
      </c>
      <c r="F34" t="s">
        <v>894</v>
      </c>
      <c r="G34" t="s">
        <v>893</v>
      </c>
      <c r="H34" s="6">
        <f>_xlfn.XLOOKUP(A34,Orders[OrderID],Orders[OrderDate])</f>
        <v>43149</v>
      </c>
      <c r="I34" t="str">
        <f>_xlfn.XLOOKUP(A34,Orders[OrderID],Orders[CustomerName])</f>
        <v>Shrichand</v>
      </c>
      <c r="J34" t="str">
        <f>_xlfn.XLOOKUP(A34,Orders[OrderID],Orders[State])</f>
        <v>Punjab</v>
      </c>
      <c r="K34" t="str">
        <f>_xlfn.XLOOKUP(A34,Orders[OrderID],Orders[City])</f>
        <v>Chandigarh</v>
      </c>
      <c r="L34" s="3">
        <f>YEAR(Clean_Data[[#This Row],[OrderDate]])</f>
        <v>2018</v>
      </c>
      <c r="M34" s="3">
        <f>MONTH(Clean_Data[[#This Row],[OrderDate]])</f>
        <v>2</v>
      </c>
      <c r="N34" s="8" t="str">
        <f>TEXT(Clean_Data[[#This Row],[OrderDate]],"mmm")</f>
        <v>Feb</v>
      </c>
      <c r="O34" s="8" t="str">
        <f>TEXT(Clean_Data[[#This Row],[OrderDate]], "yyyy-mm")</f>
        <v>2018-02</v>
      </c>
      <c r="P34" s="7">
        <f>Clean_Data[[#This Row],[Profit]]/Clean_Data[[#This Row],[Revenue ]]</f>
        <v>0.71436403508771928</v>
      </c>
      <c r="Q34" t="str">
        <f>"Q"&amp;ROUNDUP(MONTH(Clean_Data[[#This Row],[OrderDate]])/3,0)</f>
        <v>Q1</v>
      </c>
      <c r="R34" t="str">
        <f>TEXT(Clean_Data[[#This Row],[OrderDate]], "dddd")</f>
        <v>Sunday</v>
      </c>
    </row>
    <row r="35" spans="1:18" x14ac:dyDescent="0.25">
      <c r="A35" t="s">
        <v>633</v>
      </c>
      <c r="B35" s="4">
        <v>16</v>
      </c>
      <c r="C35" s="4">
        <v>-15</v>
      </c>
      <c r="D35" s="3">
        <v>4</v>
      </c>
      <c r="E35" t="s">
        <v>895</v>
      </c>
      <c r="F35" t="s">
        <v>899</v>
      </c>
      <c r="G35" t="s">
        <v>898</v>
      </c>
      <c r="H35" s="6">
        <f>_xlfn.XLOOKUP(A35,Orders[OrderID],Orders[OrderDate])</f>
        <v>43431</v>
      </c>
      <c r="I35" t="str">
        <f>_xlfn.XLOOKUP(A35,Orders[OrderID],Orders[CustomerName])</f>
        <v>Saptadeep</v>
      </c>
      <c r="J35" t="str">
        <f>_xlfn.XLOOKUP(A35,Orders[OrderID],Orders[State])</f>
        <v>Gujarat</v>
      </c>
      <c r="K35" t="str">
        <f>_xlfn.XLOOKUP(A35,Orders[OrderID],Orders[City])</f>
        <v>Surat</v>
      </c>
      <c r="L35" s="3">
        <f>YEAR(Clean_Data[[#This Row],[OrderDate]])</f>
        <v>2018</v>
      </c>
      <c r="M35" s="3">
        <f>MONTH(Clean_Data[[#This Row],[OrderDate]])</f>
        <v>11</v>
      </c>
      <c r="N35" s="8" t="str">
        <f>TEXT(Clean_Data[[#This Row],[OrderDate]],"mmm")</f>
        <v>Nov</v>
      </c>
      <c r="O35" s="8" t="str">
        <f>TEXT(Clean_Data[[#This Row],[OrderDate]], "yyyy-mm")</f>
        <v>2018-11</v>
      </c>
      <c r="P35" s="7">
        <f>Clean_Data[[#This Row],[Profit]]/Clean_Data[[#This Row],[Revenue ]]</f>
        <v>-0.9375</v>
      </c>
      <c r="Q35" t="str">
        <f>"Q"&amp;ROUNDUP(MONTH(Clean_Data[[#This Row],[OrderDate]])/3,0)</f>
        <v>Q4</v>
      </c>
      <c r="R35" t="str">
        <f>TEXT(Clean_Data[[#This Row],[OrderDate]], "dddd")</f>
        <v>Tuesday</v>
      </c>
    </row>
    <row r="36" spans="1:18" x14ac:dyDescent="0.25">
      <c r="A36" t="s">
        <v>68</v>
      </c>
      <c r="B36" s="4">
        <v>1745</v>
      </c>
      <c r="C36" s="4">
        <v>122</v>
      </c>
      <c r="D36" s="3">
        <v>2</v>
      </c>
      <c r="E36" t="s">
        <v>888</v>
      </c>
      <c r="F36" t="s">
        <v>902</v>
      </c>
      <c r="G36" t="s">
        <v>893</v>
      </c>
      <c r="H36" s="6">
        <f>_xlfn.XLOOKUP(A36,Orders[OrderID],Orders[OrderDate])</f>
        <v>43139</v>
      </c>
      <c r="I36" t="str">
        <f>_xlfn.XLOOKUP(A36,Orders[OrderID],Orders[CustomerName])</f>
        <v>Hitesh</v>
      </c>
      <c r="J36" t="str">
        <f>_xlfn.XLOOKUP(A36,Orders[OrderID],Orders[State])</f>
        <v>Madhya Pradesh</v>
      </c>
      <c r="K36" t="str">
        <f>_xlfn.XLOOKUP(A36,Orders[OrderID],Orders[City])</f>
        <v>Bhopal</v>
      </c>
      <c r="L36" s="3">
        <f>YEAR(Clean_Data[[#This Row],[OrderDate]])</f>
        <v>2018</v>
      </c>
      <c r="M36" s="3">
        <f>MONTH(Clean_Data[[#This Row],[OrderDate]])</f>
        <v>2</v>
      </c>
      <c r="N36" s="8" t="str">
        <f>TEXT(Clean_Data[[#This Row],[OrderDate]],"mmm")</f>
        <v>Feb</v>
      </c>
      <c r="O36" s="8" t="str">
        <f>TEXT(Clean_Data[[#This Row],[OrderDate]], "yyyy-mm")</f>
        <v>2018-02</v>
      </c>
      <c r="P36" s="7">
        <f>Clean_Data[[#This Row],[Profit]]/Clean_Data[[#This Row],[Revenue ]]</f>
        <v>6.9914040114613177E-2</v>
      </c>
      <c r="Q36" t="str">
        <f>"Q"&amp;ROUNDUP(MONTH(Clean_Data[[#This Row],[OrderDate]])/3,0)</f>
        <v>Q1</v>
      </c>
      <c r="R36" t="str">
        <f>TEXT(Clean_Data[[#This Row],[OrderDate]], "dddd")</f>
        <v>Thursday</v>
      </c>
    </row>
    <row r="37" spans="1:18" x14ac:dyDescent="0.25">
      <c r="A37" t="s">
        <v>313</v>
      </c>
      <c r="B37" s="4">
        <v>663</v>
      </c>
      <c r="C37" s="4">
        <v>-212</v>
      </c>
      <c r="D37" s="3">
        <v>5</v>
      </c>
      <c r="E37" t="s">
        <v>885</v>
      </c>
      <c r="F37" t="s">
        <v>892</v>
      </c>
      <c r="G37" t="s">
        <v>898</v>
      </c>
      <c r="H37" s="6">
        <f>_xlfn.XLOOKUP(A37,Orders[OrderID],Orders[OrderDate])</f>
        <v>43187</v>
      </c>
      <c r="I37" t="str">
        <f>_xlfn.XLOOKUP(A37,Orders[OrderID],Orders[CustomerName])</f>
        <v>Vini</v>
      </c>
      <c r="J37" t="str">
        <f>_xlfn.XLOOKUP(A37,Orders[OrderID],Orders[State])</f>
        <v>Karnataka</v>
      </c>
      <c r="K37" t="str">
        <f>_xlfn.XLOOKUP(A37,Orders[OrderID],Orders[City])</f>
        <v>Bangalore</v>
      </c>
      <c r="L37" s="3">
        <f>YEAR(Clean_Data[[#This Row],[OrderDate]])</f>
        <v>2018</v>
      </c>
      <c r="M37" s="3">
        <f>MONTH(Clean_Data[[#This Row],[OrderDate]])</f>
        <v>3</v>
      </c>
      <c r="N37" s="8" t="str">
        <f>TEXT(Clean_Data[[#This Row],[OrderDate]],"mmm")</f>
        <v>Mar</v>
      </c>
      <c r="O37" s="8" t="str">
        <f>TEXT(Clean_Data[[#This Row],[OrderDate]], "yyyy-mm")</f>
        <v>2018-03</v>
      </c>
      <c r="P37" s="7">
        <f>Clean_Data[[#This Row],[Profit]]/Clean_Data[[#This Row],[Revenue ]]</f>
        <v>-0.31975867269984914</v>
      </c>
      <c r="Q37" t="str">
        <f>"Q"&amp;ROUNDUP(MONTH(Clean_Data[[#This Row],[OrderDate]])/3,0)</f>
        <v>Q1</v>
      </c>
      <c r="R37" t="str">
        <f>TEXT(Clean_Data[[#This Row],[OrderDate]], "dddd")</f>
        <v>Wednesday</v>
      </c>
    </row>
    <row r="38" spans="1:18" x14ac:dyDescent="0.25">
      <c r="A38" t="s">
        <v>341</v>
      </c>
      <c r="B38" s="4">
        <v>10</v>
      </c>
      <c r="C38" s="4">
        <v>-1</v>
      </c>
      <c r="D38" s="3">
        <v>1</v>
      </c>
      <c r="E38" t="s">
        <v>895</v>
      </c>
      <c r="F38" t="s">
        <v>904</v>
      </c>
      <c r="G38" t="s">
        <v>898</v>
      </c>
      <c r="H38" s="6">
        <f>_xlfn.XLOOKUP(A38,Orders[OrderID],Orders[OrderDate])</f>
        <v>43286</v>
      </c>
      <c r="I38" t="str">
        <f>_xlfn.XLOOKUP(A38,Orders[OrderID],Orders[CustomerName])</f>
        <v>Megha</v>
      </c>
      <c r="J38" t="str">
        <f>_xlfn.XLOOKUP(A38,Orders[OrderID],Orders[State])</f>
        <v>Maharashtra</v>
      </c>
      <c r="K38" t="str">
        <f>_xlfn.XLOOKUP(A38,Orders[OrderID],Orders[City])</f>
        <v>Pune</v>
      </c>
      <c r="L38" s="3">
        <f>YEAR(Clean_Data[[#This Row],[OrderDate]])</f>
        <v>2018</v>
      </c>
      <c r="M38" s="3">
        <f>MONTH(Clean_Data[[#This Row],[OrderDate]])</f>
        <v>7</v>
      </c>
      <c r="N38" s="8" t="str">
        <f>TEXT(Clean_Data[[#This Row],[OrderDate]],"mmm")</f>
        <v>Jul</v>
      </c>
      <c r="O38" s="8" t="str">
        <f>TEXT(Clean_Data[[#This Row],[OrderDate]], "yyyy-mm")</f>
        <v>2018-07</v>
      </c>
      <c r="P38" s="7">
        <f>Clean_Data[[#This Row],[Profit]]/Clean_Data[[#This Row],[Revenue ]]</f>
        <v>-0.1</v>
      </c>
      <c r="Q38" t="str">
        <f>"Q"&amp;ROUNDUP(MONTH(Clean_Data[[#This Row],[OrderDate]])/3,0)</f>
        <v>Q3</v>
      </c>
      <c r="R38" t="str">
        <f>TEXT(Clean_Data[[#This Row],[OrderDate]], "dddd")</f>
        <v>Thursday</v>
      </c>
    </row>
    <row r="39" spans="1:18" x14ac:dyDescent="0.25">
      <c r="A39" t="s">
        <v>81</v>
      </c>
      <c r="B39" s="4">
        <v>1630</v>
      </c>
      <c r="C39" s="4">
        <v>802</v>
      </c>
      <c r="D39" s="3">
        <v>5</v>
      </c>
      <c r="E39" t="s">
        <v>888</v>
      </c>
      <c r="F39" t="s">
        <v>902</v>
      </c>
      <c r="G39" t="s">
        <v>890</v>
      </c>
      <c r="H39" s="6">
        <f>_xlfn.XLOOKUP(A39,Orders[OrderID],Orders[OrderDate])</f>
        <v>43373</v>
      </c>
      <c r="I39" t="str">
        <f>_xlfn.XLOOKUP(A39,Orders[OrderID],Orders[CustomerName])</f>
        <v>Sauptik</v>
      </c>
      <c r="J39" t="str">
        <f>_xlfn.XLOOKUP(A39,Orders[OrderID],Orders[State])</f>
        <v>Madhya Pradesh</v>
      </c>
      <c r="K39" t="str">
        <f>_xlfn.XLOOKUP(A39,Orders[OrderID],Orders[City])</f>
        <v>Indore</v>
      </c>
      <c r="L39" s="3">
        <f>YEAR(Clean_Data[[#This Row],[OrderDate]])</f>
        <v>2018</v>
      </c>
      <c r="M39" s="3">
        <f>MONTH(Clean_Data[[#This Row],[OrderDate]])</f>
        <v>9</v>
      </c>
      <c r="N39" s="8" t="str">
        <f>TEXT(Clean_Data[[#This Row],[OrderDate]],"mmm")</f>
        <v>Sep</v>
      </c>
      <c r="O39" s="8" t="str">
        <f>TEXT(Clean_Data[[#This Row],[OrderDate]], "yyyy-mm")</f>
        <v>2018-09</v>
      </c>
      <c r="P39" s="7">
        <f>Clean_Data[[#This Row],[Profit]]/Clean_Data[[#This Row],[Revenue ]]</f>
        <v>0.4920245398773006</v>
      </c>
      <c r="Q39" t="str">
        <f>"Q"&amp;ROUNDUP(MONTH(Clean_Data[[#This Row],[OrderDate]])/3,0)</f>
        <v>Q3</v>
      </c>
      <c r="R39" t="str">
        <f>TEXT(Clean_Data[[#This Row],[OrderDate]], "dddd")</f>
        <v>Sunday</v>
      </c>
    </row>
    <row r="40" spans="1:18" x14ac:dyDescent="0.25">
      <c r="A40" t="s">
        <v>454</v>
      </c>
      <c r="B40" s="4">
        <v>12</v>
      </c>
      <c r="C40" s="4">
        <v>0</v>
      </c>
      <c r="D40" s="3">
        <v>2</v>
      </c>
      <c r="E40" t="s">
        <v>895</v>
      </c>
      <c r="F40" t="s">
        <v>899</v>
      </c>
      <c r="G40" t="s">
        <v>898</v>
      </c>
      <c r="H40" s="6">
        <f>_xlfn.XLOOKUP(A40,Orders[OrderID],Orders[OrderDate])</f>
        <v>43208</v>
      </c>
      <c r="I40" t="str">
        <f>_xlfn.XLOOKUP(A40,Orders[OrderID],Orders[CustomerName])</f>
        <v>Manju</v>
      </c>
      <c r="J40" t="str">
        <f>_xlfn.XLOOKUP(A40,Orders[OrderID],Orders[State])</f>
        <v>Andhra Pradesh</v>
      </c>
      <c r="K40" t="str">
        <f>_xlfn.XLOOKUP(A40,Orders[OrderID],Orders[City])</f>
        <v>Hyderabad</v>
      </c>
      <c r="L40" s="3">
        <f>YEAR(Clean_Data[[#This Row],[OrderDate]])</f>
        <v>2018</v>
      </c>
      <c r="M40" s="3">
        <f>MONTH(Clean_Data[[#This Row],[OrderDate]])</f>
        <v>4</v>
      </c>
      <c r="N40" s="8" t="str">
        <f>TEXT(Clean_Data[[#This Row],[OrderDate]],"mmm")</f>
        <v>Apr</v>
      </c>
      <c r="O40" s="8" t="str">
        <f>TEXT(Clean_Data[[#This Row],[OrderDate]], "yyyy-mm")</f>
        <v>2018-04</v>
      </c>
      <c r="P40" s="7">
        <f>Clean_Data[[#This Row],[Profit]]/Clean_Data[[#This Row],[Revenue ]]</f>
        <v>0</v>
      </c>
      <c r="Q40" t="str">
        <f>"Q"&amp;ROUNDUP(MONTH(Clean_Data[[#This Row],[OrderDate]])/3,0)</f>
        <v>Q2</v>
      </c>
      <c r="R40" t="str">
        <f>TEXT(Clean_Data[[#This Row],[OrderDate]], "dddd")</f>
        <v>Wednesday</v>
      </c>
    </row>
    <row r="41" spans="1:18" x14ac:dyDescent="0.25">
      <c r="A41" t="s">
        <v>753</v>
      </c>
      <c r="B41" s="4">
        <v>12</v>
      </c>
      <c r="C41" s="4">
        <v>-7</v>
      </c>
      <c r="D41" s="3">
        <v>2</v>
      </c>
      <c r="E41" t="s">
        <v>895</v>
      </c>
      <c r="F41" t="s">
        <v>904</v>
      </c>
      <c r="G41" t="s">
        <v>898</v>
      </c>
      <c r="H41" s="6">
        <f>_xlfn.XLOOKUP(A41,Orders[OrderID],Orders[OrderDate])</f>
        <v>43299</v>
      </c>
      <c r="I41" t="str">
        <f>_xlfn.XLOOKUP(A41,Orders[OrderID],Orders[CustomerName])</f>
        <v>Wale</v>
      </c>
      <c r="J41" t="str">
        <f>_xlfn.XLOOKUP(A41,Orders[OrderID],Orders[State])</f>
        <v>Maharashtra</v>
      </c>
      <c r="K41" t="str">
        <f>_xlfn.XLOOKUP(A41,Orders[OrderID],Orders[City])</f>
        <v>Mumbai</v>
      </c>
      <c r="L41" s="3">
        <f>YEAR(Clean_Data[[#This Row],[OrderDate]])</f>
        <v>2018</v>
      </c>
      <c r="M41" s="3">
        <f>MONTH(Clean_Data[[#This Row],[OrderDate]])</f>
        <v>7</v>
      </c>
      <c r="N41" s="8" t="str">
        <f>TEXT(Clean_Data[[#This Row],[OrderDate]],"mmm")</f>
        <v>Jul</v>
      </c>
      <c r="O41" s="8" t="str">
        <f>TEXT(Clean_Data[[#This Row],[OrderDate]], "yyyy-mm")</f>
        <v>2018-07</v>
      </c>
      <c r="P41" s="7">
        <f>Clean_Data[[#This Row],[Profit]]/Clean_Data[[#This Row],[Revenue ]]</f>
        <v>-0.58333333333333337</v>
      </c>
      <c r="Q41" t="str">
        <f>"Q"&amp;ROUNDUP(MONTH(Clean_Data[[#This Row],[OrderDate]])/3,0)</f>
        <v>Q3</v>
      </c>
      <c r="R41" t="str">
        <f>TEXT(Clean_Data[[#This Row],[OrderDate]], "dddd")</f>
        <v>Wednesday</v>
      </c>
    </row>
    <row r="42" spans="1:18" x14ac:dyDescent="0.25">
      <c r="A42" t="s">
        <v>71</v>
      </c>
      <c r="B42" s="4">
        <v>1709</v>
      </c>
      <c r="C42" s="4">
        <v>564</v>
      </c>
      <c r="D42" s="3">
        <v>3</v>
      </c>
      <c r="E42" t="s">
        <v>895</v>
      </c>
      <c r="F42" t="s">
        <v>896</v>
      </c>
      <c r="G42" t="s">
        <v>893</v>
      </c>
      <c r="H42" s="6">
        <f>_xlfn.XLOOKUP(A42,Orders[OrderID],Orders[OrderDate])</f>
        <v>43331</v>
      </c>
      <c r="I42" t="str">
        <f>_xlfn.XLOOKUP(A42,Orders[OrderID],Orders[CustomerName])</f>
        <v>Shourya</v>
      </c>
      <c r="J42" t="str">
        <f>_xlfn.XLOOKUP(A42,Orders[OrderID],Orders[State])</f>
        <v xml:space="preserve">Kerala </v>
      </c>
      <c r="K42" t="str">
        <f>_xlfn.XLOOKUP(A42,Orders[OrderID],Orders[City])</f>
        <v>Thiruvananthapuram</v>
      </c>
      <c r="L42" s="3">
        <f>YEAR(Clean_Data[[#This Row],[OrderDate]])</f>
        <v>2018</v>
      </c>
      <c r="M42" s="3">
        <f>MONTH(Clean_Data[[#This Row],[OrderDate]])</f>
        <v>8</v>
      </c>
      <c r="N42" s="8" t="str">
        <f>TEXT(Clean_Data[[#This Row],[OrderDate]],"mmm")</f>
        <v>Aug</v>
      </c>
      <c r="O42" s="8" t="str">
        <f>TEXT(Clean_Data[[#This Row],[OrderDate]], "yyyy-mm")</f>
        <v>2018-08</v>
      </c>
      <c r="P42" s="7">
        <f>Clean_Data[[#This Row],[Profit]]/Clean_Data[[#This Row],[Revenue ]]</f>
        <v>0.33001755412521944</v>
      </c>
      <c r="Q42" t="str">
        <f>"Q"&amp;ROUNDUP(MONTH(Clean_Data[[#This Row],[OrderDate]])/3,0)</f>
        <v>Q3</v>
      </c>
      <c r="R42" t="str">
        <f>TEXT(Clean_Data[[#This Row],[OrderDate]], "dddd")</f>
        <v>Sunday</v>
      </c>
    </row>
    <row r="43" spans="1:18" x14ac:dyDescent="0.25">
      <c r="A43" t="s">
        <v>873</v>
      </c>
      <c r="B43" s="4">
        <v>12</v>
      </c>
      <c r="C43" s="4">
        <v>3</v>
      </c>
      <c r="D43" s="3">
        <v>1</v>
      </c>
      <c r="E43" t="s">
        <v>895</v>
      </c>
      <c r="F43" t="s">
        <v>903</v>
      </c>
      <c r="G43" t="s">
        <v>898</v>
      </c>
      <c r="H43" s="6">
        <f>_xlfn.XLOOKUP(A43,Orders[OrderID],Orders[OrderDate])</f>
        <v>43364</v>
      </c>
      <c r="I43" t="str">
        <f>_xlfn.XLOOKUP(A43,Orders[OrderID],Orders[CustomerName])</f>
        <v>Dinesh</v>
      </c>
      <c r="J43" t="str">
        <f>_xlfn.XLOOKUP(A43,Orders[OrderID],Orders[State])</f>
        <v>Tamil Nadu</v>
      </c>
      <c r="K43" t="str">
        <f>_xlfn.XLOOKUP(A43,Orders[OrderID],Orders[City])</f>
        <v>Chennai</v>
      </c>
      <c r="L43" s="3">
        <f>YEAR(Clean_Data[[#This Row],[OrderDate]])</f>
        <v>2018</v>
      </c>
      <c r="M43" s="3">
        <f>MONTH(Clean_Data[[#This Row],[OrderDate]])</f>
        <v>9</v>
      </c>
      <c r="N43" s="8" t="str">
        <f>TEXT(Clean_Data[[#This Row],[OrderDate]],"mmm")</f>
        <v>Sep</v>
      </c>
      <c r="O43" s="8" t="str">
        <f>TEXT(Clean_Data[[#This Row],[OrderDate]], "yyyy-mm")</f>
        <v>2018-09</v>
      </c>
      <c r="P43" s="7">
        <f>Clean_Data[[#This Row],[Profit]]/Clean_Data[[#This Row],[Revenue ]]</f>
        <v>0.25</v>
      </c>
      <c r="Q43" t="str">
        <f>"Q"&amp;ROUNDUP(MONTH(Clean_Data[[#This Row],[OrderDate]])/3,0)</f>
        <v>Q3</v>
      </c>
      <c r="R43" t="str">
        <f>TEXT(Clean_Data[[#This Row],[OrderDate]], "dddd")</f>
        <v>Friday</v>
      </c>
    </row>
    <row r="44" spans="1:18" x14ac:dyDescent="0.25">
      <c r="A44" t="s">
        <v>85</v>
      </c>
      <c r="B44" s="4">
        <v>1625</v>
      </c>
      <c r="C44" s="4">
        <v>-77</v>
      </c>
      <c r="D44" s="3">
        <v>3</v>
      </c>
      <c r="E44" t="s">
        <v>885</v>
      </c>
      <c r="F44" t="s">
        <v>894</v>
      </c>
      <c r="G44" t="s">
        <v>890</v>
      </c>
      <c r="H44" s="6">
        <f>_xlfn.XLOOKUP(A44,Orders[OrderID],Orders[OrderDate])</f>
        <v>43255</v>
      </c>
      <c r="I44" t="str">
        <f>_xlfn.XLOOKUP(A44,Orders[OrderID],Orders[CustomerName])</f>
        <v>Bhawna</v>
      </c>
      <c r="J44" t="str">
        <f>_xlfn.XLOOKUP(A44,Orders[OrderID],Orders[State])</f>
        <v>Madhya Pradesh</v>
      </c>
      <c r="K44" t="str">
        <f>_xlfn.XLOOKUP(A44,Orders[OrderID],Orders[City])</f>
        <v>Indore</v>
      </c>
      <c r="L44" s="3">
        <f>YEAR(Clean_Data[[#This Row],[OrderDate]])</f>
        <v>2018</v>
      </c>
      <c r="M44" s="3">
        <f>MONTH(Clean_Data[[#This Row],[OrderDate]])</f>
        <v>6</v>
      </c>
      <c r="N44" s="8" t="str">
        <f>TEXT(Clean_Data[[#This Row],[OrderDate]],"mmm")</f>
        <v>Jun</v>
      </c>
      <c r="O44" s="8" t="str">
        <f>TEXT(Clean_Data[[#This Row],[OrderDate]], "yyyy-mm")</f>
        <v>2018-06</v>
      </c>
      <c r="P44" s="7">
        <f>Clean_Data[[#This Row],[Profit]]/Clean_Data[[#This Row],[Revenue ]]</f>
        <v>-4.7384615384615386E-2</v>
      </c>
      <c r="Q44" t="str">
        <f>"Q"&amp;ROUNDUP(MONTH(Clean_Data[[#This Row],[OrderDate]])/3,0)</f>
        <v>Q2</v>
      </c>
      <c r="R44" t="str">
        <f>TEXT(Clean_Data[[#This Row],[OrderDate]], "dddd")</f>
        <v>Monday</v>
      </c>
    </row>
    <row r="45" spans="1:18" x14ac:dyDescent="0.25">
      <c r="A45" t="s">
        <v>575</v>
      </c>
      <c r="B45" s="4">
        <v>13</v>
      </c>
      <c r="C45" s="4">
        <v>5</v>
      </c>
      <c r="D45" s="3">
        <v>2</v>
      </c>
      <c r="E45" t="s">
        <v>895</v>
      </c>
      <c r="F45" t="s">
        <v>899</v>
      </c>
      <c r="G45" t="s">
        <v>898</v>
      </c>
      <c r="H45" s="6">
        <f>_xlfn.XLOOKUP(A45,Orders[OrderID],Orders[OrderDate])</f>
        <v>43134</v>
      </c>
      <c r="I45" t="str">
        <f>_xlfn.XLOOKUP(A45,Orders[OrderID],Orders[CustomerName])</f>
        <v>Mansi</v>
      </c>
      <c r="J45" t="str">
        <f>_xlfn.XLOOKUP(A45,Orders[OrderID],Orders[State])</f>
        <v>Madhya Pradesh</v>
      </c>
      <c r="K45" t="str">
        <f>_xlfn.XLOOKUP(A45,Orders[OrderID],Orders[City])</f>
        <v>Indore</v>
      </c>
      <c r="L45" s="3">
        <f>YEAR(Clean_Data[[#This Row],[OrderDate]])</f>
        <v>2018</v>
      </c>
      <c r="M45" s="3">
        <f>MONTH(Clean_Data[[#This Row],[OrderDate]])</f>
        <v>2</v>
      </c>
      <c r="N45" s="8" t="str">
        <f>TEXT(Clean_Data[[#This Row],[OrderDate]],"mmm")</f>
        <v>Feb</v>
      </c>
      <c r="O45" s="8" t="str">
        <f>TEXT(Clean_Data[[#This Row],[OrderDate]], "yyyy-mm")</f>
        <v>2018-02</v>
      </c>
      <c r="P45" s="7">
        <f>Clean_Data[[#This Row],[Profit]]/Clean_Data[[#This Row],[Revenue ]]</f>
        <v>0.38461538461538464</v>
      </c>
      <c r="Q45" t="str">
        <f>"Q"&amp;ROUNDUP(MONTH(Clean_Data[[#This Row],[OrderDate]])/3,0)</f>
        <v>Q1</v>
      </c>
      <c r="R45" t="str">
        <f>TEXT(Clean_Data[[#This Row],[OrderDate]], "dddd")</f>
        <v>Saturday</v>
      </c>
    </row>
    <row r="46" spans="1:18" x14ac:dyDescent="0.25">
      <c r="A46" t="s">
        <v>132</v>
      </c>
      <c r="B46" s="4">
        <v>1361</v>
      </c>
      <c r="C46" s="4">
        <v>980</v>
      </c>
      <c r="D46" s="3">
        <v>3</v>
      </c>
      <c r="E46" t="s">
        <v>888</v>
      </c>
      <c r="F46" t="s">
        <v>902</v>
      </c>
      <c r="G46" t="s">
        <v>887</v>
      </c>
      <c r="H46" s="6">
        <f>_xlfn.XLOOKUP(A46,Orders[OrderID],Orders[OrderDate])</f>
        <v>43355</v>
      </c>
      <c r="I46" t="str">
        <f>_xlfn.XLOOKUP(A46,Orders[OrderID],Orders[CustomerName])</f>
        <v>Savi</v>
      </c>
      <c r="J46" t="str">
        <f>_xlfn.XLOOKUP(A46,Orders[OrderID],Orders[State])</f>
        <v>Maharashtra</v>
      </c>
      <c r="K46" t="str">
        <f>_xlfn.XLOOKUP(A46,Orders[OrderID],Orders[City])</f>
        <v>Pune</v>
      </c>
      <c r="L46" s="3">
        <f>YEAR(Clean_Data[[#This Row],[OrderDate]])</f>
        <v>2018</v>
      </c>
      <c r="M46" s="3">
        <f>MONTH(Clean_Data[[#This Row],[OrderDate]])</f>
        <v>9</v>
      </c>
      <c r="N46" s="8" t="str">
        <f>TEXT(Clean_Data[[#This Row],[OrderDate]],"mmm")</f>
        <v>Sep</v>
      </c>
      <c r="O46" s="8" t="str">
        <f>TEXT(Clean_Data[[#This Row],[OrderDate]], "yyyy-mm")</f>
        <v>2018-09</v>
      </c>
      <c r="P46" s="7">
        <f>Clean_Data[[#This Row],[Profit]]/Clean_Data[[#This Row],[Revenue ]]</f>
        <v>0.7200587803085966</v>
      </c>
      <c r="Q46" t="str">
        <f>"Q"&amp;ROUNDUP(MONTH(Clean_Data[[#This Row],[OrderDate]])/3,0)</f>
        <v>Q3</v>
      </c>
      <c r="R46" t="str">
        <f>TEXT(Clean_Data[[#This Row],[OrderDate]], "dddd")</f>
        <v>Wednesday</v>
      </c>
    </row>
    <row r="47" spans="1:18" x14ac:dyDescent="0.25">
      <c r="A47" t="s">
        <v>87</v>
      </c>
      <c r="B47" s="4">
        <v>1622</v>
      </c>
      <c r="C47" s="4">
        <v>-448</v>
      </c>
      <c r="D47" s="3">
        <v>3</v>
      </c>
      <c r="E47" t="s">
        <v>885</v>
      </c>
      <c r="F47" t="s">
        <v>894</v>
      </c>
      <c r="G47" t="s">
        <v>890</v>
      </c>
      <c r="H47" s="6">
        <f>_xlfn.XLOOKUP(A47,Orders[OrderID],Orders[OrderDate])</f>
        <v>43447</v>
      </c>
      <c r="I47" t="str">
        <f>_xlfn.XLOOKUP(A47,Orders[OrderID],Orders[CustomerName])</f>
        <v>Sujay</v>
      </c>
      <c r="J47" t="str">
        <f>_xlfn.XLOOKUP(A47,Orders[OrderID],Orders[State])</f>
        <v>Maharashtra</v>
      </c>
      <c r="K47" t="str">
        <f>_xlfn.XLOOKUP(A47,Orders[OrderID],Orders[City])</f>
        <v>Pune</v>
      </c>
      <c r="L47" s="3">
        <f>YEAR(Clean_Data[[#This Row],[OrderDate]])</f>
        <v>2018</v>
      </c>
      <c r="M47" s="3">
        <f>MONTH(Clean_Data[[#This Row],[OrderDate]])</f>
        <v>12</v>
      </c>
      <c r="N47" s="8" t="str">
        <f>TEXT(Clean_Data[[#This Row],[OrderDate]],"mmm")</f>
        <v>Dec</v>
      </c>
      <c r="O47" s="8" t="str">
        <f>TEXT(Clean_Data[[#This Row],[OrderDate]], "yyyy-mm")</f>
        <v>2018-12</v>
      </c>
      <c r="P47" s="7">
        <f>Clean_Data[[#This Row],[Profit]]/Clean_Data[[#This Row],[Revenue ]]</f>
        <v>-0.27620221948212081</v>
      </c>
      <c r="Q47" t="str">
        <f>"Q"&amp;ROUNDUP(MONTH(Clean_Data[[#This Row],[OrderDate]])/3,0)</f>
        <v>Q4</v>
      </c>
      <c r="R47" t="str">
        <f>TEXT(Clean_Data[[#This Row],[OrderDate]], "dddd")</f>
        <v>Thursday</v>
      </c>
    </row>
    <row r="48" spans="1:18" x14ac:dyDescent="0.25">
      <c r="A48" t="s">
        <v>108</v>
      </c>
      <c r="B48" s="4">
        <v>1547</v>
      </c>
      <c r="C48" s="4">
        <v>340</v>
      </c>
      <c r="D48" s="3">
        <v>6</v>
      </c>
      <c r="E48" t="s">
        <v>885</v>
      </c>
      <c r="F48" t="s">
        <v>905</v>
      </c>
      <c r="G48" t="s">
        <v>890</v>
      </c>
      <c r="H48" s="6">
        <f>_xlfn.XLOOKUP(A48,Orders[OrderID],Orders[OrderDate])</f>
        <v>43109</v>
      </c>
      <c r="I48" t="str">
        <f>_xlfn.XLOOKUP(A48,Orders[OrderID],Orders[CustomerName])</f>
        <v>Shardul</v>
      </c>
      <c r="J48" t="str">
        <f>_xlfn.XLOOKUP(A48,Orders[OrderID],Orders[State])</f>
        <v>Gujarat</v>
      </c>
      <c r="K48" t="str">
        <f>_xlfn.XLOOKUP(A48,Orders[OrderID],Orders[City])</f>
        <v>Ahmedabad</v>
      </c>
      <c r="L48" s="3">
        <f>YEAR(Clean_Data[[#This Row],[OrderDate]])</f>
        <v>2018</v>
      </c>
      <c r="M48" s="3">
        <f>MONTH(Clean_Data[[#This Row],[OrderDate]])</f>
        <v>1</v>
      </c>
      <c r="N48" s="8" t="str">
        <f>TEXT(Clean_Data[[#This Row],[OrderDate]],"mmm")</f>
        <v>Jan</v>
      </c>
      <c r="O48" s="8" t="str">
        <f>TEXT(Clean_Data[[#This Row],[OrderDate]], "yyyy-mm")</f>
        <v>2018-01</v>
      </c>
      <c r="P48" s="7">
        <f>Clean_Data[[#This Row],[Profit]]/Clean_Data[[#This Row],[Revenue ]]</f>
        <v>0.21978021978021978</v>
      </c>
      <c r="Q48" t="str">
        <f>"Q"&amp;ROUNDUP(MONTH(Clean_Data[[#This Row],[OrderDate]])/3,0)</f>
        <v>Q1</v>
      </c>
      <c r="R48" t="str">
        <f>TEXT(Clean_Data[[#This Row],[OrderDate]], "dddd")</f>
        <v>Tuesday</v>
      </c>
    </row>
    <row r="49" spans="1:18" x14ac:dyDescent="0.25">
      <c r="A49" t="s">
        <v>77</v>
      </c>
      <c r="B49" s="4">
        <v>1657</v>
      </c>
      <c r="C49" s="4">
        <v>460</v>
      </c>
      <c r="D49" s="3">
        <v>4</v>
      </c>
      <c r="E49" t="s">
        <v>888</v>
      </c>
      <c r="F49" t="s">
        <v>889</v>
      </c>
      <c r="G49" t="s">
        <v>893</v>
      </c>
      <c r="H49" s="6">
        <f>_xlfn.XLOOKUP(A49,Orders[OrderID],Orders[OrderDate])</f>
        <v>43104</v>
      </c>
      <c r="I49" t="str">
        <f>_xlfn.XLOOKUP(A49,Orders[OrderID],Orders[CustomerName])</f>
        <v>Sudhir</v>
      </c>
      <c r="J49" t="str">
        <f>_xlfn.XLOOKUP(A49,Orders[OrderID],Orders[State])</f>
        <v>Nagaland</v>
      </c>
      <c r="K49" t="str">
        <f>_xlfn.XLOOKUP(A49,Orders[OrderID],Orders[City])</f>
        <v>Kohima</v>
      </c>
      <c r="L49" s="3">
        <f>YEAR(Clean_Data[[#This Row],[OrderDate]])</f>
        <v>2018</v>
      </c>
      <c r="M49" s="3">
        <f>MONTH(Clean_Data[[#This Row],[OrderDate]])</f>
        <v>1</v>
      </c>
      <c r="N49" s="8" t="str">
        <f>TEXT(Clean_Data[[#This Row],[OrderDate]],"mmm")</f>
        <v>Jan</v>
      </c>
      <c r="O49" s="8" t="str">
        <f>TEXT(Clean_Data[[#This Row],[OrderDate]], "yyyy-mm")</f>
        <v>2018-01</v>
      </c>
      <c r="P49" s="7">
        <f>Clean_Data[[#This Row],[Profit]]/Clean_Data[[#This Row],[Revenue ]]</f>
        <v>0.27761013880506941</v>
      </c>
      <c r="Q49" t="str">
        <f>"Q"&amp;ROUNDUP(MONTH(Clean_Data[[#This Row],[OrderDate]])/3,0)</f>
        <v>Q1</v>
      </c>
      <c r="R49" t="str">
        <f>TEXT(Clean_Data[[#This Row],[OrderDate]], "dddd")</f>
        <v>Thursday</v>
      </c>
    </row>
    <row r="50" spans="1:18" x14ac:dyDescent="0.25">
      <c r="A50" t="s">
        <v>93</v>
      </c>
      <c r="B50" s="4">
        <v>1603</v>
      </c>
      <c r="C50" s="4">
        <v>0</v>
      </c>
      <c r="D50" s="3">
        <v>9</v>
      </c>
      <c r="E50" t="s">
        <v>895</v>
      </c>
      <c r="F50" t="s">
        <v>897</v>
      </c>
      <c r="G50" t="s">
        <v>893</v>
      </c>
      <c r="H50" s="6">
        <f>_xlfn.XLOOKUP(A50,Orders[OrderID],Orders[OrderDate])</f>
        <v>43202</v>
      </c>
      <c r="I50" t="str">
        <f>_xlfn.XLOOKUP(A50,Orders[OrderID],Orders[CustomerName])</f>
        <v>Mohan</v>
      </c>
      <c r="J50" t="str">
        <f>_xlfn.XLOOKUP(A50,Orders[OrderID],Orders[State])</f>
        <v>Haryana</v>
      </c>
      <c r="K50" t="str">
        <f>_xlfn.XLOOKUP(A50,Orders[OrderID],Orders[City])</f>
        <v>Chandigarh</v>
      </c>
      <c r="L50" s="3">
        <f>YEAR(Clean_Data[[#This Row],[OrderDate]])</f>
        <v>2018</v>
      </c>
      <c r="M50" s="3">
        <f>MONTH(Clean_Data[[#This Row],[OrderDate]])</f>
        <v>4</v>
      </c>
      <c r="N50" s="8" t="str">
        <f>TEXT(Clean_Data[[#This Row],[OrderDate]],"mmm")</f>
        <v>Apr</v>
      </c>
      <c r="O50" s="8" t="str">
        <f>TEXT(Clean_Data[[#This Row],[OrderDate]], "yyyy-mm")</f>
        <v>2018-04</v>
      </c>
      <c r="P50" s="7">
        <f>Clean_Data[[#This Row],[Profit]]/Clean_Data[[#This Row],[Revenue ]]</f>
        <v>0</v>
      </c>
      <c r="Q50" t="str">
        <f>"Q"&amp;ROUNDUP(MONTH(Clean_Data[[#This Row],[OrderDate]])/3,0)</f>
        <v>Q2</v>
      </c>
      <c r="R50" t="str">
        <f>TEXT(Clean_Data[[#This Row],[OrderDate]], "dddd")</f>
        <v>Thursday</v>
      </c>
    </row>
    <row r="51" spans="1:18" x14ac:dyDescent="0.25">
      <c r="A51" t="s">
        <v>106</v>
      </c>
      <c r="B51" s="4">
        <v>1549</v>
      </c>
      <c r="C51" s="4">
        <v>-439</v>
      </c>
      <c r="D51" s="3">
        <v>4</v>
      </c>
      <c r="E51" t="s">
        <v>885</v>
      </c>
      <c r="F51" t="s">
        <v>894</v>
      </c>
      <c r="G51" t="s">
        <v>893</v>
      </c>
      <c r="H51" s="6">
        <f>_xlfn.XLOOKUP(A51,Orders[OrderID],Orders[OrderDate])</f>
        <v>43303</v>
      </c>
      <c r="I51" t="str">
        <f>_xlfn.XLOOKUP(A51,Orders[OrderID],Orders[CustomerName])</f>
        <v>Madhulika</v>
      </c>
      <c r="J51" t="str">
        <f>_xlfn.XLOOKUP(A51,Orders[OrderID],Orders[State])</f>
        <v>Madhya Pradesh</v>
      </c>
      <c r="K51" t="str">
        <f>_xlfn.XLOOKUP(A51,Orders[OrderID],Orders[City])</f>
        <v>Bhopal</v>
      </c>
      <c r="L51" s="3">
        <f>YEAR(Clean_Data[[#This Row],[OrderDate]])</f>
        <v>2018</v>
      </c>
      <c r="M51" s="3">
        <f>MONTH(Clean_Data[[#This Row],[OrderDate]])</f>
        <v>7</v>
      </c>
      <c r="N51" s="8" t="str">
        <f>TEXT(Clean_Data[[#This Row],[OrderDate]],"mmm")</f>
        <v>Jul</v>
      </c>
      <c r="O51" s="8" t="str">
        <f>TEXT(Clean_Data[[#This Row],[OrderDate]], "yyyy-mm")</f>
        <v>2018-07</v>
      </c>
      <c r="P51" s="7">
        <f>Clean_Data[[#This Row],[Profit]]/Clean_Data[[#This Row],[Revenue ]]</f>
        <v>-0.28340865074241445</v>
      </c>
      <c r="Q51" t="str">
        <f>"Q"&amp;ROUNDUP(MONTH(Clean_Data[[#This Row],[OrderDate]])/3,0)</f>
        <v>Q3</v>
      </c>
      <c r="R51" t="str">
        <f>TEXT(Clean_Data[[#This Row],[OrderDate]], "dddd")</f>
        <v>Sunday</v>
      </c>
    </row>
    <row r="52" spans="1:18" x14ac:dyDescent="0.25">
      <c r="A52" t="s">
        <v>177</v>
      </c>
      <c r="B52" s="4">
        <v>1183</v>
      </c>
      <c r="C52" s="4">
        <v>106</v>
      </c>
      <c r="D52" s="3">
        <v>4</v>
      </c>
      <c r="E52" t="s">
        <v>885</v>
      </c>
      <c r="F52" t="s">
        <v>892</v>
      </c>
      <c r="G52" t="s">
        <v>890</v>
      </c>
      <c r="H52" s="6">
        <f>_xlfn.XLOOKUP(A52,Orders[OrderID],Orders[OrderDate])</f>
        <v>43345</v>
      </c>
      <c r="I52" t="str">
        <f>_xlfn.XLOOKUP(A52,Orders[OrderID],Orders[CustomerName])</f>
        <v>Sanjana</v>
      </c>
      <c r="J52" t="str">
        <f>_xlfn.XLOOKUP(A52,Orders[OrderID],Orders[State])</f>
        <v>Bihar</v>
      </c>
      <c r="K52" t="str">
        <f>_xlfn.XLOOKUP(A52,Orders[OrderID],Orders[City])</f>
        <v>Patna</v>
      </c>
      <c r="L52" s="3">
        <f>YEAR(Clean_Data[[#This Row],[OrderDate]])</f>
        <v>2018</v>
      </c>
      <c r="M52" s="3">
        <f>MONTH(Clean_Data[[#This Row],[OrderDate]])</f>
        <v>9</v>
      </c>
      <c r="N52" s="8" t="str">
        <f>TEXT(Clean_Data[[#This Row],[OrderDate]],"mmm")</f>
        <v>Sep</v>
      </c>
      <c r="O52" s="8" t="str">
        <f>TEXT(Clean_Data[[#This Row],[OrderDate]], "yyyy-mm")</f>
        <v>2018-09</v>
      </c>
      <c r="P52" s="7">
        <f>Clean_Data[[#This Row],[Profit]]/Clean_Data[[#This Row],[Revenue ]]</f>
        <v>8.960270498732037E-2</v>
      </c>
      <c r="Q52" t="str">
        <f>"Q"&amp;ROUNDUP(MONTH(Clean_Data[[#This Row],[OrderDate]])/3,0)</f>
        <v>Q3</v>
      </c>
      <c r="R52" t="str">
        <f>TEXT(Clean_Data[[#This Row],[OrderDate]], "dddd")</f>
        <v>Sunday</v>
      </c>
    </row>
    <row r="53" spans="1:18" x14ac:dyDescent="0.25">
      <c r="A53" t="s">
        <v>434</v>
      </c>
      <c r="B53" s="4">
        <v>74</v>
      </c>
      <c r="C53" s="4">
        <v>-123</v>
      </c>
      <c r="D53" s="3">
        <v>8</v>
      </c>
      <c r="E53" t="s">
        <v>895</v>
      </c>
      <c r="F53" t="s">
        <v>901</v>
      </c>
      <c r="G53" t="s">
        <v>898</v>
      </c>
      <c r="H53" s="6">
        <f>_xlfn.XLOOKUP(A53,Orders[OrderID],Orders[OrderDate])</f>
        <v>43231</v>
      </c>
      <c r="I53" t="str">
        <f>_xlfn.XLOOKUP(A53,Orders[OrderID],Orders[CustomerName])</f>
        <v>Nida</v>
      </c>
      <c r="J53" t="str">
        <f>_xlfn.XLOOKUP(A53,Orders[OrderID],Orders[State])</f>
        <v>Madhya Pradesh</v>
      </c>
      <c r="K53" t="str">
        <f>_xlfn.XLOOKUP(A53,Orders[OrderID],Orders[City])</f>
        <v>Indore</v>
      </c>
      <c r="L53" s="3">
        <f>YEAR(Clean_Data[[#This Row],[OrderDate]])</f>
        <v>2018</v>
      </c>
      <c r="M53" s="3">
        <f>MONTH(Clean_Data[[#This Row],[OrderDate]])</f>
        <v>5</v>
      </c>
      <c r="N53" s="8" t="str">
        <f>TEXT(Clean_Data[[#This Row],[OrderDate]],"mmm")</f>
        <v>May</v>
      </c>
      <c r="O53" s="8" t="str">
        <f>TEXT(Clean_Data[[#This Row],[OrderDate]], "yyyy-mm")</f>
        <v>2018-05</v>
      </c>
      <c r="P53" s="7">
        <f>Clean_Data[[#This Row],[Profit]]/Clean_Data[[#This Row],[Revenue ]]</f>
        <v>-1.6621621621621621</v>
      </c>
      <c r="Q53" t="str">
        <f>"Q"&amp;ROUNDUP(MONTH(Clean_Data[[#This Row],[OrderDate]])/3,0)</f>
        <v>Q2</v>
      </c>
      <c r="R53" t="str">
        <f>TEXT(Clean_Data[[#This Row],[OrderDate]], "dddd")</f>
        <v>Friday</v>
      </c>
    </row>
    <row r="54" spans="1:18" x14ac:dyDescent="0.25">
      <c r="A54" t="s">
        <v>489</v>
      </c>
      <c r="B54" s="4">
        <v>1499</v>
      </c>
      <c r="C54" s="4">
        <v>239</v>
      </c>
      <c r="D54" s="3">
        <v>13</v>
      </c>
      <c r="E54" t="s">
        <v>895</v>
      </c>
      <c r="F54" t="s">
        <v>897</v>
      </c>
      <c r="G54" t="s">
        <v>893</v>
      </c>
      <c r="H54" s="6">
        <f>_xlfn.XLOOKUP(A54,Orders[OrderID],Orders[OrderDate])</f>
        <v>43217</v>
      </c>
      <c r="I54" t="str">
        <f>_xlfn.XLOOKUP(A54,Orders[OrderID],Orders[CustomerName])</f>
        <v>Paridhi</v>
      </c>
      <c r="J54" t="str">
        <f>_xlfn.XLOOKUP(A54,Orders[OrderID],Orders[State])</f>
        <v>Rajasthan</v>
      </c>
      <c r="K54" t="str">
        <f>_xlfn.XLOOKUP(A54,Orders[OrderID],Orders[City])</f>
        <v>Jaipur</v>
      </c>
      <c r="L54" s="3">
        <f>YEAR(Clean_Data[[#This Row],[OrderDate]])</f>
        <v>2018</v>
      </c>
      <c r="M54" s="3">
        <f>MONTH(Clean_Data[[#This Row],[OrderDate]])</f>
        <v>4</v>
      </c>
      <c r="N54" s="8" t="str">
        <f>TEXT(Clean_Data[[#This Row],[OrderDate]],"mmm")</f>
        <v>Apr</v>
      </c>
      <c r="O54" s="8" t="str">
        <f>TEXT(Clean_Data[[#This Row],[OrderDate]], "yyyy-mm")</f>
        <v>2018-04</v>
      </c>
      <c r="P54" s="7">
        <f>Clean_Data[[#This Row],[Profit]]/Clean_Data[[#This Row],[Revenue ]]</f>
        <v>0.15943962641761175</v>
      </c>
      <c r="Q54" t="str">
        <f>"Q"&amp;ROUNDUP(MONTH(Clean_Data[[#This Row],[OrderDate]])/3,0)</f>
        <v>Q2</v>
      </c>
      <c r="R54" t="str">
        <f>TEXT(Clean_Data[[#This Row],[OrderDate]], "dddd")</f>
        <v>Friday</v>
      </c>
    </row>
    <row r="55" spans="1:18" x14ac:dyDescent="0.25">
      <c r="A55" t="s">
        <v>187</v>
      </c>
      <c r="B55" s="4">
        <v>1120</v>
      </c>
      <c r="C55" s="4">
        <v>199</v>
      </c>
      <c r="D55" s="3">
        <v>6</v>
      </c>
      <c r="E55" t="s">
        <v>895</v>
      </c>
      <c r="F55" t="s">
        <v>897</v>
      </c>
      <c r="G55" t="s">
        <v>890</v>
      </c>
      <c r="H55" s="6">
        <f>_xlfn.XLOOKUP(A55,Orders[OrderID],Orders[OrderDate])</f>
        <v>43383</v>
      </c>
      <c r="I55" t="str">
        <f>_xlfn.XLOOKUP(A55,Orders[OrderID],Orders[CustomerName])</f>
        <v>Nripraj</v>
      </c>
      <c r="J55" t="str">
        <f>_xlfn.XLOOKUP(A55,Orders[OrderID],Orders[State])</f>
        <v>Punjab</v>
      </c>
      <c r="K55" t="str">
        <f>_xlfn.XLOOKUP(A55,Orders[OrderID],Orders[City])</f>
        <v>Chandigarh</v>
      </c>
      <c r="L55" s="3">
        <f>YEAR(Clean_Data[[#This Row],[OrderDate]])</f>
        <v>2018</v>
      </c>
      <c r="M55" s="3">
        <f>MONTH(Clean_Data[[#This Row],[OrderDate]])</f>
        <v>10</v>
      </c>
      <c r="N55" s="8" t="str">
        <f>TEXT(Clean_Data[[#This Row],[OrderDate]],"mmm")</f>
        <v>Oct</v>
      </c>
      <c r="O55" s="8" t="str">
        <f>TEXT(Clean_Data[[#This Row],[OrderDate]], "yyyy-mm")</f>
        <v>2018-10</v>
      </c>
      <c r="P55" s="7">
        <f>Clean_Data[[#This Row],[Profit]]/Clean_Data[[#This Row],[Revenue ]]</f>
        <v>0.17767857142857144</v>
      </c>
      <c r="Q55" t="str">
        <f>"Q"&amp;ROUNDUP(MONTH(Clean_Data[[#This Row],[OrderDate]])/3,0)</f>
        <v>Q4</v>
      </c>
      <c r="R55" t="str">
        <f>TEXT(Clean_Data[[#This Row],[OrderDate]], "dddd")</f>
        <v>Wednesday</v>
      </c>
    </row>
    <row r="56" spans="1:18" x14ac:dyDescent="0.25">
      <c r="A56" t="s">
        <v>766</v>
      </c>
      <c r="B56" s="4">
        <v>15</v>
      </c>
      <c r="C56" s="4">
        <v>-2</v>
      </c>
      <c r="D56" s="3">
        <v>1</v>
      </c>
      <c r="E56" t="s">
        <v>895</v>
      </c>
      <c r="F56" t="s">
        <v>906</v>
      </c>
      <c r="G56" t="s">
        <v>907</v>
      </c>
      <c r="H56" s="6">
        <f>_xlfn.XLOOKUP(A56,Orders[OrderID],Orders[OrderDate])</f>
        <v>43374</v>
      </c>
      <c r="I56" t="str">
        <f>_xlfn.XLOOKUP(A56,Orders[OrderID],Orders[CustomerName])</f>
        <v>Aryan</v>
      </c>
      <c r="J56" t="str">
        <f>_xlfn.XLOOKUP(A56,Orders[OrderID],Orders[State])</f>
        <v>Madhya Pradesh</v>
      </c>
      <c r="K56" t="str">
        <f>_xlfn.XLOOKUP(A56,Orders[OrderID],Orders[City])</f>
        <v>Bhopal</v>
      </c>
      <c r="L56" s="3">
        <f>YEAR(Clean_Data[[#This Row],[OrderDate]])</f>
        <v>2018</v>
      </c>
      <c r="M56" s="3">
        <f>MONTH(Clean_Data[[#This Row],[OrderDate]])</f>
        <v>10</v>
      </c>
      <c r="N56" s="8" t="str">
        <f>TEXT(Clean_Data[[#This Row],[OrderDate]],"mmm")</f>
        <v>Oct</v>
      </c>
      <c r="O56" s="8" t="str">
        <f>TEXT(Clean_Data[[#This Row],[OrderDate]], "yyyy-mm")</f>
        <v>2018-10</v>
      </c>
      <c r="P56" s="7">
        <f>Clean_Data[[#This Row],[Profit]]/Clean_Data[[#This Row],[Revenue ]]</f>
        <v>-0.13333333333333333</v>
      </c>
      <c r="Q56" t="str">
        <f>"Q"&amp;ROUNDUP(MONTH(Clean_Data[[#This Row],[OrderDate]])/3,0)</f>
        <v>Q4</v>
      </c>
      <c r="R56" t="str">
        <f>TEXT(Clean_Data[[#This Row],[OrderDate]], "dddd")</f>
        <v>Monday</v>
      </c>
    </row>
    <row r="57" spans="1:18" x14ac:dyDescent="0.25">
      <c r="A57" t="s">
        <v>119</v>
      </c>
      <c r="B57" s="4">
        <v>1487</v>
      </c>
      <c r="C57" s="4">
        <v>624</v>
      </c>
      <c r="D57" s="3">
        <v>3</v>
      </c>
      <c r="E57" t="s">
        <v>895</v>
      </c>
      <c r="F57" t="s">
        <v>896</v>
      </c>
      <c r="G57" t="s">
        <v>893</v>
      </c>
      <c r="H57" s="6">
        <f>_xlfn.XLOOKUP(A57,Orders[OrderID],Orders[OrderDate])</f>
        <v>43185</v>
      </c>
      <c r="I57" t="str">
        <f>_xlfn.XLOOKUP(A57,Orders[OrderID],Orders[CustomerName])</f>
        <v>Shrichand</v>
      </c>
      <c r="J57" t="str">
        <f>_xlfn.XLOOKUP(A57,Orders[OrderID],Orders[State])</f>
        <v>Punjab</v>
      </c>
      <c r="K57" t="str">
        <f>_xlfn.XLOOKUP(A57,Orders[OrderID],Orders[City])</f>
        <v>Chandigarh</v>
      </c>
      <c r="L57" s="3">
        <f>YEAR(Clean_Data[[#This Row],[OrderDate]])</f>
        <v>2018</v>
      </c>
      <c r="M57" s="3">
        <f>MONTH(Clean_Data[[#This Row],[OrderDate]])</f>
        <v>3</v>
      </c>
      <c r="N57" s="8" t="str">
        <f>TEXT(Clean_Data[[#This Row],[OrderDate]],"mmm")</f>
        <v>Mar</v>
      </c>
      <c r="O57" s="8" t="str">
        <f>TEXT(Clean_Data[[#This Row],[OrderDate]], "yyyy-mm")</f>
        <v>2018-03</v>
      </c>
      <c r="P57" s="7">
        <f>Clean_Data[[#This Row],[Profit]]/Clean_Data[[#This Row],[Revenue ]]</f>
        <v>0.41963685272360457</v>
      </c>
      <c r="Q57" t="str">
        <f>"Q"&amp;ROUNDUP(MONTH(Clean_Data[[#This Row],[OrderDate]])/3,0)</f>
        <v>Q1</v>
      </c>
      <c r="R57" t="str">
        <f>TEXT(Clean_Data[[#This Row],[OrderDate]], "dddd")</f>
        <v>Monday</v>
      </c>
    </row>
    <row r="58" spans="1:18" x14ac:dyDescent="0.25">
      <c r="A58" t="s">
        <v>189</v>
      </c>
      <c r="B58" s="4">
        <v>1118</v>
      </c>
      <c r="C58" s="4">
        <v>206</v>
      </c>
      <c r="D58" s="3">
        <v>2</v>
      </c>
      <c r="E58" t="s">
        <v>888</v>
      </c>
      <c r="F58" t="s">
        <v>902</v>
      </c>
      <c r="G58" t="s">
        <v>893</v>
      </c>
      <c r="H58" s="6">
        <f>_xlfn.XLOOKUP(A58,Orders[OrderID],Orders[OrderDate])</f>
        <v>43422</v>
      </c>
      <c r="I58" t="str">
        <f>_xlfn.XLOOKUP(A58,Orders[OrderID],Orders[CustomerName])</f>
        <v>Vikash</v>
      </c>
      <c r="J58" t="str">
        <f>_xlfn.XLOOKUP(A58,Orders[OrderID],Orders[State])</f>
        <v>Goa</v>
      </c>
      <c r="K58" t="str">
        <f>_xlfn.XLOOKUP(A58,Orders[OrderID],Orders[City])</f>
        <v>Goa</v>
      </c>
      <c r="L58" s="3">
        <f>YEAR(Clean_Data[[#This Row],[OrderDate]])</f>
        <v>2018</v>
      </c>
      <c r="M58" s="3">
        <f>MONTH(Clean_Data[[#This Row],[OrderDate]])</f>
        <v>11</v>
      </c>
      <c r="N58" s="8" t="str">
        <f>TEXT(Clean_Data[[#This Row],[OrderDate]],"mmm")</f>
        <v>Nov</v>
      </c>
      <c r="O58" s="8" t="str">
        <f>TEXT(Clean_Data[[#This Row],[OrderDate]], "yyyy-mm")</f>
        <v>2018-11</v>
      </c>
      <c r="P58" s="7">
        <f>Clean_Data[[#This Row],[Profit]]/Clean_Data[[#This Row],[Revenue ]]</f>
        <v>0.18425760286225404</v>
      </c>
      <c r="Q58" t="str">
        <f>"Q"&amp;ROUNDUP(MONTH(Clean_Data[[#This Row],[OrderDate]])/3,0)</f>
        <v>Q4</v>
      </c>
      <c r="R58" t="str">
        <f>TEXT(Clean_Data[[#This Row],[OrderDate]], "dddd")</f>
        <v>Sunday</v>
      </c>
    </row>
    <row r="59" spans="1:18" x14ac:dyDescent="0.25">
      <c r="A59" t="s">
        <v>465</v>
      </c>
      <c r="B59" s="4">
        <v>11</v>
      </c>
      <c r="C59" s="4">
        <v>-5</v>
      </c>
      <c r="D59" s="3">
        <v>2</v>
      </c>
      <c r="E59" t="s">
        <v>895</v>
      </c>
      <c r="F59" t="s">
        <v>899</v>
      </c>
      <c r="G59" t="s">
        <v>887</v>
      </c>
      <c r="H59" s="6">
        <f>_xlfn.XLOOKUP(A59,Orders[OrderID],Orders[OrderDate])</f>
        <v>43290</v>
      </c>
      <c r="I59" t="str">
        <f>_xlfn.XLOOKUP(A59,Orders[OrderID],Orders[CustomerName])</f>
        <v>Stuti</v>
      </c>
      <c r="J59" t="str">
        <f>_xlfn.XLOOKUP(A59,Orders[OrderID],Orders[State])</f>
        <v>Karnataka</v>
      </c>
      <c r="K59" t="str">
        <f>_xlfn.XLOOKUP(A59,Orders[OrderID],Orders[City])</f>
        <v>Bangalore</v>
      </c>
      <c r="L59" s="3">
        <f>YEAR(Clean_Data[[#This Row],[OrderDate]])</f>
        <v>2018</v>
      </c>
      <c r="M59" s="3">
        <f>MONTH(Clean_Data[[#This Row],[OrderDate]])</f>
        <v>7</v>
      </c>
      <c r="N59" s="8" t="str">
        <f>TEXT(Clean_Data[[#This Row],[OrderDate]],"mmm")</f>
        <v>Jul</v>
      </c>
      <c r="O59" s="8" t="str">
        <f>TEXT(Clean_Data[[#This Row],[OrderDate]], "yyyy-mm")</f>
        <v>2018-07</v>
      </c>
      <c r="P59" s="7">
        <f>Clean_Data[[#This Row],[Profit]]/Clean_Data[[#This Row],[Revenue ]]</f>
        <v>-0.45454545454545453</v>
      </c>
      <c r="Q59" t="str">
        <f>"Q"&amp;ROUNDUP(MONTH(Clean_Data[[#This Row],[OrderDate]])/3,0)</f>
        <v>Q3</v>
      </c>
      <c r="R59" t="str">
        <f>TEXT(Clean_Data[[#This Row],[OrderDate]], "dddd")</f>
        <v>Monday</v>
      </c>
    </row>
    <row r="60" spans="1:18" x14ac:dyDescent="0.25">
      <c r="A60" t="s">
        <v>869</v>
      </c>
      <c r="B60" s="4">
        <v>15</v>
      </c>
      <c r="C60" s="4">
        <v>4</v>
      </c>
      <c r="D60" s="3">
        <v>1</v>
      </c>
      <c r="E60" t="s">
        <v>895</v>
      </c>
      <c r="F60" t="s">
        <v>899</v>
      </c>
      <c r="G60" t="s">
        <v>907</v>
      </c>
      <c r="H60" s="6">
        <f>_xlfn.XLOOKUP(A60,Orders[OrderID],Orders[OrderDate])</f>
        <v>43358</v>
      </c>
      <c r="I60" t="str">
        <f>_xlfn.XLOOKUP(A60,Orders[OrderID],Orders[CustomerName])</f>
        <v>Rohit</v>
      </c>
      <c r="J60" t="str">
        <f>_xlfn.XLOOKUP(A60,Orders[OrderID],Orders[State])</f>
        <v>Rajasthan</v>
      </c>
      <c r="K60" t="str">
        <f>_xlfn.XLOOKUP(A60,Orders[OrderID],Orders[City])</f>
        <v>Jaipur</v>
      </c>
      <c r="L60" s="3">
        <f>YEAR(Clean_Data[[#This Row],[OrderDate]])</f>
        <v>2018</v>
      </c>
      <c r="M60" s="3">
        <f>MONTH(Clean_Data[[#This Row],[OrderDate]])</f>
        <v>9</v>
      </c>
      <c r="N60" s="8" t="str">
        <f>TEXT(Clean_Data[[#This Row],[OrderDate]],"mmm")</f>
        <v>Sep</v>
      </c>
      <c r="O60" s="8" t="str">
        <f>TEXT(Clean_Data[[#This Row],[OrderDate]], "yyyy-mm")</f>
        <v>2018-09</v>
      </c>
      <c r="P60" s="7">
        <f>Clean_Data[[#This Row],[Profit]]/Clean_Data[[#This Row],[Revenue ]]</f>
        <v>0.26666666666666666</v>
      </c>
      <c r="Q60" t="str">
        <f>"Q"&amp;ROUNDUP(MONTH(Clean_Data[[#This Row],[OrderDate]])/3,0)</f>
        <v>Q3</v>
      </c>
      <c r="R60" t="str">
        <f>TEXT(Clean_Data[[#This Row],[OrderDate]], "dddd")</f>
        <v>Saturday</v>
      </c>
    </row>
    <row r="61" spans="1:18" x14ac:dyDescent="0.25">
      <c r="A61" t="s">
        <v>126</v>
      </c>
      <c r="B61" s="4">
        <v>1364</v>
      </c>
      <c r="C61" s="4">
        <v>1864</v>
      </c>
      <c r="D61" s="3">
        <v>5</v>
      </c>
      <c r="E61" t="s">
        <v>888</v>
      </c>
      <c r="F61" t="s">
        <v>902</v>
      </c>
      <c r="G61" t="s">
        <v>893</v>
      </c>
      <c r="H61" s="6">
        <f>_xlfn.XLOOKUP(A61,Orders[OrderID],Orders[OrderDate])</f>
        <v>43198</v>
      </c>
      <c r="I61" t="str">
        <f>_xlfn.XLOOKUP(A61,Orders[OrderID],Orders[CustomerName])</f>
        <v>Aarushi</v>
      </c>
      <c r="J61" t="str">
        <f>_xlfn.XLOOKUP(A61,Orders[OrderID],Orders[State])</f>
        <v>Tamil Nadu</v>
      </c>
      <c r="K61" t="str">
        <f>_xlfn.XLOOKUP(A61,Orders[OrderID],Orders[City])</f>
        <v>Chennai</v>
      </c>
      <c r="L61" s="3">
        <f>YEAR(Clean_Data[[#This Row],[OrderDate]])</f>
        <v>2018</v>
      </c>
      <c r="M61" s="3">
        <f>MONTH(Clean_Data[[#This Row],[OrderDate]])</f>
        <v>4</v>
      </c>
      <c r="N61" s="8" t="str">
        <f>TEXT(Clean_Data[[#This Row],[OrderDate]],"mmm")</f>
        <v>Apr</v>
      </c>
      <c r="O61" s="8" t="str">
        <f>TEXT(Clean_Data[[#This Row],[OrderDate]], "yyyy-mm")</f>
        <v>2018-04</v>
      </c>
      <c r="P61" s="7">
        <f>Clean_Data[[#This Row],[Profit]]/Clean_Data[[#This Row],[Revenue ]]</f>
        <v>1.3665689149560116</v>
      </c>
      <c r="Q61" t="str">
        <f>"Q"&amp;ROUNDUP(MONTH(Clean_Data[[#This Row],[OrderDate]])/3,0)</f>
        <v>Q2</v>
      </c>
      <c r="R61" t="str">
        <f>TEXT(Clean_Data[[#This Row],[OrderDate]], "dddd")</f>
        <v>Sunday</v>
      </c>
    </row>
    <row r="62" spans="1:18" x14ac:dyDescent="0.25">
      <c r="A62" t="s">
        <v>136</v>
      </c>
      <c r="B62" s="4">
        <v>1337</v>
      </c>
      <c r="C62" s="4">
        <v>147</v>
      </c>
      <c r="D62" s="3">
        <v>7</v>
      </c>
      <c r="E62" t="s">
        <v>885</v>
      </c>
      <c r="F62" t="s">
        <v>892</v>
      </c>
      <c r="G62" t="s">
        <v>893</v>
      </c>
      <c r="H62" s="6">
        <f>_xlfn.XLOOKUP(A62,Orders[OrderID],Orders[OrderDate])</f>
        <v>43166</v>
      </c>
      <c r="I62" t="str">
        <f>_xlfn.XLOOKUP(A62,Orders[OrderID],Orders[CustomerName])</f>
        <v>Parishi</v>
      </c>
      <c r="J62" t="str">
        <f>_xlfn.XLOOKUP(A62,Orders[OrderID],Orders[State])</f>
        <v>West Bengal</v>
      </c>
      <c r="K62" t="str">
        <f>_xlfn.XLOOKUP(A62,Orders[OrderID],Orders[City])</f>
        <v>Kolkata</v>
      </c>
      <c r="L62" s="3">
        <f>YEAR(Clean_Data[[#This Row],[OrderDate]])</f>
        <v>2018</v>
      </c>
      <c r="M62" s="3">
        <f>MONTH(Clean_Data[[#This Row],[OrderDate]])</f>
        <v>3</v>
      </c>
      <c r="N62" s="8" t="str">
        <f>TEXT(Clean_Data[[#This Row],[OrderDate]],"mmm")</f>
        <v>Mar</v>
      </c>
      <c r="O62" s="8" t="str">
        <f>TEXT(Clean_Data[[#This Row],[OrderDate]], "yyyy-mm")</f>
        <v>2018-03</v>
      </c>
      <c r="P62" s="7">
        <f>Clean_Data[[#This Row],[Profit]]/Clean_Data[[#This Row],[Revenue ]]</f>
        <v>0.1099476439790576</v>
      </c>
      <c r="Q62" t="str">
        <f>"Q"&amp;ROUNDUP(MONTH(Clean_Data[[#This Row],[OrderDate]])/3,0)</f>
        <v>Q1</v>
      </c>
      <c r="R62" t="str">
        <f>TEXT(Clean_Data[[#This Row],[OrderDate]], "dddd")</f>
        <v>Wednesday</v>
      </c>
    </row>
    <row r="63" spans="1:18" x14ac:dyDescent="0.25">
      <c r="A63" t="s">
        <v>550</v>
      </c>
      <c r="B63" s="4">
        <v>15</v>
      </c>
      <c r="C63" s="4">
        <v>2</v>
      </c>
      <c r="D63" s="3">
        <v>1</v>
      </c>
      <c r="E63" t="s">
        <v>895</v>
      </c>
      <c r="F63" t="s">
        <v>904</v>
      </c>
      <c r="G63" t="s">
        <v>907</v>
      </c>
      <c r="H63" s="6">
        <f>_xlfn.XLOOKUP(A63,Orders[OrderID],Orders[OrderDate])</f>
        <v>43443</v>
      </c>
      <c r="I63" t="str">
        <f>_xlfn.XLOOKUP(A63,Orders[OrderID],Orders[CustomerName])</f>
        <v>Anand</v>
      </c>
      <c r="J63" t="str">
        <f>_xlfn.XLOOKUP(A63,Orders[OrderID],Orders[State])</f>
        <v>Punjab</v>
      </c>
      <c r="K63" t="str">
        <f>_xlfn.XLOOKUP(A63,Orders[OrderID],Orders[City])</f>
        <v>Amritsar</v>
      </c>
      <c r="L63" s="3">
        <f>YEAR(Clean_Data[[#This Row],[OrderDate]])</f>
        <v>2018</v>
      </c>
      <c r="M63" s="3">
        <f>MONTH(Clean_Data[[#This Row],[OrderDate]])</f>
        <v>12</v>
      </c>
      <c r="N63" s="8" t="str">
        <f>TEXT(Clean_Data[[#This Row],[OrderDate]],"mmm")</f>
        <v>Dec</v>
      </c>
      <c r="O63" s="8" t="str">
        <f>TEXT(Clean_Data[[#This Row],[OrderDate]], "yyyy-mm")</f>
        <v>2018-12</v>
      </c>
      <c r="P63" s="7">
        <f>Clean_Data[[#This Row],[Profit]]/Clean_Data[[#This Row],[Revenue ]]</f>
        <v>0.13333333333333333</v>
      </c>
      <c r="Q63" t="str">
        <f>"Q"&amp;ROUNDUP(MONTH(Clean_Data[[#This Row],[OrderDate]])/3,0)</f>
        <v>Q4</v>
      </c>
      <c r="R63" t="str">
        <f>TEXT(Clean_Data[[#This Row],[OrderDate]], "dddd")</f>
        <v>Sunday</v>
      </c>
    </row>
    <row r="64" spans="1:18" x14ac:dyDescent="0.25">
      <c r="A64" t="s">
        <v>483</v>
      </c>
      <c r="B64" s="4">
        <v>322</v>
      </c>
      <c r="C64" s="4">
        <v>-193</v>
      </c>
      <c r="D64" s="3">
        <v>5</v>
      </c>
      <c r="E64" t="s">
        <v>885</v>
      </c>
      <c r="F64" t="s">
        <v>892</v>
      </c>
      <c r="G64" t="s">
        <v>898</v>
      </c>
      <c r="H64" s="6">
        <f>_xlfn.XLOOKUP(A64,Orders[OrderID],Orders[OrderDate])</f>
        <v>43336</v>
      </c>
      <c r="I64" t="str">
        <f>_xlfn.XLOOKUP(A64,Orders[OrderID],Orders[CustomerName])</f>
        <v>Pooja</v>
      </c>
      <c r="J64" t="str">
        <f>_xlfn.XLOOKUP(A64,Orders[OrderID],Orders[State])</f>
        <v>Goa</v>
      </c>
      <c r="K64" t="str">
        <f>_xlfn.XLOOKUP(A64,Orders[OrderID],Orders[City])</f>
        <v>Goa</v>
      </c>
      <c r="L64" s="3">
        <f>YEAR(Clean_Data[[#This Row],[OrderDate]])</f>
        <v>2018</v>
      </c>
      <c r="M64" s="3">
        <f>MONTH(Clean_Data[[#This Row],[OrderDate]])</f>
        <v>8</v>
      </c>
      <c r="N64" s="8" t="str">
        <f>TEXT(Clean_Data[[#This Row],[OrderDate]],"mmm")</f>
        <v>Aug</v>
      </c>
      <c r="O64" s="8" t="str">
        <f>TEXT(Clean_Data[[#This Row],[OrderDate]], "yyyy-mm")</f>
        <v>2018-08</v>
      </c>
      <c r="P64" s="7">
        <f>Clean_Data[[#This Row],[Profit]]/Clean_Data[[#This Row],[Revenue ]]</f>
        <v>-0.59937888198757761</v>
      </c>
      <c r="Q64" t="str">
        <f>"Q"&amp;ROUNDUP(MONTH(Clean_Data[[#This Row],[OrderDate]])/3,0)</f>
        <v>Q3</v>
      </c>
      <c r="R64" t="str">
        <f>TEXT(Clean_Data[[#This Row],[OrderDate]], "dddd")</f>
        <v>Friday</v>
      </c>
    </row>
    <row r="65" spans="1:18" x14ac:dyDescent="0.25">
      <c r="A65" t="s">
        <v>144</v>
      </c>
      <c r="B65" s="4">
        <v>1316</v>
      </c>
      <c r="C65" s="4">
        <v>527</v>
      </c>
      <c r="D65" s="3">
        <v>7</v>
      </c>
      <c r="E65" t="s">
        <v>885</v>
      </c>
      <c r="F65" t="s">
        <v>886</v>
      </c>
      <c r="G65" t="s">
        <v>893</v>
      </c>
      <c r="H65" s="6">
        <f>_xlfn.XLOOKUP(A65,Orders[OrderID],Orders[OrderDate])</f>
        <v>43338</v>
      </c>
      <c r="I65" t="str">
        <f>_xlfn.XLOOKUP(A65,Orders[OrderID],Orders[CustomerName])</f>
        <v>Anudeep</v>
      </c>
      <c r="J65" t="str">
        <f>_xlfn.XLOOKUP(A65,Orders[OrderID],Orders[State])</f>
        <v>Madhya Pradesh</v>
      </c>
      <c r="K65" t="str">
        <f>_xlfn.XLOOKUP(A65,Orders[OrderID],Orders[City])</f>
        <v>Indore</v>
      </c>
      <c r="L65" s="3">
        <f>YEAR(Clean_Data[[#This Row],[OrderDate]])</f>
        <v>2018</v>
      </c>
      <c r="M65" s="3">
        <f>MONTH(Clean_Data[[#This Row],[OrderDate]])</f>
        <v>8</v>
      </c>
      <c r="N65" s="8" t="str">
        <f>TEXT(Clean_Data[[#This Row],[OrderDate]],"mmm")</f>
        <v>Aug</v>
      </c>
      <c r="O65" s="8" t="str">
        <f>TEXT(Clean_Data[[#This Row],[OrderDate]], "yyyy-mm")</f>
        <v>2018-08</v>
      </c>
      <c r="P65" s="7">
        <f>Clean_Data[[#This Row],[Profit]]/Clean_Data[[#This Row],[Revenue ]]</f>
        <v>0.40045592705167171</v>
      </c>
      <c r="Q65" t="str">
        <f>"Q"&amp;ROUNDUP(MONTH(Clean_Data[[#This Row],[OrderDate]])/3,0)</f>
        <v>Q3</v>
      </c>
      <c r="R65" t="str">
        <f>TEXT(Clean_Data[[#This Row],[OrderDate]], "dddd")</f>
        <v>Sunday</v>
      </c>
    </row>
    <row r="66" spans="1:18" x14ac:dyDescent="0.25">
      <c r="A66" t="s">
        <v>146</v>
      </c>
      <c r="B66" s="4">
        <v>1314</v>
      </c>
      <c r="C66" s="4">
        <v>342</v>
      </c>
      <c r="D66" s="3">
        <v>3</v>
      </c>
      <c r="E66" t="s">
        <v>888</v>
      </c>
      <c r="F66" t="s">
        <v>891</v>
      </c>
      <c r="G66" t="s">
        <v>893</v>
      </c>
      <c r="H66" s="6">
        <f>_xlfn.XLOOKUP(A66,Orders[OrderID],Orders[OrderDate])</f>
        <v>43135</v>
      </c>
      <c r="I66" t="str">
        <f>_xlfn.XLOOKUP(A66,Orders[OrderID],Orders[CustomerName])</f>
        <v>Yohann</v>
      </c>
      <c r="J66" t="str">
        <f>_xlfn.XLOOKUP(A66,Orders[OrderID],Orders[State])</f>
        <v>Delhi</v>
      </c>
      <c r="K66" t="str">
        <f>_xlfn.XLOOKUP(A66,Orders[OrderID],Orders[City])</f>
        <v>Delhi</v>
      </c>
      <c r="L66" s="3">
        <f>YEAR(Clean_Data[[#This Row],[OrderDate]])</f>
        <v>2018</v>
      </c>
      <c r="M66" s="3">
        <f>MONTH(Clean_Data[[#This Row],[OrderDate]])</f>
        <v>2</v>
      </c>
      <c r="N66" s="8" t="str">
        <f>TEXT(Clean_Data[[#This Row],[OrderDate]],"mmm")</f>
        <v>Feb</v>
      </c>
      <c r="O66" s="8" t="str">
        <f>TEXT(Clean_Data[[#This Row],[OrderDate]], "yyyy-mm")</f>
        <v>2018-02</v>
      </c>
      <c r="P66" s="7">
        <f>Clean_Data[[#This Row],[Profit]]/Clean_Data[[#This Row],[Revenue ]]</f>
        <v>0.26027397260273971</v>
      </c>
      <c r="Q66" t="str">
        <f>"Q"&amp;ROUNDUP(MONTH(Clean_Data[[#This Row],[OrderDate]])/3,0)</f>
        <v>Q1</v>
      </c>
      <c r="R66" t="str">
        <f>TEXT(Clean_Data[[#This Row],[OrderDate]], "dddd")</f>
        <v>Sunday</v>
      </c>
    </row>
    <row r="67" spans="1:18" x14ac:dyDescent="0.25">
      <c r="A67" t="s">
        <v>863</v>
      </c>
      <c r="B67" s="4">
        <v>17</v>
      </c>
      <c r="C67" s="4">
        <v>7</v>
      </c>
      <c r="D67" s="3">
        <v>3</v>
      </c>
      <c r="E67" t="s">
        <v>895</v>
      </c>
      <c r="F67" t="s">
        <v>899</v>
      </c>
      <c r="G67" t="s">
        <v>907</v>
      </c>
      <c r="H67" s="6">
        <f>_xlfn.XLOOKUP(A67,Orders[OrderID],Orders[OrderDate])</f>
        <v>43121</v>
      </c>
      <c r="I67" t="str">
        <f>_xlfn.XLOOKUP(A67,Orders[OrderID],Orders[CustomerName])</f>
        <v>Saloni</v>
      </c>
      <c r="J67" t="str">
        <f>_xlfn.XLOOKUP(A67,Orders[OrderID],Orders[State])</f>
        <v>West Bengal</v>
      </c>
      <c r="K67" t="str">
        <f>_xlfn.XLOOKUP(A67,Orders[OrderID],Orders[City])</f>
        <v>Kolkata</v>
      </c>
      <c r="L67" s="3">
        <f>YEAR(Clean_Data[[#This Row],[OrderDate]])</f>
        <v>2018</v>
      </c>
      <c r="M67" s="3">
        <f>MONTH(Clean_Data[[#This Row],[OrderDate]])</f>
        <v>1</v>
      </c>
      <c r="N67" s="8" t="str">
        <f>TEXT(Clean_Data[[#This Row],[OrderDate]],"mmm")</f>
        <v>Jan</v>
      </c>
      <c r="O67" s="8" t="str">
        <f>TEXT(Clean_Data[[#This Row],[OrderDate]], "yyyy-mm")</f>
        <v>2018-01</v>
      </c>
      <c r="P67" s="7">
        <f>Clean_Data[[#This Row],[Profit]]/Clean_Data[[#This Row],[Revenue ]]</f>
        <v>0.41176470588235292</v>
      </c>
      <c r="Q67" t="str">
        <f>"Q"&amp;ROUNDUP(MONTH(Clean_Data[[#This Row],[OrderDate]])/3,0)</f>
        <v>Q1</v>
      </c>
      <c r="R67" t="str">
        <f>TEXT(Clean_Data[[#This Row],[OrderDate]], "dddd")</f>
        <v>Sunday</v>
      </c>
    </row>
    <row r="68" spans="1:18" x14ac:dyDescent="0.25">
      <c r="A68" t="s">
        <v>20</v>
      </c>
      <c r="B68" s="4">
        <v>17</v>
      </c>
      <c r="C68" s="4">
        <v>2</v>
      </c>
      <c r="D68" s="3">
        <v>2</v>
      </c>
      <c r="E68" t="s">
        <v>895</v>
      </c>
      <c r="F68" t="s">
        <v>901</v>
      </c>
      <c r="G68" t="s">
        <v>907</v>
      </c>
      <c r="H68" s="6">
        <f>_xlfn.XLOOKUP(A68,Orders[OrderID],Orders[OrderDate])</f>
        <v>43121</v>
      </c>
      <c r="I68" t="str">
        <f>_xlfn.XLOOKUP(A68,Orders[OrderID],Orders[CustomerName])</f>
        <v>Sudevi</v>
      </c>
      <c r="J68" t="str">
        <f>_xlfn.XLOOKUP(A68,Orders[OrderID],Orders[State])</f>
        <v>Uttar Pradesh</v>
      </c>
      <c r="K68" t="str">
        <f>_xlfn.XLOOKUP(A68,Orders[OrderID],Orders[City])</f>
        <v>Prayagraj</v>
      </c>
      <c r="L68" s="3">
        <f>YEAR(Clean_Data[[#This Row],[OrderDate]])</f>
        <v>2018</v>
      </c>
      <c r="M68" s="3">
        <f>MONTH(Clean_Data[[#This Row],[OrderDate]])</f>
        <v>1</v>
      </c>
      <c r="N68" s="8" t="str">
        <f>TEXT(Clean_Data[[#This Row],[OrderDate]],"mmm")</f>
        <v>Jan</v>
      </c>
      <c r="O68" s="8" t="str">
        <f>TEXT(Clean_Data[[#This Row],[OrderDate]], "yyyy-mm")</f>
        <v>2018-01</v>
      </c>
      <c r="P68" s="7">
        <f>Clean_Data[[#This Row],[Profit]]/Clean_Data[[#This Row],[Revenue ]]</f>
        <v>0.11764705882352941</v>
      </c>
      <c r="Q68" t="str">
        <f>"Q"&amp;ROUNDUP(MONTH(Clean_Data[[#This Row],[OrderDate]])/3,0)</f>
        <v>Q1</v>
      </c>
      <c r="R68" t="str">
        <f>TEXT(Clean_Data[[#This Row],[OrderDate]], "dddd")</f>
        <v>Sunday</v>
      </c>
    </row>
    <row r="69" spans="1:18" x14ac:dyDescent="0.25">
      <c r="A69" t="s">
        <v>862</v>
      </c>
      <c r="B69" s="4">
        <v>17</v>
      </c>
      <c r="C69" s="4">
        <v>-12</v>
      </c>
      <c r="D69" s="3">
        <v>5</v>
      </c>
      <c r="E69" t="s">
        <v>895</v>
      </c>
      <c r="F69" t="s">
        <v>901</v>
      </c>
      <c r="G69" t="s">
        <v>907</v>
      </c>
      <c r="H69" s="6">
        <f>_xlfn.XLOOKUP(A69,Orders[OrderID],Orders[OrderDate])</f>
        <v>43248</v>
      </c>
      <c r="I69" t="str">
        <f>_xlfn.XLOOKUP(A69,Orders[OrderID],Orders[CustomerName])</f>
        <v>Mahima</v>
      </c>
      <c r="J69" t="str">
        <f>_xlfn.XLOOKUP(A69,Orders[OrderID],Orders[State])</f>
        <v>Maharashtra</v>
      </c>
      <c r="K69" t="str">
        <f>_xlfn.XLOOKUP(A69,Orders[OrderID],Orders[City])</f>
        <v>Pune</v>
      </c>
      <c r="L69" s="3">
        <f>YEAR(Clean_Data[[#This Row],[OrderDate]])</f>
        <v>2018</v>
      </c>
      <c r="M69" s="3">
        <f>MONTH(Clean_Data[[#This Row],[OrderDate]])</f>
        <v>5</v>
      </c>
      <c r="N69" s="8" t="str">
        <f>TEXT(Clean_Data[[#This Row],[OrderDate]],"mmm")</f>
        <v>May</v>
      </c>
      <c r="O69" s="8" t="str">
        <f>TEXT(Clean_Data[[#This Row],[OrderDate]], "yyyy-mm")</f>
        <v>2018-05</v>
      </c>
      <c r="P69" s="7">
        <f>Clean_Data[[#This Row],[Profit]]/Clean_Data[[#This Row],[Revenue ]]</f>
        <v>-0.70588235294117652</v>
      </c>
      <c r="Q69" t="str">
        <f>"Q"&amp;ROUNDUP(MONTH(Clean_Data[[#This Row],[OrderDate]])/3,0)</f>
        <v>Q2</v>
      </c>
      <c r="R69" t="str">
        <f>TEXT(Clean_Data[[#This Row],[OrderDate]], "dddd")</f>
        <v>Monday</v>
      </c>
    </row>
    <row r="70" spans="1:18" x14ac:dyDescent="0.25">
      <c r="A70" t="s">
        <v>148</v>
      </c>
      <c r="B70" s="4">
        <v>1308</v>
      </c>
      <c r="C70" s="4">
        <v>536</v>
      </c>
      <c r="D70" s="3">
        <v>3</v>
      </c>
      <c r="E70" t="s">
        <v>888</v>
      </c>
      <c r="F70" t="s">
        <v>891</v>
      </c>
      <c r="G70" t="s">
        <v>893</v>
      </c>
      <c r="H70" s="6">
        <f>_xlfn.XLOOKUP(A70,Orders[OrderID],Orders[OrderDate])</f>
        <v>43102</v>
      </c>
      <c r="I70" t="str">
        <f>_xlfn.XLOOKUP(A70,Orders[OrderID],Orders[CustomerName])</f>
        <v>Girase</v>
      </c>
      <c r="J70" t="str">
        <f>_xlfn.XLOOKUP(A70,Orders[OrderID],Orders[State])</f>
        <v xml:space="preserve">Kerala </v>
      </c>
      <c r="K70" t="str">
        <f>_xlfn.XLOOKUP(A70,Orders[OrderID],Orders[City])</f>
        <v>Thiruvananthapuram</v>
      </c>
      <c r="L70" s="3">
        <f>YEAR(Clean_Data[[#This Row],[OrderDate]])</f>
        <v>2018</v>
      </c>
      <c r="M70" s="3">
        <f>MONTH(Clean_Data[[#This Row],[OrderDate]])</f>
        <v>1</v>
      </c>
      <c r="N70" s="8" t="str">
        <f>TEXT(Clean_Data[[#This Row],[OrderDate]],"mmm")</f>
        <v>Jan</v>
      </c>
      <c r="O70" s="8" t="str">
        <f>TEXT(Clean_Data[[#This Row],[OrderDate]], "yyyy-mm")</f>
        <v>2018-01</v>
      </c>
      <c r="P70" s="7">
        <f>Clean_Data[[#This Row],[Profit]]/Clean_Data[[#This Row],[Revenue ]]</f>
        <v>0.40978593272171254</v>
      </c>
      <c r="Q70" t="str">
        <f>"Q"&amp;ROUNDUP(MONTH(Clean_Data[[#This Row],[OrderDate]])/3,0)</f>
        <v>Q1</v>
      </c>
      <c r="R70" t="str">
        <f>TEXT(Clean_Data[[#This Row],[OrderDate]], "dddd")</f>
        <v>Tuesday</v>
      </c>
    </row>
    <row r="71" spans="1:18" x14ac:dyDescent="0.25">
      <c r="A71" t="s">
        <v>198</v>
      </c>
      <c r="B71" s="4">
        <v>1076</v>
      </c>
      <c r="C71" s="4">
        <v>-38</v>
      </c>
      <c r="D71" s="3">
        <v>4</v>
      </c>
      <c r="E71" t="s">
        <v>885</v>
      </c>
      <c r="F71" t="s">
        <v>892</v>
      </c>
      <c r="G71" t="s">
        <v>893</v>
      </c>
      <c r="H71" s="6">
        <f>_xlfn.XLOOKUP(A71,Orders[OrderID],Orders[OrderDate])</f>
        <v>43353</v>
      </c>
      <c r="I71" t="str">
        <f>_xlfn.XLOOKUP(A71,Orders[OrderID],Orders[CustomerName])</f>
        <v>Aditi</v>
      </c>
      <c r="J71" t="str">
        <f>_xlfn.XLOOKUP(A71,Orders[OrderID],Orders[State])</f>
        <v>Madhya Pradesh</v>
      </c>
      <c r="K71" t="str">
        <f>_xlfn.XLOOKUP(A71,Orders[OrderID],Orders[City])</f>
        <v>Indore</v>
      </c>
      <c r="L71" s="3">
        <f>YEAR(Clean_Data[[#This Row],[OrderDate]])</f>
        <v>2018</v>
      </c>
      <c r="M71" s="3">
        <f>MONTH(Clean_Data[[#This Row],[OrderDate]])</f>
        <v>9</v>
      </c>
      <c r="N71" s="8" t="str">
        <f>TEXT(Clean_Data[[#This Row],[OrderDate]],"mmm")</f>
        <v>Sep</v>
      </c>
      <c r="O71" s="8" t="str">
        <f>TEXT(Clean_Data[[#This Row],[OrderDate]], "yyyy-mm")</f>
        <v>2018-09</v>
      </c>
      <c r="P71" s="7">
        <f>Clean_Data[[#This Row],[Profit]]/Clean_Data[[#This Row],[Revenue ]]</f>
        <v>-3.5315985130111527E-2</v>
      </c>
      <c r="Q71" t="str">
        <f>"Q"&amp;ROUNDUP(MONTH(Clean_Data[[#This Row],[OrderDate]])/3,0)</f>
        <v>Q3</v>
      </c>
      <c r="R71" t="str">
        <f>TEXT(Clean_Data[[#This Row],[OrderDate]], "dddd")</f>
        <v>Monday</v>
      </c>
    </row>
    <row r="72" spans="1:18" x14ac:dyDescent="0.25">
      <c r="A72" t="s">
        <v>150</v>
      </c>
      <c r="B72" s="4">
        <v>1301</v>
      </c>
      <c r="C72" s="4">
        <v>573</v>
      </c>
      <c r="D72" s="3">
        <v>5</v>
      </c>
      <c r="E72" t="s">
        <v>885</v>
      </c>
      <c r="F72" t="s">
        <v>905</v>
      </c>
      <c r="G72" t="s">
        <v>893</v>
      </c>
      <c r="H72" s="6">
        <f>_xlfn.XLOOKUP(A72,Orders[OrderID],Orders[OrderDate])</f>
        <v>43140</v>
      </c>
      <c r="I72" t="str">
        <f>_xlfn.XLOOKUP(A72,Orders[OrderID],Orders[CustomerName])</f>
        <v>Arpita</v>
      </c>
      <c r="J72" t="str">
        <f>_xlfn.XLOOKUP(A72,Orders[OrderID],Orders[State])</f>
        <v>Karnataka</v>
      </c>
      <c r="K72" t="str">
        <f>_xlfn.XLOOKUP(A72,Orders[OrderID],Orders[City])</f>
        <v>Bangalore</v>
      </c>
      <c r="L72" s="3">
        <f>YEAR(Clean_Data[[#This Row],[OrderDate]])</f>
        <v>2018</v>
      </c>
      <c r="M72" s="3">
        <f>MONTH(Clean_Data[[#This Row],[OrderDate]])</f>
        <v>2</v>
      </c>
      <c r="N72" s="8" t="str">
        <f>TEXT(Clean_Data[[#This Row],[OrderDate]],"mmm")</f>
        <v>Feb</v>
      </c>
      <c r="O72" s="8" t="str">
        <f>TEXT(Clean_Data[[#This Row],[OrderDate]], "yyyy-mm")</f>
        <v>2018-02</v>
      </c>
      <c r="P72" s="7">
        <f>Clean_Data[[#This Row],[Profit]]/Clean_Data[[#This Row],[Revenue ]]</f>
        <v>0.4404304381245196</v>
      </c>
      <c r="Q72" t="str">
        <f>"Q"&amp;ROUNDUP(MONTH(Clean_Data[[#This Row],[OrderDate]])/3,0)</f>
        <v>Q1</v>
      </c>
      <c r="R72" t="str">
        <f>TEXT(Clean_Data[[#This Row],[OrderDate]], "dddd")</f>
        <v>Friday</v>
      </c>
    </row>
    <row r="73" spans="1:18" x14ac:dyDescent="0.25">
      <c r="A73" t="s">
        <v>152</v>
      </c>
      <c r="B73" s="4">
        <v>1300</v>
      </c>
      <c r="C73" s="4">
        <v>-16</v>
      </c>
      <c r="D73" s="3">
        <v>8</v>
      </c>
      <c r="E73" t="s">
        <v>885</v>
      </c>
      <c r="F73" t="s">
        <v>892</v>
      </c>
      <c r="G73" t="s">
        <v>893</v>
      </c>
      <c r="H73" s="6">
        <f>_xlfn.XLOOKUP(A73,Orders[OrderID],Orders[OrderDate])</f>
        <v>43273</v>
      </c>
      <c r="I73" t="str">
        <f>_xlfn.XLOOKUP(A73,Orders[OrderID],Orders[CustomerName])</f>
        <v>Vijay</v>
      </c>
      <c r="J73" t="str">
        <f>_xlfn.XLOOKUP(A73,Orders[OrderID],Orders[State])</f>
        <v>Jammu and Kashmir</v>
      </c>
      <c r="K73" t="str">
        <f>_xlfn.XLOOKUP(A73,Orders[OrderID],Orders[City])</f>
        <v>Kashmir</v>
      </c>
      <c r="L73" s="3">
        <f>YEAR(Clean_Data[[#This Row],[OrderDate]])</f>
        <v>2018</v>
      </c>
      <c r="M73" s="3">
        <f>MONTH(Clean_Data[[#This Row],[OrderDate]])</f>
        <v>6</v>
      </c>
      <c r="N73" s="8" t="str">
        <f>TEXT(Clean_Data[[#This Row],[OrderDate]],"mmm")</f>
        <v>Jun</v>
      </c>
      <c r="O73" s="8" t="str">
        <f>TEXT(Clean_Data[[#This Row],[OrderDate]], "yyyy-mm")</f>
        <v>2018-06</v>
      </c>
      <c r="P73" s="7">
        <f>Clean_Data[[#This Row],[Profit]]/Clean_Data[[#This Row],[Revenue ]]</f>
        <v>-1.2307692307692308E-2</v>
      </c>
      <c r="Q73" t="str">
        <f>"Q"&amp;ROUNDUP(MONTH(Clean_Data[[#This Row],[OrderDate]])/3,0)</f>
        <v>Q2</v>
      </c>
      <c r="R73" t="str">
        <f>TEXT(Clean_Data[[#This Row],[OrderDate]], "dddd")</f>
        <v>Friday</v>
      </c>
    </row>
    <row r="74" spans="1:18" x14ac:dyDescent="0.25">
      <c r="A74" t="s">
        <v>209</v>
      </c>
      <c r="B74" s="4">
        <v>11</v>
      </c>
      <c r="C74" s="4">
        <v>-2</v>
      </c>
      <c r="D74" s="3">
        <v>4</v>
      </c>
      <c r="E74" t="s">
        <v>895</v>
      </c>
      <c r="F74" t="s">
        <v>899</v>
      </c>
      <c r="G74" t="s">
        <v>887</v>
      </c>
      <c r="H74" s="6">
        <f>_xlfn.XLOOKUP(A74,Orders[OrderID],Orders[OrderDate])</f>
        <v>43243</v>
      </c>
      <c r="I74" t="str">
        <f>_xlfn.XLOOKUP(A74,Orders[OrderID],Orders[CustomerName])</f>
        <v>Anjali</v>
      </c>
      <c r="J74" t="str">
        <f>_xlfn.XLOOKUP(A74,Orders[OrderID],Orders[State])</f>
        <v>Haryana</v>
      </c>
      <c r="K74" t="str">
        <f>_xlfn.XLOOKUP(A74,Orders[OrderID],Orders[City])</f>
        <v>Chandigarh</v>
      </c>
      <c r="L74" s="3">
        <f>YEAR(Clean_Data[[#This Row],[OrderDate]])</f>
        <v>2018</v>
      </c>
      <c r="M74" s="3">
        <f>MONTH(Clean_Data[[#This Row],[OrderDate]])</f>
        <v>5</v>
      </c>
      <c r="N74" s="8" t="str">
        <f>TEXT(Clean_Data[[#This Row],[OrderDate]],"mmm")</f>
        <v>May</v>
      </c>
      <c r="O74" s="8" t="str">
        <f>TEXT(Clean_Data[[#This Row],[OrderDate]], "yyyy-mm")</f>
        <v>2018-05</v>
      </c>
      <c r="P74" s="7">
        <f>Clean_Data[[#This Row],[Profit]]/Clean_Data[[#This Row],[Revenue ]]</f>
        <v>-0.18181818181818182</v>
      </c>
      <c r="Q74" t="str">
        <f>"Q"&amp;ROUNDUP(MONTH(Clean_Data[[#This Row],[OrderDate]])/3,0)</f>
        <v>Q2</v>
      </c>
      <c r="R74" t="str">
        <f>TEXT(Clean_Data[[#This Row],[OrderDate]], "dddd")</f>
        <v>Wednesday</v>
      </c>
    </row>
    <row r="75" spans="1:18" x14ac:dyDescent="0.25">
      <c r="A75" t="s">
        <v>156</v>
      </c>
      <c r="B75" s="4">
        <v>1298</v>
      </c>
      <c r="C75" s="4">
        <v>65</v>
      </c>
      <c r="D75" s="3">
        <v>9</v>
      </c>
      <c r="E75" t="s">
        <v>885</v>
      </c>
      <c r="F75" t="s">
        <v>892</v>
      </c>
      <c r="G75" t="s">
        <v>890</v>
      </c>
      <c r="H75" s="6">
        <f>_xlfn.XLOOKUP(A75,Orders[OrderID],Orders[OrderDate])</f>
        <v>43402</v>
      </c>
      <c r="I75" t="str">
        <f>_xlfn.XLOOKUP(A75,Orders[OrderID],Orders[CustomerName])</f>
        <v>Arti</v>
      </c>
      <c r="J75" t="str">
        <f>_xlfn.XLOOKUP(A75,Orders[OrderID],Orders[State])</f>
        <v>Maharashtra</v>
      </c>
      <c r="K75" t="str">
        <f>_xlfn.XLOOKUP(A75,Orders[OrderID],Orders[City])</f>
        <v>Pune</v>
      </c>
      <c r="L75" s="3">
        <f>YEAR(Clean_Data[[#This Row],[OrderDate]])</f>
        <v>2018</v>
      </c>
      <c r="M75" s="3">
        <f>MONTH(Clean_Data[[#This Row],[OrderDate]])</f>
        <v>10</v>
      </c>
      <c r="N75" s="8" t="str">
        <f>TEXT(Clean_Data[[#This Row],[OrderDate]],"mmm")</f>
        <v>Oct</v>
      </c>
      <c r="O75" s="8" t="str">
        <f>TEXT(Clean_Data[[#This Row],[OrderDate]], "yyyy-mm")</f>
        <v>2018-10</v>
      </c>
      <c r="P75" s="7">
        <f>Clean_Data[[#This Row],[Profit]]/Clean_Data[[#This Row],[Revenue ]]</f>
        <v>5.007704160246533E-2</v>
      </c>
      <c r="Q75" t="str">
        <f>"Q"&amp;ROUNDUP(MONTH(Clean_Data[[#This Row],[OrderDate]])/3,0)</f>
        <v>Q4</v>
      </c>
      <c r="R75" t="str">
        <f>TEXT(Clean_Data[[#This Row],[OrderDate]], "dddd")</f>
        <v>Monday</v>
      </c>
    </row>
    <row r="76" spans="1:18" x14ac:dyDescent="0.25">
      <c r="A76" t="s">
        <v>496</v>
      </c>
      <c r="B76" s="4">
        <v>304</v>
      </c>
      <c r="C76" s="4">
        <v>97</v>
      </c>
      <c r="D76" s="3">
        <v>6</v>
      </c>
      <c r="E76" t="s">
        <v>895</v>
      </c>
      <c r="F76" t="s">
        <v>903</v>
      </c>
      <c r="G76" t="s">
        <v>898</v>
      </c>
      <c r="H76" s="6">
        <f>_xlfn.XLOOKUP(A76,Orders[OrderID],Orders[OrderDate])</f>
        <v>43130</v>
      </c>
      <c r="I76" t="str">
        <f>_xlfn.XLOOKUP(A76,Orders[OrderID],Orders[CustomerName])</f>
        <v>Kajal</v>
      </c>
      <c r="J76" t="str">
        <f>_xlfn.XLOOKUP(A76,Orders[OrderID],Orders[State])</f>
        <v>Delhi</v>
      </c>
      <c r="K76" t="str">
        <f>_xlfn.XLOOKUP(A76,Orders[OrderID],Orders[City])</f>
        <v>Delhi</v>
      </c>
      <c r="L76" s="3">
        <f>YEAR(Clean_Data[[#This Row],[OrderDate]])</f>
        <v>2018</v>
      </c>
      <c r="M76" s="3">
        <f>MONTH(Clean_Data[[#This Row],[OrderDate]])</f>
        <v>1</v>
      </c>
      <c r="N76" s="8" t="str">
        <f>TEXT(Clean_Data[[#This Row],[OrderDate]],"mmm")</f>
        <v>Jan</v>
      </c>
      <c r="O76" s="8" t="str">
        <f>TEXT(Clean_Data[[#This Row],[OrderDate]], "yyyy-mm")</f>
        <v>2018-01</v>
      </c>
      <c r="P76" s="7">
        <f>Clean_Data[[#This Row],[Profit]]/Clean_Data[[#This Row],[Revenue ]]</f>
        <v>0.31907894736842107</v>
      </c>
      <c r="Q76" t="str">
        <f>"Q"&amp;ROUNDUP(MONTH(Clean_Data[[#This Row],[OrderDate]])/3,0)</f>
        <v>Q1</v>
      </c>
      <c r="R76" t="str">
        <f>TEXT(Clean_Data[[#This Row],[OrderDate]], "dddd")</f>
        <v>Tuesday</v>
      </c>
    </row>
    <row r="77" spans="1:18" x14ac:dyDescent="0.25">
      <c r="A77" t="s">
        <v>206</v>
      </c>
      <c r="B77" s="4">
        <v>1055</v>
      </c>
      <c r="C77" s="4">
        <v>264</v>
      </c>
      <c r="D77" s="3">
        <v>4</v>
      </c>
      <c r="E77" t="s">
        <v>885</v>
      </c>
      <c r="F77" t="s">
        <v>892</v>
      </c>
      <c r="G77" t="s">
        <v>890</v>
      </c>
      <c r="H77" s="6">
        <f>_xlfn.XLOOKUP(A77,Orders[OrderID],Orders[OrderDate])</f>
        <v>43303</v>
      </c>
      <c r="I77" t="str">
        <f>_xlfn.XLOOKUP(A77,Orders[OrderID],Orders[CustomerName])</f>
        <v>Ameesha</v>
      </c>
      <c r="J77" t="str">
        <f>_xlfn.XLOOKUP(A77,Orders[OrderID],Orders[State])</f>
        <v>Maharashtra</v>
      </c>
      <c r="K77" t="str">
        <f>_xlfn.XLOOKUP(A77,Orders[OrderID],Orders[City])</f>
        <v>Pune</v>
      </c>
      <c r="L77" s="3">
        <f>YEAR(Clean_Data[[#This Row],[OrderDate]])</f>
        <v>2018</v>
      </c>
      <c r="M77" s="3">
        <f>MONTH(Clean_Data[[#This Row],[OrderDate]])</f>
        <v>7</v>
      </c>
      <c r="N77" s="8" t="str">
        <f>TEXT(Clean_Data[[#This Row],[OrderDate]],"mmm")</f>
        <v>Jul</v>
      </c>
      <c r="O77" s="8" t="str">
        <f>TEXT(Clean_Data[[#This Row],[OrderDate]], "yyyy-mm")</f>
        <v>2018-07</v>
      </c>
      <c r="P77" s="7">
        <f>Clean_Data[[#This Row],[Profit]]/Clean_Data[[#This Row],[Revenue ]]</f>
        <v>0.25023696682464452</v>
      </c>
      <c r="Q77" t="str">
        <f>"Q"&amp;ROUNDUP(MONTH(Clean_Data[[#This Row],[OrderDate]])/3,0)</f>
        <v>Q3</v>
      </c>
      <c r="R77" t="str">
        <f>TEXT(Clean_Data[[#This Row],[OrderDate]], "dddd")</f>
        <v>Sunday</v>
      </c>
    </row>
    <row r="78" spans="1:18" x14ac:dyDescent="0.25">
      <c r="A78" t="s">
        <v>16</v>
      </c>
      <c r="B78" s="4">
        <v>17</v>
      </c>
      <c r="C78" s="4">
        <v>-13</v>
      </c>
      <c r="D78" s="3">
        <v>4</v>
      </c>
      <c r="E78" t="s">
        <v>895</v>
      </c>
      <c r="F78" t="s">
        <v>901</v>
      </c>
      <c r="G78" t="s">
        <v>907</v>
      </c>
      <c r="H78" s="6">
        <f>_xlfn.XLOOKUP(A78,Orders[OrderID],Orders[OrderDate])</f>
        <v>43333</v>
      </c>
      <c r="I78" t="str">
        <f>_xlfn.XLOOKUP(A78,Orders[OrderID],Orders[CustomerName])</f>
        <v>Vishakha</v>
      </c>
      <c r="J78" t="str">
        <f>_xlfn.XLOOKUP(A78,Orders[OrderID],Orders[State])</f>
        <v>Madhya Pradesh</v>
      </c>
      <c r="K78" t="str">
        <f>_xlfn.XLOOKUP(A78,Orders[OrderID],Orders[City])</f>
        <v>Indore</v>
      </c>
      <c r="L78" s="3">
        <f>YEAR(Clean_Data[[#This Row],[OrderDate]])</f>
        <v>2018</v>
      </c>
      <c r="M78" s="3">
        <f>MONTH(Clean_Data[[#This Row],[OrderDate]])</f>
        <v>8</v>
      </c>
      <c r="N78" s="8" t="str">
        <f>TEXT(Clean_Data[[#This Row],[OrderDate]],"mmm")</f>
        <v>Aug</v>
      </c>
      <c r="O78" s="8" t="str">
        <f>TEXT(Clean_Data[[#This Row],[OrderDate]], "yyyy-mm")</f>
        <v>2018-08</v>
      </c>
      <c r="P78" s="7">
        <f>Clean_Data[[#This Row],[Profit]]/Clean_Data[[#This Row],[Revenue ]]</f>
        <v>-0.76470588235294112</v>
      </c>
      <c r="Q78" t="str">
        <f>"Q"&amp;ROUNDUP(MONTH(Clean_Data[[#This Row],[OrderDate]])/3,0)</f>
        <v>Q3</v>
      </c>
      <c r="R78" t="str">
        <f>TEXT(Clean_Data[[#This Row],[OrderDate]], "dddd")</f>
        <v>Tuesday</v>
      </c>
    </row>
    <row r="79" spans="1:18" x14ac:dyDescent="0.25">
      <c r="A79" t="s">
        <v>179</v>
      </c>
      <c r="B79" s="4">
        <v>147</v>
      </c>
      <c r="C79" s="4">
        <v>73</v>
      </c>
      <c r="D79" s="3">
        <v>3</v>
      </c>
      <c r="E79" t="s">
        <v>895</v>
      </c>
      <c r="F79" t="s">
        <v>903</v>
      </c>
      <c r="G79" t="s">
        <v>887</v>
      </c>
      <c r="H79" s="6">
        <f>_xlfn.XLOOKUP(A79,Orders[OrderID],Orders[OrderDate])</f>
        <v>43118</v>
      </c>
      <c r="I79" t="str">
        <f>_xlfn.XLOOKUP(A79,Orders[OrderID],Orders[CustomerName])</f>
        <v>Mahima</v>
      </c>
      <c r="J79" t="str">
        <f>_xlfn.XLOOKUP(A79,Orders[OrderID],Orders[State])</f>
        <v>Madhya Pradesh</v>
      </c>
      <c r="K79" t="str">
        <f>_xlfn.XLOOKUP(A79,Orders[OrderID],Orders[City])</f>
        <v>Indore</v>
      </c>
      <c r="L79" s="3">
        <f>YEAR(Clean_Data[[#This Row],[OrderDate]])</f>
        <v>2018</v>
      </c>
      <c r="M79" s="3">
        <f>MONTH(Clean_Data[[#This Row],[OrderDate]])</f>
        <v>1</v>
      </c>
      <c r="N79" s="8" t="str">
        <f>TEXT(Clean_Data[[#This Row],[OrderDate]],"mmm")</f>
        <v>Jan</v>
      </c>
      <c r="O79" s="8" t="str">
        <f>TEXT(Clean_Data[[#This Row],[OrderDate]], "yyyy-mm")</f>
        <v>2018-01</v>
      </c>
      <c r="P79" s="7">
        <f>Clean_Data[[#This Row],[Profit]]/Clean_Data[[#This Row],[Revenue ]]</f>
        <v>0.49659863945578231</v>
      </c>
      <c r="Q79" t="str">
        <f>"Q"&amp;ROUNDUP(MONTH(Clean_Data[[#This Row],[OrderDate]])/3,0)</f>
        <v>Q1</v>
      </c>
      <c r="R79" t="str">
        <f>TEXT(Clean_Data[[#This Row],[OrderDate]], "dddd")</f>
        <v>Thursday</v>
      </c>
    </row>
    <row r="80" spans="1:18" x14ac:dyDescent="0.25">
      <c r="A80" t="s">
        <v>214</v>
      </c>
      <c r="B80" s="4">
        <v>965</v>
      </c>
      <c r="C80" s="4">
        <v>-68</v>
      </c>
      <c r="D80" s="3">
        <v>3</v>
      </c>
      <c r="E80" t="s">
        <v>885</v>
      </c>
      <c r="F80" t="s">
        <v>892</v>
      </c>
      <c r="G80" t="s">
        <v>887</v>
      </c>
      <c r="H80" s="6">
        <f>_xlfn.XLOOKUP(A80,Orders[OrderID],Orders[OrderDate])</f>
        <v>43173</v>
      </c>
      <c r="I80" t="str">
        <f>_xlfn.XLOOKUP(A80,Orders[OrderID],Orders[CustomerName])</f>
        <v>Anurag</v>
      </c>
      <c r="J80" t="str">
        <f>_xlfn.XLOOKUP(A80,Orders[OrderID],Orders[State])</f>
        <v>Madhya Pradesh</v>
      </c>
      <c r="K80" t="str">
        <f>_xlfn.XLOOKUP(A80,Orders[OrderID],Orders[City])</f>
        <v>Indore</v>
      </c>
      <c r="L80" s="3">
        <f>YEAR(Clean_Data[[#This Row],[OrderDate]])</f>
        <v>2018</v>
      </c>
      <c r="M80" s="3">
        <f>MONTH(Clean_Data[[#This Row],[OrderDate]])</f>
        <v>3</v>
      </c>
      <c r="N80" s="8" t="str">
        <f>TEXT(Clean_Data[[#This Row],[OrderDate]],"mmm")</f>
        <v>Mar</v>
      </c>
      <c r="O80" s="8" t="str">
        <f>TEXT(Clean_Data[[#This Row],[OrderDate]], "yyyy-mm")</f>
        <v>2018-03</v>
      </c>
      <c r="P80" s="7">
        <f>Clean_Data[[#This Row],[Profit]]/Clean_Data[[#This Row],[Revenue ]]</f>
        <v>-7.0466321243523311E-2</v>
      </c>
      <c r="Q80" t="str">
        <f>"Q"&amp;ROUNDUP(MONTH(Clean_Data[[#This Row],[OrderDate]])/3,0)</f>
        <v>Q1</v>
      </c>
      <c r="R80" t="str">
        <f>TEXT(Clean_Data[[#This Row],[OrderDate]], "dddd")</f>
        <v>Wednesday</v>
      </c>
    </row>
    <row r="81" spans="1:18" x14ac:dyDescent="0.25">
      <c r="A81" t="s">
        <v>718</v>
      </c>
      <c r="B81" s="4">
        <v>12</v>
      </c>
      <c r="C81" s="4">
        <v>-2</v>
      </c>
      <c r="D81" s="3">
        <v>3</v>
      </c>
      <c r="E81" t="s">
        <v>895</v>
      </c>
      <c r="F81" t="s">
        <v>899</v>
      </c>
      <c r="G81" t="s">
        <v>887</v>
      </c>
      <c r="H81" s="6">
        <f>_xlfn.XLOOKUP(A81,Orders[OrderID],Orders[OrderDate])</f>
        <v>43311</v>
      </c>
      <c r="I81" t="str">
        <f>_xlfn.XLOOKUP(A81,Orders[OrderID],Orders[CustomerName])</f>
        <v>Arindam</v>
      </c>
      <c r="J81" t="str">
        <f>_xlfn.XLOOKUP(A81,Orders[OrderID],Orders[State])</f>
        <v>Uttar Pradesh</v>
      </c>
      <c r="K81" t="str">
        <f>_xlfn.XLOOKUP(A81,Orders[OrderID],Orders[City])</f>
        <v>Lucknow</v>
      </c>
      <c r="L81" s="3">
        <f>YEAR(Clean_Data[[#This Row],[OrderDate]])</f>
        <v>2018</v>
      </c>
      <c r="M81" s="3">
        <f>MONTH(Clean_Data[[#This Row],[OrderDate]])</f>
        <v>7</v>
      </c>
      <c r="N81" s="8" t="str">
        <f>TEXT(Clean_Data[[#This Row],[OrderDate]],"mmm")</f>
        <v>Jul</v>
      </c>
      <c r="O81" s="8" t="str">
        <f>TEXT(Clean_Data[[#This Row],[OrderDate]], "yyyy-mm")</f>
        <v>2018-07</v>
      </c>
      <c r="P81" s="7">
        <f>Clean_Data[[#This Row],[Profit]]/Clean_Data[[#This Row],[Revenue ]]</f>
        <v>-0.16666666666666666</v>
      </c>
      <c r="Q81" t="str">
        <f>"Q"&amp;ROUNDUP(MONTH(Clean_Data[[#This Row],[OrderDate]])/3,0)</f>
        <v>Q3</v>
      </c>
      <c r="R81" t="str">
        <f>TEXT(Clean_Data[[#This Row],[OrderDate]], "dddd")</f>
        <v>Monday</v>
      </c>
    </row>
    <row r="82" spans="1:18" x14ac:dyDescent="0.25">
      <c r="A82" t="s">
        <v>689</v>
      </c>
      <c r="B82" s="4">
        <v>14</v>
      </c>
      <c r="C82" s="4">
        <v>-2</v>
      </c>
      <c r="D82" s="3">
        <v>3</v>
      </c>
      <c r="E82" t="s">
        <v>895</v>
      </c>
      <c r="F82" t="s">
        <v>899</v>
      </c>
      <c r="G82" t="s">
        <v>898</v>
      </c>
      <c r="H82" s="6">
        <f>_xlfn.XLOOKUP(A82,Orders[OrderID],Orders[OrderDate])</f>
        <v>43205</v>
      </c>
      <c r="I82" t="str">
        <f>_xlfn.XLOOKUP(A82,Orders[OrderID],Orders[CustomerName])</f>
        <v>Kanak</v>
      </c>
      <c r="J82" t="str">
        <f>_xlfn.XLOOKUP(A82,Orders[OrderID],Orders[State])</f>
        <v>Goa</v>
      </c>
      <c r="K82" t="str">
        <f>_xlfn.XLOOKUP(A82,Orders[OrderID],Orders[City])</f>
        <v>Goa</v>
      </c>
      <c r="L82" s="3">
        <f>YEAR(Clean_Data[[#This Row],[OrderDate]])</f>
        <v>2018</v>
      </c>
      <c r="M82" s="3">
        <f>MONTH(Clean_Data[[#This Row],[OrderDate]])</f>
        <v>4</v>
      </c>
      <c r="N82" s="8" t="str">
        <f>TEXT(Clean_Data[[#This Row],[OrderDate]],"mmm")</f>
        <v>Apr</v>
      </c>
      <c r="O82" s="8" t="str">
        <f>TEXT(Clean_Data[[#This Row],[OrderDate]], "yyyy-mm")</f>
        <v>2018-04</v>
      </c>
      <c r="P82" s="7">
        <f>Clean_Data[[#This Row],[Profit]]/Clean_Data[[#This Row],[Revenue ]]</f>
        <v>-0.14285714285714285</v>
      </c>
      <c r="Q82" t="str">
        <f>"Q"&amp;ROUNDUP(MONTH(Clean_Data[[#This Row],[OrderDate]])/3,0)</f>
        <v>Q2</v>
      </c>
      <c r="R82" t="str">
        <f>TEXT(Clean_Data[[#This Row],[OrderDate]], "dddd")</f>
        <v>Sunday</v>
      </c>
    </row>
    <row r="83" spans="1:18" x14ac:dyDescent="0.25">
      <c r="A83" t="s">
        <v>220</v>
      </c>
      <c r="B83" s="4">
        <v>934</v>
      </c>
      <c r="C83" s="4">
        <v>-916</v>
      </c>
      <c r="D83" s="3">
        <v>7</v>
      </c>
      <c r="E83" t="s">
        <v>885</v>
      </c>
      <c r="F83" t="s">
        <v>886</v>
      </c>
      <c r="G83" t="s">
        <v>887</v>
      </c>
      <c r="H83" s="6">
        <f>_xlfn.XLOOKUP(A83,Orders[OrderID],Orders[OrderDate])</f>
        <v>43242</v>
      </c>
      <c r="I83" t="str">
        <f>_xlfn.XLOOKUP(A83,Orders[OrderID],Orders[CustomerName])</f>
        <v>Tanvi</v>
      </c>
      <c r="J83" t="str">
        <f>_xlfn.XLOOKUP(A83,Orders[OrderID],Orders[State])</f>
        <v>Punjab</v>
      </c>
      <c r="K83" t="str">
        <f>_xlfn.XLOOKUP(A83,Orders[OrderID],Orders[City])</f>
        <v>Chandigarh</v>
      </c>
      <c r="L83" s="3">
        <f>YEAR(Clean_Data[[#This Row],[OrderDate]])</f>
        <v>2018</v>
      </c>
      <c r="M83" s="3">
        <f>MONTH(Clean_Data[[#This Row],[OrderDate]])</f>
        <v>5</v>
      </c>
      <c r="N83" s="8" t="str">
        <f>TEXT(Clean_Data[[#This Row],[OrderDate]],"mmm")</f>
        <v>May</v>
      </c>
      <c r="O83" s="8" t="str">
        <f>TEXT(Clean_Data[[#This Row],[OrderDate]], "yyyy-mm")</f>
        <v>2018-05</v>
      </c>
      <c r="P83" s="7">
        <f>Clean_Data[[#This Row],[Profit]]/Clean_Data[[#This Row],[Revenue ]]</f>
        <v>-0.98072805139186292</v>
      </c>
      <c r="Q83" t="str">
        <f>"Q"&amp;ROUNDUP(MONTH(Clean_Data[[#This Row],[OrderDate]])/3,0)</f>
        <v>Q2</v>
      </c>
      <c r="R83" t="str">
        <f>TEXT(Clean_Data[[#This Row],[OrderDate]], "dddd")</f>
        <v>Tuesday</v>
      </c>
    </row>
    <row r="84" spans="1:18" x14ac:dyDescent="0.25">
      <c r="A84" t="s">
        <v>222</v>
      </c>
      <c r="B84" s="4">
        <v>929</v>
      </c>
      <c r="C84" s="4">
        <v>-93</v>
      </c>
      <c r="D84" s="3">
        <v>9</v>
      </c>
      <c r="E84" t="s">
        <v>895</v>
      </c>
      <c r="F84" t="s">
        <v>897</v>
      </c>
      <c r="G84" t="s">
        <v>887</v>
      </c>
      <c r="H84" s="6">
        <f>_xlfn.XLOOKUP(A84,Orders[OrderID],Orders[OrderDate])</f>
        <v>43251</v>
      </c>
      <c r="I84" t="str">
        <f>_xlfn.XLOOKUP(A84,Orders[OrderID],Orders[CustomerName])</f>
        <v>Shreya</v>
      </c>
      <c r="J84" t="str">
        <f>_xlfn.XLOOKUP(A84,Orders[OrderID],Orders[State])</f>
        <v>Madhya Pradesh</v>
      </c>
      <c r="K84" t="str">
        <f>_xlfn.XLOOKUP(A84,Orders[OrderID],Orders[City])</f>
        <v>Bhopal</v>
      </c>
      <c r="L84" s="3">
        <f>YEAR(Clean_Data[[#This Row],[OrderDate]])</f>
        <v>2018</v>
      </c>
      <c r="M84" s="3">
        <f>MONTH(Clean_Data[[#This Row],[OrderDate]])</f>
        <v>5</v>
      </c>
      <c r="N84" s="8" t="str">
        <f>TEXT(Clean_Data[[#This Row],[OrderDate]],"mmm")</f>
        <v>May</v>
      </c>
      <c r="O84" s="8" t="str">
        <f>TEXT(Clean_Data[[#This Row],[OrderDate]], "yyyy-mm")</f>
        <v>2018-05</v>
      </c>
      <c r="P84" s="7">
        <f>Clean_Data[[#This Row],[Profit]]/Clean_Data[[#This Row],[Revenue ]]</f>
        <v>-0.10010764262648009</v>
      </c>
      <c r="Q84" t="str">
        <f>"Q"&amp;ROUNDUP(MONTH(Clean_Data[[#This Row],[OrderDate]])/3,0)</f>
        <v>Q2</v>
      </c>
      <c r="R84" t="str">
        <f>TEXT(Clean_Data[[#This Row],[OrderDate]], "dddd")</f>
        <v>Thursday</v>
      </c>
    </row>
    <row r="85" spans="1:18" x14ac:dyDescent="0.25">
      <c r="A85" t="s">
        <v>861</v>
      </c>
      <c r="B85" s="4">
        <v>18</v>
      </c>
      <c r="C85" s="4">
        <v>3</v>
      </c>
      <c r="D85" s="3">
        <v>2</v>
      </c>
      <c r="E85" t="s">
        <v>895</v>
      </c>
      <c r="F85" t="s">
        <v>899</v>
      </c>
      <c r="G85" t="s">
        <v>907</v>
      </c>
      <c r="H85" s="6">
        <f>_xlfn.XLOOKUP(A85,Orders[OrderID],Orders[OrderDate])</f>
        <v>43181</v>
      </c>
      <c r="I85" t="str">
        <f>_xlfn.XLOOKUP(A85,Orders[OrderID],Orders[CustomerName])</f>
        <v>Hazel</v>
      </c>
      <c r="J85" t="str">
        <f>_xlfn.XLOOKUP(A85,Orders[OrderID],Orders[State])</f>
        <v>Karnataka</v>
      </c>
      <c r="K85" t="str">
        <f>_xlfn.XLOOKUP(A85,Orders[OrderID],Orders[City])</f>
        <v>Bangalore</v>
      </c>
      <c r="L85" s="3">
        <f>YEAR(Clean_Data[[#This Row],[OrderDate]])</f>
        <v>2018</v>
      </c>
      <c r="M85" s="3">
        <f>MONTH(Clean_Data[[#This Row],[OrderDate]])</f>
        <v>3</v>
      </c>
      <c r="N85" s="8" t="str">
        <f>TEXT(Clean_Data[[#This Row],[OrderDate]],"mmm")</f>
        <v>Mar</v>
      </c>
      <c r="O85" s="8" t="str">
        <f>TEXT(Clean_Data[[#This Row],[OrderDate]], "yyyy-mm")</f>
        <v>2018-03</v>
      </c>
      <c r="P85" s="7">
        <f>Clean_Data[[#This Row],[Profit]]/Clean_Data[[#This Row],[Revenue ]]</f>
        <v>0.16666666666666666</v>
      </c>
      <c r="Q85" t="str">
        <f>"Q"&amp;ROUNDUP(MONTH(Clean_Data[[#This Row],[OrderDate]])/3,0)</f>
        <v>Q1</v>
      </c>
      <c r="R85" t="str">
        <f>TEXT(Clean_Data[[#This Row],[OrderDate]], "dddd")</f>
        <v>Thursday</v>
      </c>
    </row>
    <row r="86" spans="1:18" x14ac:dyDescent="0.25">
      <c r="A86" t="s">
        <v>228</v>
      </c>
      <c r="B86" s="4">
        <v>916</v>
      </c>
      <c r="C86" s="4">
        <v>192</v>
      </c>
      <c r="D86" s="3">
        <v>11</v>
      </c>
      <c r="E86" t="s">
        <v>885</v>
      </c>
      <c r="F86" t="s">
        <v>894</v>
      </c>
      <c r="G86" t="s">
        <v>887</v>
      </c>
      <c r="H86" s="6">
        <f>_xlfn.XLOOKUP(A86,Orders[OrderID],Orders[OrderDate])</f>
        <v>43409</v>
      </c>
      <c r="I86" t="str">
        <f>_xlfn.XLOOKUP(A86,Orders[OrderID],Orders[CustomerName])</f>
        <v>Abhishek</v>
      </c>
      <c r="J86" t="str">
        <f>_xlfn.XLOOKUP(A86,Orders[OrderID],Orders[State])</f>
        <v>Goa</v>
      </c>
      <c r="K86" t="str">
        <f>_xlfn.XLOOKUP(A86,Orders[OrderID],Orders[City])</f>
        <v>Goa</v>
      </c>
      <c r="L86" s="3">
        <f>YEAR(Clean_Data[[#This Row],[OrderDate]])</f>
        <v>2018</v>
      </c>
      <c r="M86" s="3">
        <f>MONTH(Clean_Data[[#This Row],[OrderDate]])</f>
        <v>11</v>
      </c>
      <c r="N86" s="8" t="str">
        <f>TEXT(Clean_Data[[#This Row],[OrderDate]],"mmm")</f>
        <v>Nov</v>
      </c>
      <c r="O86" s="8" t="str">
        <f>TEXT(Clean_Data[[#This Row],[OrderDate]], "yyyy-mm")</f>
        <v>2018-11</v>
      </c>
      <c r="P86" s="7">
        <f>Clean_Data[[#This Row],[Profit]]/Clean_Data[[#This Row],[Revenue ]]</f>
        <v>0.20960698689956331</v>
      </c>
      <c r="Q86" t="str">
        <f>"Q"&amp;ROUNDUP(MONTH(Clean_Data[[#This Row],[OrderDate]])/3,0)</f>
        <v>Q4</v>
      </c>
      <c r="R86" t="str">
        <f>TEXT(Clean_Data[[#This Row],[OrderDate]], "dddd")</f>
        <v>Monday</v>
      </c>
    </row>
    <row r="87" spans="1:18" x14ac:dyDescent="0.25">
      <c r="A87" t="s">
        <v>335</v>
      </c>
      <c r="B87" s="4">
        <v>76</v>
      </c>
      <c r="C87" s="4">
        <v>-72</v>
      </c>
      <c r="D87" s="3">
        <v>9</v>
      </c>
      <c r="E87" t="s">
        <v>895</v>
      </c>
      <c r="F87" t="s">
        <v>899</v>
      </c>
      <c r="G87" t="s">
        <v>887</v>
      </c>
      <c r="H87" s="6">
        <f>_xlfn.XLOOKUP(A87,Orders[OrderID],Orders[OrderDate])</f>
        <v>43269</v>
      </c>
      <c r="I87" t="str">
        <f>_xlfn.XLOOKUP(A87,Orders[OrderID],Orders[CustomerName])</f>
        <v>Parna</v>
      </c>
      <c r="J87" t="str">
        <f>_xlfn.XLOOKUP(A87,Orders[OrderID],Orders[State])</f>
        <v>Madhya Pradesh</v>
      </c>
      <c r="K87" t="str">
        <f>_xlfn.XLOOKUP(A87,Orders[OrderID],Orders[City])</f>
        <v>Bhopal</v>
      </c>
      <c r="L87" s="3">
        <f>YEAR(Clean_Data[[#This Row],[OrderDate]])</f>
        <v>2018</v>
      </c>
      <c r="M87" s="3">
        <f>MONTH(Clean_Data[[#This Row],[OrderDate]])</f>
        <v>6</v>
      </c>
      <c r="N87" s="8" t="str">
        <f>TEXT(Clean_Data[[#This Row],[OrderDate]],"mmm")</f>
        <v>Jun</v>
      </c>
      <c r="O87" s="8" t="str">
        <f>TEXT(Clean_Data[[#This Row],[OrderDate]], "yyyy-mm")</f>
        <v>2018-06</v>
      </c>
      <c r="P87" s="7">
        <f>Clean_Data[[#This Row],[Profit]]/Clean_Data[[#This Row],[Revenue ]]</f>
        <v>-0.94736842105263153</v>
      </c>
      <c r="Q87" t="str">
        <f>"Q"&amp;ROUNDUP(MONTH(Clean_Data[[#This Row],[OrderDate]])/3,0)</f>
        <v>Q2</v>
      </c>
      <c r="R87" t="str">
        <f>TEXT(Clean_Data[[#This Row],[OrderDate]], "dddd")</f>
        <v>Monday</v>
      </c>
    </row>
    <row r="88" spans="1:18" x14ac:dyDescent="0.25">
      <c r="A88" t="s">
        <v>244</v>
      </c>
      <c r="B88" s="4">
        <v>869</v>
      </c>
      <c r="C88" s="4">
        <v>67</v>
      </c>
      <c r="D88" s="3">
        <v>4</v>
      </c>
      <c r="E88" t="s">
        <v>888</v>
      </c>
      <c r="F88" t="s">
        <v>902</v>
      </c>
      <c r="G88" t="s">
        <v>887</v>
      </c>
      <c r="H88" s="6">
        <f>_xlfn.XLOOKUP(A88,Orders[OrderID],Orders[OrderDate])</f>
        <v>43411</v>
      </c>
      <c r="I88" t="str">
        <f>_xlfn.XLOOKUP(A88,Orders[OrderID],Orders[CustomerName])</f>
        <v>Soumyabrata</v>
      </c>
      <c r="J88" t="str">
        <f>_xlfn.XLOOKUP(A88,Orders[OrderID],Orders[State])</f>
        <v>Andhra Pradesh</v>
      </c>
      <c r="K88" t="str">
        <f>_xlfn.XLOOKUP(A88,Orders[OrderID],Orders[City])</f>
        <v>Hyderabad</v>
      </c>
      <c r="L88" s="3">
        <f>YEAR(Clean_Data[[#This Row],[OrderDate]])</f>
        <v>2018</v>
      </c>
      <c r="M88" s="3">
        <f>MONTH(Clean_Data[[#This Row],[OrderDate]])</f>
        <v>11</v>
      </c>
      <c r="N88" s="8" t="str">
        <f>TEXT(Clean_Data[[#This Row],[OrderDate]],"mmm")</f>
        <v>Nov</v>
      </c>
      <c r="O88" s="8" t="str">
        <f>TEXT(Clean_Data[[#This Row],[OrderDate]], "yyyy-mm")</f>
        <v>2018-11</v>
      </c>
      <c r="P88" s="7">
        <f>Clean_Data[[#This Row],[Profit]]/Clean_Data[[#This Row],[Revenue ]]</f>
        <v>7.7100115074798622E-2</v>
      </c>
      <c r="Q88" t="str">
        <f>"Q"&amp;ROUNDUP(MONTH(Clean_Data[[#This Row],[OrderDate]])/3,0)</f>
        <v>Q4</v>
      </c>
      <c r="R88" t="str">
        <f>TEXT(Clean_Data[[#This Row],[OrderDate]], "dddd")</f>
        <v>Wednesday</v>
      </c>
    </row>
    <row r="89" spans="1:18" x14ac:dyDescent="0.25">
      <c r="A89" t="s">
        <v>693</v>
      </c>
      <c r="B89" s="4">
        <v>112</v>
      </c>
      <c r="C89" s="4">
        <v>24</v>
      </c>
      <c r="D89" s="3">
        <v>3</v>
      </c>
      <c r="E89" t="s">
        <v>895</v>
      </c>
      <c r="F89" t="s">
        <v>900</v>
      </c>
      <c r="G89" t="s">
        <v>887</v>
      </c>
      <c r="H89" s="6">
        <f>_xlfn.XLOOKUP(A89,Orders[OrderID],Orders[OrderDate])</f>
        <v>43419</v>
      </c>
      <c r="I89" t="str">
        <f>_xlfn.XLOOKUP(A89,Orders[OrderID],Orders[CustomerName])</f>
        <v>Akshay</v>
      </c>
      <c r="J89" t="str">
        <f>_xlfn.XLOOKUP(A89,Orders[OrderID],Orders[State])</f>
        <v>Tamil Nadu</v>
      </c>
      <c r="K89" t="str">
        <f>_xlfn.XLOOKUP(A89,Orders[OrderID],Orders[City])</f>
        <v>Chennai</v>
      </c>
      <c r="L89" s="3">
        <f>YEAR(Clean_Data[[#This Row],[OrderDate]])</f>
        <v>2018</v>
      </c>
      <c r="M89" s="3">
        <f>MONTH(Clean_Data[[#This Row],[OrderDate]])</f>
        <v>11</v>
      </c>
      <c r="N89" s="8" t="str">
        <f>TEXT(Clean_Data[[#This Row],[OrderDate]],"mmm")</f>
        <v>Nov</v>
      </c>
      <c r="O89" s="8" t="str">
        <f>TEXT(Clean_Data[[#This Row],[OrderDate]], "yyyy-mm")</f>
        <v>2018-11</v>
      </c>
      <c r="P89" s="7">
        <f>Clean_Data[[#This Row],[Profit]]/Clean_Data[[#This Row],[Revenue ]]</f>
        <v>0.21428571428571427</v>
      </c>
      <c r="Q89" t="str">
        <f>"Q"&amp;ROUNDUP(MONTH(Clean_Data[[#This Row],[OrderDate]])/3,0)</f>
        <v>Q4</v>
      </c>
      <c r="R89" t="str">
        <f>TEXT(Clean_Data[[#This Row],[OrderDate]], "dddd")</f>
        <v>Thursday</v>
      </c>
    </row>
    <row r="90" spans="1:18" x14ac:dyDescent="0.25">
      <c r="A90" t="s">
        <v>50</v>
      </c>
      <c r="B90" s="4">
        <v>39</v>
      </c>
      <c r="C90" s="4">
        <v>16</v>
      </c>
      <c r="D90" s="3">
        <v>6</v>
      </c>
      <c r="E90" t="s">
        <v>895</v>
      </c>
      <c r="F90" t="s">
        <v>901</v>
      </c>
      <c r="G90" t="s">
        <v>898</v>
      </c>
      <c r="H90" s="6">
        <f>_xlfn.XLOOKUP(A90,Orders[OrderID],Orders[OrderDate])</f>
        <v>43412</v>
      </c>
      <c r="I90" t="str">
        <f>_xlfn.XLOOKUP(A90,Orders[OrderID],Orders[CustomerName])</f>
        <v>Gaurav</v>
      </c>
      <c r="J90" t="str">
        <f>_xlfn.XLOOKUP(A90,Orders[OrderID],Orders[State])</f>
        <v>Gujarat</v>
      </c>
      <c r="K90" t="str">
        <f>_xlfn.XLOOKUP(A90,Orders[OrderID],Orders[City])</f>
        <v>Ahmedabad</v>
      </c>
      <c r="L90" s="3">
        <f>YEAR(Clean_Data[[#This Row],[OrderDate]])</f>
        <v>2018</v>
      </c>
      <c r="M90" s="3">
        <f>MONTH(Clean_Data[[#This Row],[OrderDate]])</f>
        <v>11</v>
      </c>
      <c r="N90" s="8" t="str">
        <f>TEXT(Clean_Data[[#This Row],[OrderDate]],"mmm")</f>
        <v>Nov</v>
      </c>
      <c r="O90" s="8" t="str">
        <f>TEXT(Clean_Data[[#This Row],[OrderDate]], "yyyy-mm")</f>
        <v>2018-11</v>
      </c>
      <c r="P90" s="7">
        <f>Clean_Data[[#This Row],[Profit]]/Clean_Data[[#This Row],[Revenue ]]</f>
        <v>0.41025641025641024</v>
      </c>
      <c r="Q90" t="str">
        <f>"Q"&amp;ROUNDUP(MONTH(Clean_Data[[#This Row],[OrderDate]])/3,0)</f>
        <v>Q4</v>
      </c>
      <c r="R90" t="str">
        <f>TEXT(Clean_Data[[#This Row],[OrderDate]], "dddd")</f>
        <v>Thursday</v>
      </c>
    </row>
    <row r="91" spans="1:18" x14ac:dyDescent="0.25">
      <c r="A91" t="s">
        <v>230</v>
      </c>
      <c r="B91" s="4">
        <v>857</v>
      </c>
      <c r="C91" s="4">
        <v>-274</v>
      </c>
      <c r="D91" s="3">
        <v>2</v>
      </c>
      <c r="E91" t="s">
        <v>888</v>
      </c>
      <c r="F91" t="s">
        <v>902</v>
      </c>
      <c r="G91" t="s">
        <v>887</v>
      </c>
      <c r="H91" s="6">
        <f>_xlfn.XLOOKUP(A91,Orders[OrderID],Orders[OrderDate])</f>
        <v>43441</v>
      </c>
      <c r="I91" t="str">
        <f>_xlfn.XLOOKUP(A91,Orders[OrderID],Orders[CustomerName])</f>
        <v>Abhishek</v>
      </c>
      <c r="J91" t="str">
        <f>_xlfn.XLOOKUP(A91,Orders[OrderID],Orders[State])</f>
        <v>Rajasthan</v>
      </c>
      <c r="K91" t="str">
        <f>_xlfn.XLOOKUP(A91,Orders[OrderID],Orders[City])</f>
        <v>Udaipur</v>
      </c>
      <c r="L91" s="3">
        <f>YEAR(Clean_Data[[#This Row],[OrderDate]])</f>
        <v>2018</v>
      </c>
      <c r="M91" s="3">
        <f>MONTH(Clean_Data[[#This Row],[OrderDate]])</f>
        <v>12</v>
      </c>
      <c r="N91" s="8" t="str">
        <f>TEXT(Clean_Data[[#This Row],[OrderDate]],"mmm")</f>
        <v>Dec</v>
      </c>
      <c r="O91" s="8" t="str">
        <f>TEXT(Clean_Data[[#This Row],[OrderDate]], "yyyy-mm")</f>
        <v>2018-12</v>
      </c>
      <c r="P91" s="7">
        <f>Clean_Data[[#This Row],[Profit]]/Clean_Data[[#This Row],[Revenue ]]</f>
        <v>-0.31971995332555425</v>
      </c>
      <c r="Q91" t="str">
        <f>"Q"&amp;ROUNDUP(MONTH(Clean_Data[[#This Row],[OrderDate]])/3,0)</f>
        <v>Q4</v>
      </c>
      <c r="R91" t="str">
        <f>TEXT(Clean_Data[[#This Row],[OrderDate]], "dddd")</f>
        <v>Friday</v>
      </c>
    </row>
    <row r="92" spans="1:18" x14ac:dyDescent="0.25">
      <c r="A92" t="s">
        <v>256</v>
      </c>
      <c r="B92" s="4">
        <v>828</v>
      </c>
      <c r="C92" s="4">
        <v>230</v>
      </c>
      <c r="D92" s="3">
        <v>2</v>
      </c>
      <c r="E92" t="s">
        <v>888</v>
      </c>
      <c r="F92" t="s">
        <v>889</v>
      </c>
      <c r="G92" t="s">
        <v>887</v>
      </c>
      <c r="H92" s="6">
        <f>_xlfn.XLOOKUP(A92,Orders[OrderID],Orders[OrderDate])</f>
        <v>43190</v>
      </c>
      <c r="I92" t="str">
        <f>_xlfn.XLOOKUP(A92,Orders[OrderID],Orders[CustomerName])</f>
        <v>Hitika</v>
      </c>
      <c r="J92" t="str">
        <f>_xlfn.XLOOKUP(A92,Orders[OrderID],Orders[State])</f>
        <v>Madhya Pradesh</v>
      </c>
      <c r="K92" t="str">
        <f>_xlfn.XLOOKUP(A92,Orders[OrderID],Orders[City])</f>
        <v>Indore</v>
      </c>
      <c r="L92" s="3">
        <f>YEAR(Clean_Data[[#This Row],[OrderDate]])</f>
        <v>2018</v>
      </c>
      <c r="M92" s="3">
        <f>MONTH(Clean_Data[[#This Row],[OrderDate]])</f>
        <v>3</v>
      </c>
      <c r="N92" s="8" t="str">
        <f>TEXT(Clean_Data[[#This Row],[OrderDate]],"mmm")</f>
        <v>Mar</v>
      </c>
      <c r="O92" s="8" t="str">
        <f>TEXT(Clean_Data[[#This Row],[OrderDate]], "yyyy-mm")</f>
        <v>2018-03</v>
      </c>
      <c r="P92" s="7">
        <f>Clean_Data[[#This Row],[Profit]]/Clean_Data[[#This Row],[Revenue ]]</f>
        <v>0.27777777777777779</v>
      </c>
      <c r="Q92" t="str">
        <f>"Q"&amp;ROUNDUP(MONTH(Clean_Data[[#This Row],[OrderDate]])/3,0)</f>
        <v>Q1</v>
      </c>
      <c r="R92" t="str">
        <f>TEXT(Clean_Data[[#This Row],[OrderDate]], "dddd")</f>
        <v>Saturday</v>
      </c>
    </row>
    <row r="93" spans="1:18" x14ac:dyDescent="0.25">
      <c r="A93" t="s">
        <v>140</v>
      </c>
      <c r="B93" s="4">
        <v>1279</v>
      </c>
      <c r="C93" s="4">
        <v>-640</v>
      </c>
      <c r="D93" s="3">
        <v>8</v>
      </c>
      <c r="E93" t="s">
        <v>885</v>
      </c>
      <c r="F93" t="s">
        <v>892</v>
      </c>
      <c r="G93" t="s">
        <v>890</v>
      </c>
      <c r="H93" s="6">
        <f>_xlfn.XLOOKUP(A93,Orders[OrderID],Orders[OrderDate])</f>
        <v>43228</v>
      </c>
      <c r="I93" t="str">
        <f>_xlfn.XLOOKUP(A93,Orders[OrderID],Orders[CustomerName])</f>
        <v>Farah</v>
      </c>
      <c r="J93" t="str">
        <f>_xlfn.XLOOKUP(A93,Orders[OrderID],Orders[State])</f>
        <v>Nagaland</v>
      </c>
      <c r="K93" t="str">
        <f>_xlfn.XLOOKUP(A93,Orders[OrderID],Orders[City])</f>
        <v>Kohima</v>
      </c>
      <c r="L93" s="3">
        <f>YEAR(Clean_Data[[#This Row],[OrderDate]])</f>
        <v>2018</v>
      </c>
      <c r="M93" s="3">
        <f>MONTH(Clean_Data[[#This Row],[OrderDate]])</f>
        <v>5</v>
      </c>
      <c r="N93" s="8" t="str">
        <f>TEXT(Clean_Data[[#This Row],[OrderDate]],"mmm")</f>
        <v>May</v>
      </c>
      <c r="O93" s="8" t="str">
        <f>TEXT(Clean_Data[[#This Row],[OrderDate]], "yyyy-mm")</f>
        <v>2018-05</v>
      </c>
      <c r="P93" s="7">
        <f>Clean_Data[[#This Row],[Profit]]/Clean_Data[[#This Row],[Revenue ]]</f>
        <v>-0.5003909304143862</v>
      </c>
      <c r="Q93" t="str">
        <f>"Q"&amp;ROUNDUP(MONTH(Clean_Data[[#This Row],[OrderDate]])/3,0)</f>
        <v>Q2</v>
      </c>
      <c r="R93" t="str">
        <f>TEXT(Clean_Data[[#This Row],[OrderDate]], "dddd")</f>
        <v>Tuesday</v>
      </c>
    </row>
    <row r="94" spans="1:18" x14ac:dyDescent="0.25">
      <c r="A94" t="s">
        <v>169</v>
      </c>
      <c r="B94" s="4">
        <v>1250</v>
      </c>
      <c r="C94" s="4">
        <v>486</v>
      </c>
      <c r="D94" s="3">
        <v>7</v>
      </c>
      <c r="E94" t="s">
        <v>895</v>
      </c>
      <c r="F94" t="s">
        <v>897</v>
      </c>
      <c r="G94" t="s">
        <v>890</v>
      </c>
      <c r="H94" s="6">
        <f>_xlfn.XLOOKUP(A94,Orders[OrderID],Orders[OrderDate])</f>
        <v>43403</v>
      </c>
      <c r="I94" t="str">
        <f>_xlfn.XLOOKUP(A94,Orders[OrderID],Orders[CustomerName])</f>
        <v>Pranjali</v>
      </c>
      <c r="J94" t="str">
        <f>_xlfn.XLOOKUP(A94,Orders[OrderID],Orders[State])</f>
        <v>West Bengal</v>
      </c>
      <c r="K94" t="str">
        <f>_xlfn.XLOOKUP(A94,Orders[OrderID],Orders[City])</f>
        <v>Kolkata</v>
      </c>
      <c r="L94" s="3">
        <f>YEAR(Clean_Data[[#This Row],[OrderDate]])</f>
        <v>2018</v>
      </c>
      <c r="M94" s="3">
        <f>MONTH(Clean_Data[[#This Row],[OrderDate]])</f>
        <v>10</v>
      </c>
      <c r="N94" s="8" t="str">
        <f>TEXT(Clean_Data[[#This Row],[OrderDate]],"mmm")</f>
        <v>Oct</v>
      </c>
      <c r="O94" s="8" t="str">
        <f>TEXT(Clean_Data[[#This Row],[OrderDate]], "yyyy-mm")</f>
        <v>2018-10</v>
      </c>
      <c r="P94" s="7">
        <f>Clean_Data[[#This Row],[Profit]]/Clean_Data[[#This Row],[Revenue ]]</f>
        <v>0.38879999999999998</v>
      </c>
      <c r="Q94" t="str">
        <f>"Q"&amp;ROUNDUP(MONTH(Clean_Data[[#This Row],[OrderDate]])/3,0)</f>
        <v>Q4</v>
      </c>
      <c r="R94" t="str">
        <f>TEXT(Clean_Data[[#This Row],[OrderDate]], "dddd")</f>
        <v>Tuesday</v>
      </c>
    </row>
    <row r="95" spans="1:18" x14ac:dyDescent="0.25">
      <c r="A95" t="s">
        <v>258</v>
      </c>
      <c r="B95" s="4">
        <v>823</v>
      </c>
      <c r="C95" s="4">
        <v>-18</v>
      </c>
      <c r="D95" s="3">
        <v>7</v>
      </c>
      <c r="E95" t="s">
        <v>888</v>
      </c>
      <c r="F95" t="s">
        <v>889</v>
      </c>
      <c r="G95" t="s">
        <v>887</v>
      </c>
      <c r="H95" s="6">
        <f>_xlfn.XLOOKUP(A95,Orders[OrderID],Orders[OrderDate])</f>
        <v>43227</v>
      </c>
      <c r="I95" t="str">
        <f>_xlfn.XLOOKUP(A95,Orders[OrderID],Orders[CustomerName])</f>
        <v>Anurag</v>
      </c>
      <c r="J95" t="str">
        <f>_xlfn.XLOOKUP(A95,Orders[OrderID],Orders[State])</f>
        <v>Madhya Pradesh</v>
      </c>
      <c r="K95" t="str">
        <f>_xlfn.XLOOKUP(A95,Orders[OrderID],Orders[City])</f>
        <v>Indore</v>
      </c>
      <c r="L95" s="3">
        <f>YEAR(Clean_Data[[#This Row],[OrderDate]])</f>
        <v>2018</v>
      </c>
      <c r="M95" s="3">
        <f>MONTH(Clean_Data[[#This Row],[OrderDate]])</f>
        <v>5</v>
      </c>
      <c r="N95" s="8" t="str">
        <f>TEXT(Clean_Data[[#This Row],[OrderDate]],"mmm")</f>
        <v>May</v>
      </c>
      <c r="O95" s="8" t="str">
        <f>TEXT(Clean_Data[[#This Row],[OrderDate]], "yyyy-mm")</f>
        <v>2018-05</v>
      </c>
      <c r="P95" s="7">
        <f>Clean_Data[[#This Row],[Profit]]/Clean_Data[[#This Row],[Revenue ]]</f>
        <v>-2.187120291616039E-2</v>
      </c>
      <c r="Q95" t="str">
        <f>"Q"&amp;ROUNDUP(MONTH(Clean_Data[[#This Row],[OrderDate]])/3,0)</f>
        <v>Q2</v>
      </c>
      <c r="R95" t="str">
        <f>TEXT(Clean_Data[[#This Row],[OrderDate]], "dddd")</f>
        <v>Monday</v>
      </c>
    </row>
    <row r="96" spans="1:18" x14ac:dyDescent="0.25">
      <c r="A96" t="s">
        <v>179</v>
      </c>
      <c r="B96" s="4">
        <v>1157</v>
      </c>
      <c r="C96" s="4">
        <v>-13</v>
      </c>
      <c r="D96" s="3">
        <v>9</v>
      </c>
      <c r="E96" t="s">
        <v>888</v>
      </c>
      <c r="F96" t="s">
        <v>891</v>
      </c>
      <c r="G96" t="s">
        <v>893</v>
      </c>
      <c r="H96" s="6">
        <f>_xlfn.XLOOKUP(A96,Orders[OrderID],Orders[OrderDate])</f>
        <v>43118</v>
      </c>
      <c r="I96" t="str">
        <f>_xlfn.XLOOKUP(A96,Orders[OrderID],Orders[CustomerName])</f>
        <v>Mahima</v>
      </c>
      <c r="J96" t="str">
        <f>_xlfn.XLOOKUP(A96,Orders[OrderID],Orders[State])</f>
        <v>Madhya Pradesh</v>
      </c>
      <c r="K96" t="str">
        <f>_xlfn.XLOOKUP(A96,Orders[OrderID],Orders[City])</f>
        <v>Indore</v>
      </c>
      <c r="L96" s="3">
        <f>YEAR(Clean_Data[[#This Row],[OrderDate]])</f>
        <v>2018</v>
      </c>
      <c r="M96" s="3">
        <f>MONTH(Clean_Data[[#This Row],[OrderDate]])</f>
        <v>1</v>
      </c>
      <c r="N96" s="8" t="str">
        <f>TEXT(Clean_Data[[#This Row],[OrderDate]],"mmm")</f>
        <v>Jan</v>
      </c>
      <c r="O96" s="8" t="str">
        <f>TEXT(Clean_Data[[#This Row],[OrderDate]], "yyyy-mm")</f>
        <v>2018-01</v>
      </c>
      <c r="P96" s="7">
        <f>Clean_Data[[#This Row],[Profit]]/Clean_Data[[#This Row],[Revenue ]]</f>
        <v>-1.1235955056179775E-2</v>
      </c>
      <c r="Q96" t="str">
        <f>"Q"&amp;ROUNDUP(MONTH(Clean_Data[[#This Row],[OrderDate]])/3,0)</f>
        <v>Q1</v>
      </c>
      <c r="R96" t="str">
        <f>TEXT(Clean_Data[[#This Row],[OrderDate]], "dddd")</f>
        <v>Thursday</v>
      </c>
    </row>
    <row r="97" spans="1:18" x14ac:dyDescent="0.25">
      <c r="A97" t="s">
        <v>664</v>
      </c>
      <c r="B97" s="4">
        <v>126</v>
      </c>
      <c r="C97" s="4">
        <v>-63</v>
      </c>
      <c r="D97" s="3">
        <v>3</v>
      </c>
      <c r="E97" t="s">
        <v>885</v>
      </c>
      <c r="F97" t="s">
        <v>905</v>
      </c>
      <c r="G97" t="s">
        <v>898</v>
      </c>
      <c r="H97" s="6">
        <f>_xlfn.XLOOKUP(A97,Orders[OrderID],Orders[OrderDate])</f>
        <v>43280</v>
      </c>
      <c r="I97" t="str">
        <f>_xlfn.XLOOKUP(A97,Orders[OrderID],Orders[CustomerName])</f>
        <v>Riya</v>
      </c>
      <c r="J97" t="str">
        <f>_xlfn.XLOOKUP(A97,Orders[OrderID],Orders[State])</f>
        <v>Maharashtra</v>
      </c>
      <c r="K97" t="str">
        <f>_xlfn.XLOOKUP(A97,Orders[OrderID],Orders[City])</f>
        <v>Mumbai</v>
      </c>
      <c r="L97" s="3">
        <f>YEAR(Clean_Data[[#This Row],[OrderDate]])</f>
        <v>2018</v>
      </c>
      <c r="M97" s="3">
        <f>MONTH(Clean_Data[[#This Row],[OrderDate]])</f>
        <v>6</v>
      </c>
      <c r="N97" s="8" t="str">
        <f>TEXT(Clean_Data[[#This Row],[OrderDate]],"mmm")</f>
        <v>Jun</v>
      </c>
      <c r="O97" s="8" t="str">
        <f>TEXT(Clean_Data[[#This Row],[OrderDate]], "yyyy-mm")</f>
        <v>2018-06</v>
      </c>
      <c r="P97" s="7">
        <f>Clean_Data[[#This Row],[Profit]]/Clean_Data[[#This Row],[Revenue ]]</f>
        <v>-0.5</v>
      </c>
      <c r="Q97" t="str">
        <f>"Q"&amp;ROUNDUP(MONTH(Clean_Data[[#This Row],[OrderDate]])/3,0)</f>
        <v>Q2</v>
      </c>
      <c r="R97" t="str">
        <f>TEXT(Clean_Data[[#This Row],[OrderDate]], "dddd")</f>
        <v>Friday</v>
      </c>
    </row>
    <row r="98" spans="1:18" x14ac:dyDescent="0.25">
      <c r="A98" t="s">
        <v>181</v>
      </c>
      <c r="B98" s="4">
        <v>1145</v>
      </c>
      <c r="C98" s="4">
        <v>-706</v>
      </c>
      <c r="D98" s="3">
        <v>3</v>
      </c>
      <c r="E98" t="s">
        <v>885</v>
      </c>
      <c r="F98" t="s">
        <v>894</v>
      </c>
      <c r="G98" t="s">
        <v>893</v>
      </c>
      <c r="H98" s="6">
        <f>_xlfn.XLOOKUP(A98,Orders[OrderID],Orders[OrderDate])</f>
        <v>43303</v>
      </c>
      <c r="I98" t="str">
        <f>_xlfn.XLOOKUP(A98,Orders[OrderID],Orders[CustomerName])</f>
        <v>Rishabh</v>
      </c>
      <c r="J98" t="str">
        <f>_xlfn.XLOOKUP(A98,Orders[OrderID],Orders[State])</f>
        <v>Rajasthan</v>
      </c>
      <c r="K98" t="str">
        <f>_xlfn.XLOOKUP(A98,Orders[OrderID],Orders[City])</f>
        <v>Jaipur</v>
      </c>
      <c r="L98" s="3">
        <f>YEAR(Clean_Data[[#This Row],[OrderDate]])</f>
        <v>2018</v>
      </c>
      <c r="M98" s="3">
        <f>MONTH(Clean_Data[[#This Row],[OrderDate]])</f>
        <v>7</v>
      </c>
      <c r="N98" s="8" t="str">
        <f>TEXT(Clean_Data[[#This Row],[OrderDate]],"mmm")</f>
        <v>Jul</v>
      </c>
      <c r="O98" s="8" t="str">
        <f>TEXT(Clean_Data[[#This Row],[OrderDate]], "yyyy-mm")</f>
        <v>2018-07</v>
      </c>
      <c r="P98" s="7">
        <f>Clean_Data[[#This Row],[Profit]]/Clean_Data[[#This Row],[Revenue ]]</f>
        <v>-0.61659388646288205</v>
      </c>
      <c r="Q98" t="str">
        <f>"Q"&amp;ROUNDUP(MONTH(Clean_Data[[#This Row],[OrderDate]])/3,0)</f>
        <v>Q3</v>
      </c>
      <c r="R98" t="str">
        <f>TEXT(Clean_Data[[#This Row],[OrderDate]], "dddd")</f>
        <v>Sunday</v>
      </c>
    </row>
    <row r="99" spans="1:18" x14ac:dyDescent="0.25">
      <c r="A99" t="s">
        <v>267</v>
      </c>
      <c r="B99" s="4">
        <v>774</v>
      </c>
      <c r="C99" s="4">
        <v>170</v>
      </c>
      <c r="D99" s="3">
        <v>3</v>
      </c>
      <c r="E99" t="s">
        <v>885</v>
      </c>
      <c r="F99" t="s">
        <v>905</v>
      </c>
      <c r="G99" t="s">
        <v>887</v>
      </c>
      <c r="H99" s="6">
        <f>_xlfn.XLOOKUP(A99,Orders[OrderID],Orders[OrderDate])</f>
        <v>43167</v>
      </c>
      <c r="I99" t="str">
        <f>_xlfn.XLOOKUP(A99,Orders[OrderID],Orders[CustomerName])</f>
        <v>Ajay</v>
      </c>
      <c r="J99" t="str">
        <f>_xlfn.XLOOKUP(A99,Orders[OrderID],Orders[State])</f>
        <v>Karnataka</v>
      </c>
      <c r="K99" t="str">
        <f>_xlfn.XLOOKUP(A99,Orders[OrderID],Orders[City])</f>
        <v>Bangalore</v>
      </c>
      <c r="L99" s="3">
        <f>YEAR(Clean_Data[[#This Row],[OrderDate]])</f>
        <v>2018</v>
      </c>
      <c r="M99" s="3">
        <f>MONTH(Clean_Data[[#This Row],[OrderDate]])</f>
        <v>3</v>
      </c>
      <c r="N99" s="8" t="str">
        <f>TEXT(Clean_Data[[#This Row],[OrderDate]],"mmm")</f>
        <v>Mar</v>
      </c>
      <c r="O99" s="8" t="str">
        <f>TEXT(Clean_Data[[#This Row],[OrderDate]], "yyyy-mm")</f>
        <v>2018-03</v>
      </c>
      <c r="P99" s="7">
        <f>Clean_Data[[#This Row],[Profit]]/Clean_Data[[#This Row],[Revenue ]]</f>
        <v>0.21963824289405684</v>
      </c>
      <c r="Q99" t="str">
        <f>"Q"&amp;ROUNDUP(MONTH(Clean_Data[[#This Row],[OrderDate]])/3,0)</f>
        <v>Q1</v>
      </c>
      <c r="R99" t="str">
        <f>TEXT(Clean_Data[[#This Row],[OrderDate]], "dddd")</f>
        <v>Thursday</v>
      </c>
    </row>
    <row r="100" spans="1:18" x14ac:dyDescent="0.25">
      <c r="A100" t="s">
        <v>124</v>
      </c>
      <c r="B100" s="4">
        <v>24</v>
      </c>
      <c r="C100" s="4">
        <v>-1</v>
      </c>
      <c r="D100" s="3">
        <v>2</v>
      </c>
      <c r="E100" t="s">
        <v>895</v>
      </c>
      <c r="F100" t="s">
        <v>899</v>
      </c>
      <c r="G100" t="s">
        <v>887</v>
      </c>
      <c r="H100" s="6">
        <f>_xlfn.XLOOKUP(A100,Orders[OrderID],Orders[OrderDate])</f>
        <v>43231</v>
      </c>
      <c r="I100" t="str">
        <f>_xlfn.XLOOKUP(A100,Orders[OrderID],Orders[CustomerName])</f>
        <v>Priyanka</v>
      </c>
      <c r="J100" t="str">
        <f>_xlfn.XLOOKUP(A100,Orders[OrderID],Orders[State])</f>
        <v>Maharashtra</v>
      </c>
      <c r="K100" t="str">
        <f>_xlfn.XLOOKUP(A100,Orders[OrderID],Orders[City])</f>
        <v>Pune</v>
      </c>
      <c r="L100" s="3">
        <f>YEAR(Clean_Data[[#This Row],[OrderDate]])</f>
        <v>2018</v>
      </c>
      <c r="M100" s="3">
        <f>MONTH(Clean_Data[[#This Row],[OrderDate]])</f>
        <v>5</v>
      </c>
      <c r="N100" s="8" t="str">
        <f>TEXT(Clean_Data[[#This Row],[OrderDate]],"mmm")</f>
        <v>May</v>
      </c>
      <c r="O100" s="8" t="str">
        <f>TEXT(Clean_Data[[#This Row],[OrderDate]], "yyyy-mm")</f>
        <v>2018-05</v>
      </c>
      <c r="P100" s="7">
        <f>Clean_Data[[#This Row],[Profit]]/Clean_Data[[#This Row],[Revenue ]]</f>
        <v>-4.1666666666666664E-2</v>
      </c>
      <c r="Q100" t="str">
        <f>"Q"&amp;ROUNDUP(MONTH(Clean_Data[[#This Row],[OrderDate]])/3,0)</f>
        <v>Q2</v>
      </c>
      <c r="R100" t="str">
        <f>TEXT(Clean_Data[[#This Row],[OrderDate]], "dddd")</f>
        <v>Friday</v>
      </c>
    </row>
    <row r="101" spans="1:18" x14ac:dyDescent="0.25">
      <c r="A101" t="s">
        <v>265</v>
      </c>
      <c r="B101" s="4">
        <v>774</v>
      </c>
      <c r="C101" s="4">
        <v>170</v>
      </c>
      <c r="D101" s="3">
        <v>3</v>
      </c>
      <c r="E101" t="s">
        <v>885</v>
      </c>
      <c r="F101" t="s">
        <v>905</v>
      </c>
      <c r="G101" t="s">
        <v>887</v>
      </c>
      <c r="H101" s="6">
        <f>_xlfn.XLOOKUP(A101,Orders[OrderID],Orders[OrderDate])</f>
        <v>43153</v>
      </c>
      <c r="I101" t="str">
        <f>_xlfn.XLOOKUP(A101,Orders[OrderID],Orders[CustomerName])</f>
        <v>Atharv</v>
      </c>
      <c r="J101" t="str">
        <f>_xlfn.XLOOKUP(A101,Orders[OrderID],Orders[State])</f>
        <v>West Bengal</v>
      </c>
      <c r="K101" t="str">
        <f>_xlfn.XLOOKUP(A101,Orders[OrderID],Orders[City])</f>
        <v>Kolkata</v>
      </c>
      <c r="L101" s="3">
        <f>YEAR(Clean_Data[[#This Row],[OrderDate]])</f>
        <v>2018</v>
      </c>
      <c r="M101" s="3">
        <f>MONTH(Clean_Data[[#This Row],[OrderDate]])</f>
        <v>2</v>
      </c>
      <c r="N101" s="8" t="str">
        <f>TEXT(Clean_Data[[#This Row],[OrderDate]],"mmm")</f>
        <v>Feb</v>
      </c>
      <c r="O101" s="8" t="str">
        <f>TEXT(Clean_Data[[#This Row],[OrderDate]], "yyyy-mm")</f>
        <v>2018-02</v>
      </c>
      <c r="P101" s="7">
        <f>Clean_Data[[#This Row],[Profit]]/Clean_Data[[#This Row],[Revenue ]]</f>
        <v>0.21963824289405684</v>
      </c>
      <c r="Q101" t="str">
        <f>"Q"&amp;ROUNDUP(MONTH(Clean_Data[[#This Row],[OrderDate]])/3,0)</f>
        <v>Q1</v>
      </c>
      <c r="R101" t="str">
        <f>TEXT(Clean_Data[[#This Row],[OrderDate]], "dddd")</f>
        <v>Thursday</v>
      </c>
    </row>
    <row r="102" spans="1:18" x14ac:dyDescent="0.25">
      <c r="A102" t="s">
        <v>228</v>
      </c>
      <c r="B102" s="4">
        <v>93</v>
      </c>
      <c r="C102" s="4">
        <v>-1</v>
      </c>
      <c r="D102" s="3">
        <v>2</v>
      </c>
      <c r="E102" t="s">
        <v>895</v>
      </c>
      <c r="F102" t="s">
        <v>899</v>
      </c>
      <c r="G102" t="s">
        <v>887</v>
      </c>
      <c r="H102" s="6">
        <f>_xlfn.XLOOKUP(A102,Orders[OrderID],Orders[OrderDate])</f>
        <v>43409</v>
      </c>
      <c r="I102" t="str">
        <f>_xlfn.XLOOKUP(A102,Orders[OrderID],Orders[CustomerName])</f>
        <v>Abhishek</v>
      </c>
      <c r="J102" t="str">
        <f>_xlfn.XLOOKUP(A102,Orders[OrderID],Orders[State])</f>
        <v>Goa</v>
      </c>
      <c r="K102" t="str">
        <f>_xlfn.XLOOKUP(A102,Orders[OrderID],Orders[City])</f>
        <v>Goa</v>
      </c>
      <c r="L102" s="3">
        <f>YEAR(Clean_Data[[#This Row],[OrderDate]])</f>
        <v>2018</v>
      </c>
      <c r="M102" s="3">
        <f>MONTH(Clean_Data[[#This Row],[OrderDate]])</f>
        <v>11</v>
      </c>
      <c r="N102" s="8" t="str">
        <f>TEXT(Clean_Data[[#This Row],[OrderDate]],"mmm")</f>
        <v>Nov</v>
      </c>
      <c r="O102" s="8" t="str">
        <f>TEXT(Clean_Data[[#This Row],[OrderDate]], "yyyy-mm")</f>
        <v>2018-11</v>
      </c>
      <c r="P102" s="7">
        <f>Clean_Data[[#This Row],[Profit]]/Clean_Data[[#This Row],[Revenue ]]</f>
        <v>-1.0752688172043012E-2</v>
      </c>
      <c r="Q102" t="str">
        <f>"Q"&amp;ROUNDUP(MONTH(Clean_Data[[#This Row],[OrderDate]])/3,0)</f>
        <v>Q4</v>
      </c>
      <c r="R102" t="str">
        <f>TEXT(Clean_Data[[#This Row],[OrderDate]], "dddd")</f>
        <v>Monday</v>
      </c>
    </row>
    <row r="103" spans="1:18" x14ac:dyDescent="0.25">
      <c r="A103" t="s">
        <v>277</v>
      </c>
      <c r="B103" s="4">
        <v>765</v>
      </c>
      <c r="C103" s="4">
        <v>-36</v>
      </c>
      <c r="D103" s="3">
        <v>3</v>
      </c>
      <c r="E103" t="s">
        <v>885</v>
      </c>
      <c r="F103" t="s">
        <v>886</v>
      </c>
      <c r="G103" t="s">
        <v>887</v>
      </c>
      <c r="H103" s="6">
        <f>_xlfn.XLOOKUP(A103,Orders[OrderID],Orders[OrderDate])</f>
        <v>43111</v>
      </c>
      <c r="I103" t="str">
        <f>_xlfn.XLOOKUP(A103,Orders[OrderID],Orders[CustomerName])</f>
        <v>Mhatre</v>
      </c>
      <c r="J103" t="str">
        <f>_xlfn.XLOOKUP(A103,Orders[OrderID],Orders[State])</f>
        <v>Madhya Pradesh</v>
      </c>
      <c r="K103" t="str">
        <f>_xlfn.XLOOKUP(A103,Orders[OrderID],Orders[City])</f>
        <v>Indore</v>
      </c>
      <c r="L103" s="3">
        <f>YEAR(Clean_Data[[#This Row],[OrderDate]])</f>
        <v>2018</v>
      </c>
      <c r="M103" s="3">
        <f>MONTH(Clean_Data[[#This Row],[OrderDate]])</f>
        <v>1</v>
      </c>
      <c r="N103" s="8" t="str">
        <f>TEXT(Clean_Data[[#This Row],[OrderDate]],"mmm")</f>
        <v>Jan</v>
      </c>
      <c r="O103" s="8" t="str">
        <f>TEXT(Clean_Data[[#This Row],[OrderDate]], "yyyy-mm")</f>
        <v>2018-01</v>
      </c>
      <c r="P103" s="7">
        <f>Clean_Data[[#This Row],[Profit]]/Clean_Data[[#This Row],[Revenue ]]</f>
        <v>-4.7058823529411764E-2</v>
      </c>
      <c r="Q103" t="str">
        <f>"Q"&amp;ROUNDUP(MONTH(Clean_Data[[#This Row],[OrderDate]])/3,0)</f>
        <v>Q1</v>
      </c>
      <c r="R103" t="str">
        <f>TEXT(Clean_Data[[#This Row],[OrderDate]], "dddd")</f>
        <v>Thursday</v>
      </c>
    </row>
    <row r="104" spans="1:18" x14ac:dyDescent="0.25">
      <c r="A104" t="s">
        <v>279</v>
      </c>
      <c r="B104" s="4">
        <v>762</v>
      </c>
      <c r="C104" s="4">
        <v>101</v>
      </c>
      <c r="D104" s="3">
        <v>6</v>
      </c>
      <c r="E104" t="s">
        <v>885</v>
      </c>
      <c r="F104" t="s">
        <v>892</v>
      </c>
      <c r="G104" t="s">
        <v>887</v>
      </c>
      <c r="H104" s="6">
        <f>_xlfn.XLOOKUP(A104,Orders[OrderID],Orders[OrderDate])</f>
        <v>43185</v>
      </c>
      <c r="I104" t="str">
        <f>_xlfn.XLOOKUP(A104,Orders[OrderID],Orders[CustomerName])</f>
        <v>Mukesh</v>
      </c>
      <c r="J104" t="str">
        <f>_xlfn.XLOOKUP(A104,Orders[OrderID],Orders[State])</f>
        <v>Haryana</v>
      </c>
      <c r="K104" t="str">
        <f>_xlfn.XLOOKUP(A104,Orders[OrderID],Orders[City])</f>
        <v>Chandigarh</v>
      </c>
      <c r="L104" s="3">
        <f>YEAR(Clean_Data[[#This Row],[OrderDate]])</f>
        <v>2018</v>
      </c>
      <c r="M104" s="3">
        <f>MONTH(Clean_Data[[#This Row],[OrderDate]])</f>
        <v>3</v>
      </c>
      <c r="N104" s="8" t="str">
        <f>TEXT(Clean_Data[[#This Row],[OrderDate]],"mmm")</f>
        <v>Mar</v>
      </c>
      <c r="O104" s="8" t="str">
        <f>TEXT(Clean_Data[[#This Row],[OrderDate]], "yyyy-mm")</f>
        <v>2018-03</v>
      </c>
      <c r="P104" s="7">
        <f>Clean_Data[[#This Row],[Profit]]/Clean_Data[[#This Row],[Revenue ]]</f>
        <v>0.13254593175853019</v>
      </c>
      <c r="Q104" t="str">
        <f>"Q"&amp;ROUNDUP(MONTH(Clean_Data[[#This Row],[OrderDate]])/3,0)</f>
        <v>Q1</v>
      </c>
      <c r="R104" t="str">
        <f>TEXT(Clean_Data[[#This Row],[OrderDate]], "dddd")</f>
        <v>Monday</v>
      </c>
    </row>
    <row r="105" spans="1:18" x14ac:dyDescent="0.25">
      <c r="A105" t="s">
        <v>130</v>
      </c>
      <c r="B105" s="4">
        <v>761</v>
      </c>
      <c r="C105" s="4">
        <v>266</v>
      </c>
      <c r="D105" s="3">
        <v>9</v>
      </c>
      <c r="E105" t="s">
        <v>885</v>
      </c>
      <c r="F105" t="s">
        <v>886</v>
      </c>
      <c r="G105" t="s">
        <v>887</v>
      </c>
      <c r="H105" s="6">
        <f>_xlfn.XLOOKUP(A105,Orders[OrderID],Orders[OrderDate])</f>
        <v>43326</v>
      </c>
      <c r="I105" t="str">
        <f>_xlfn.XLOOKUP(A105,Orders[OrderID],Orders[CustomerName])</f>
        <v>Vaibhav</v>
      </c>
      <c r="J105" t="str">
        <f>_xlfn.XLOOKUP(A105,Orders[OrderID],Orders[State])</f>
        <v>Madhya Pradesh</v>
      </c>
      <c r="K105" t="str">
        <f>_xlfn.XLOOKUP(A105,Orders[OrderID],Orders[City])</f>
        <v>Indore</v>
      </c>
      <c r="L105" s="3">
        <f>YEAR(Clean_Data[[#This Row],[OrderDate]])</f>
        <v>2018</v>
      </c>
      <c r="M105" s="3">
        <f>MONTH(Clean_Data[[#This Row],[OrderDate]])</f>
        <v>8</v>
      </c>
      <c r="N105" s="8" t="str">
        <f>TEXT(Clean_Data[[#This Row],[OrderDate]],"mmm")</f>
        <v>Aug</v>
      </c>
      <c r="O105" s="8" t="str">
        <f>TEXT(Clean_Data[[#This Row],[OrderDate]], "yyyy-mm")</f>
        <v>2018-08</v>
      </c>
      <c r="P105" s="7">
        <f>Clean_Data[[#This Row],[Profit]]/Clean_Data[[#This Row],[Revenue ]]</f>
        <v>0.34954007884362681</v>
      </c>
      <c r="Q105" t="str">
        <f>"Q"&amp;ROUNDUP(MONTH(Clean_Data[[#This Row],[OrderDate]])/3,0)</f>
        <v>Q3</v>
      </c>
      <c r="R105" t="str">
        <f>TEXT(Clean_Data[[#This Row],[OrderDate]], "dddd")</f>
        <v>Tuesday</v>
      </c>
    </row>
    <row r="106" spans="1:18" x14ac:dyDescent="0.25">
      <c r="A106" t="s">
        <v>390</v>
      </c>
      <c r="B106" s="4">
        <v>96</v>
      </c>
      <c r="C106" s="4">
        <v>-48</v>
      </c>
      <c r="D106" s="3">
        <v>5</v>
      </c>
      <c r="E106" t="s">
        <v>895</v>
      </c>
      <c r="F106" t="s">
        <v>904</v>
      </c>
      <c r="G106" t="s">
        <v>898</v>
      </c>
      <c r="H106" s="6">
        <f>_xlfn.XLOOKUP(A106,Orders[OrderID],Orders[OrderDate])</f>
        <v>43188</v>
      </c>
      <c r="I106" t="str">
        <f>_xlfn.XLOOKUP(A106,Orders[OrderID],Orders[CustomerName])</f>
        <v>Pinky</v>
      </c>
      <c r="J106" t="str">
        <f>_xlfn.XLOOKUP(A106,Orders[OrderID],Orders[State])</f>
        <v>Jammu and Kashmir</v>
      </c>
      <c r="K106" t="str">
        <f>_xlfn.XLOOKUP(A106,Orders[OrderID],Orders[City])</f>
        <v>Kashmir</v>
      </c>
      <c r="L106" s="3">
        <f>YEAR(Clean_Data[[#This Row],[OrderDate]])</f>
        <v>2018</v>
      </c>
      <c r="M106" s="3">
        <f>MONTH(Clean_Data[[#This Row],[OrderDate]])</f>
        <v>3</v>
      </c>
      <c r="N106" s="8" t="str">
        <f>TEXT(Clean_Data[[#This Row],[OrderDate]],"mmm")</f>
        <v>Mar</v>
      </c>
      <c r="O106" s="8" t="str">
        <f>TEXT(Clean_Data[[#This Row],[OrderDate]], "yyyy-mm")</f>
        <v>2018-03</v>
      </c>
      <c r="P106" s="7">
        <f>Clean_Data[[#This Row],[Profit]]/Clean_Data[[#This Row],[Revenue ]]</f>
        <v>-0.5</v>
      </c>
      <c r="Q106" t="str">
        <f>"Q"&amp;ROUNDUP(MONTH(Clean_Data[[#This Row],[OrderDate]])/3,0)</f>
        <v>Q1</v>
      </c>
      <c r="R106" t="str">
        <f>TEXT(Clean_Data[[#This Row],[OrderDate]], "dddd")</f>
        <v>Thursday</v>
      </c>
    </row>
    <row r="107" spans="1:18" x14ac:dyDescent="0.25">
      <c r="A107" t="s">
        <v>185</v>
      </c>
      <c r="B107" s="4">
        <v>1137</v>
      </c>
      <c r="C107" s="4">
        <v>-14</v>
      </c>
      <c r="D107" s="3">
        <v>7</v>
      </c>
      <c r="E107" t="s">
        <v>885</v>
      </c>
      <c r="F107" t="s">
        <v>892</v>
      </c>
      <c r="G107" t="s">
        <v>890</v>
      </c>
      <c r="H107" s="6">
        <f>_xlfn.XLOOKUP(A107,Orders[OrderID],Orders[OrderDate])</f>
        <v>43175</v>
      </c>
      <c r="I107" t="str">
        <f>_xlfn.XLOOKUP(A107,Orders[OrderID],Orders[CustomerName])</f>
        <v>Tulika</v>
      </c>
      <c r="J107" t="str">
        <f>_xlfn.XLOOKUP(A107,Orders[OrderID],Orders[State])</f>
        <v>Madhya Pradesh</v>
      </c>
      <c r="K107" t="str">
        <f>_xlfn.XLOOKUP(A107,Orders[OrderID],Orders[City])</f>
        <v>Bhopal</v>
      </c>
      <c r="L107" s="3">
        <f>YEAR(Clean_Data[[#This Row],[OrderDate]])</f>
        <v>2018</v>
      </c>
      <c r="M107" s="3">
        <f>MONTH(Clean_Data[[#This Row],[OrderDate]])</f>
        <v>3</v>
      </c>
      <c r="N107" s="8" t="str">
        <f>TEXT(Clean_Data[[#This Row],[OrderDate]],"mmm")</f>
        <v>Mar</v>
      </c>
      <c r="O107" s="8" t="str">
        <f>TEXT(Clean_Data[[#This Row],[OrderDate]], "yyyy-mm")</f>
        <v>2018-03</v>
      </c>
      <c r="P107" s="7">
        <f>Clean_Data[[#This Row],[Profit]]/Clean_Data[[#This Row],[Revenue ]]</f>
        <v>-1.2313104661389622E-2</v>
      </c>
      <c r="Q107" t="str">
        <f>"Q"&amp;ROUNDUP(MONTH(Clean_Data[[#This Row],[OrderDate]])/3,0)</f>
        <v>Q1</v>
      </c>
      <c r="R107" t="str">
        <f>TEXT(Clean_Data[[#This Row],[OrderDate]], "dddd")</f>
        <v>Friday</v>
      </c>
    </row>
    <row r="108" spans="1:18" x14ac:dyDescent="0.25">
      <c r="A108" t="s">
        <v>181</v>
      </c>
      <c r="B108" s="4">
        <v>18</v>
      </c>
      <c r="C108" s="4">
        <v>8</v>
      </c>
      <c r="D108" s="3">
        <v>2</v>
      </c>
      <c r="E108" t="s">
        <v>895</v>
      </c>
      <c r="F108" t="s">
        <v>899</v>
      </c>
      <c r="G108" t="s">
        <v>907</v>
      </c>
      <c r="H108" s="6">
        <f>_xlfn.XLOOKUP(A108,Orders[OrderID],Orders[OrderDate])</f>
        <v>43303</v>
      </c>
      <c r="I108" t="str">
        <f>_xlfn.XLOOKUP(A108,Orders[OrderID],Orders[CustomerName])</f>
        <v>Rishabh</v>
      </c>
      <c r="J108" t="str">
        <f>_xlfn.XLOOKUP(A108,Orders[OrderID],Orders[State])</f>
        <v>Rajasthan</v>
      </c>
      <c r="K108" t="str">
        <f>_xlfn.XLOOKUP(A108,Orders[OrderID],Orders[City])</f>
        <v>Jaipur</v>
      </c>
      <c r="L108" s="3">
        <f>YEAR(Clean_Data[[#This Row],[OrderDate]])</f>
        <v>2018</v>
      </c>
      <c r="M108" s="3">
        <f>MONTH(Clean_Data[[#This Row],[OrderDate]])</f>
        <v>7</v>
      </c>
      <c r="N108" s="8" t="str">
        <f>TEXT(Clean_Data[[#This Row],[OrderDate]],"mmm")</f>
        <v>Jul</v>
      </c>
      <c r="O108" s="8" t="str">
        <f>TEXT(Clean_Data[[#This Row],[OrderDate]], "yyyy-mm")</f>
        <v>2018-07</v>
      </c>
      <c r="P108" s="7">
        <f>Clean_Data[[#This Row],[Profit]]/Clean_Data[[#This Row],[Revenue ]]</f>
        <v>0.44444444444444442</v>
      </c>
      <c r="Q108" t="str">
        <f>"Q"&amp;ROUNDUP(MONTH(Clean_Data[[#This Row],[OrderDate]])/3,0)</f>
        <v>Q3</v>
      </c>
      <c r="R108" t="str">
        <f>TEXT(Clean_Data[[#This Row],[OrderDate]], "dddd")</f>
        <v>Sunday</v>
      </c>
    </row>
    <row r="109" spans="1:18" x14ac:dyDescent="0.25">
      <c r="A109" t="s">
        <v>226</v>
      </c>
      <c r="B109" s="4">
        <v>749</v>
      </c>
      <c r="C109" s="4">
        <v>-307</v>
      </c>
      <c r="D109" s="3">
        <v>7</v>
      </c>
      <c r="E109" t="s">
        <v>888</v>
      </c>
      <c r="F109" t="s">
        <v>908</v>
      </c>
      <c r="G109" t="s">
        <v>887</v>
      </c>
      <c r="H109" s="6">
        <f>_xlfn.XLOOKUP(A109,Orders[OrderID],Orders[OrderDate])</f>
        <v>43131</v>
      </c>
      <c r="I109" t="str">
        <f>_xlfn.XLOOKUP(A109,Orders[OrderID],Orders[CustomerName])</f>
        <v>Shweta</v>
      </c>
      <c r="J109" t="str">
        <f>_xlfn.XLOOKUP(A109,Orders[OrderID],Orders[State])</f>
        <v>Rajasthan</v>
      </c>
      <c r="K109" t="str">
        <f>_xlfn.XLOOKUP(A109,Orders[OrderID],Orders[City])</f>
        <v>Udaipur</v>
      </c>
      <c r="L109" s="3">
        <f>YEAR(Clean_Data[[#This Row],[OrderDate]])</f>
        <v>2018</v>
      </c>
      <c r="M109" s="3">
        <f>MONTH(Clean_Data[[#This Row],[OrderDate]])</f>
        <v>1</v>
      </c>
      <c r="N109" s="8" t="str">
        <f>TEXT(Clean_Data[[#This Row],[OrderDate]],"mmm")</f>
        <v>Jan</v>
      </c>
      <c r="O109" s="8" t="str">
        <f>TEXT(Clean_Data[[#This Row],[OrderDate]], "yyyy-mm")</f>
        <v>2018-01</v>
      </c>
      <c r="P109" s="7">
        <f>Clean_Data[[#This Row],[Profit]]/Clean_Data[[#This Row],[Revenue ]]</f>
        <v>-0.40987983978638182</v>
      </c>
      <c r="Q109" t="str">
        <f>"Q"&amp;ROUNDUP(MONTH(Clean_Data[[#This Row],[OrderDate]])/3,0)</f>
        <v>Q1</v>
      </c>
      <c r="R109" t="str">
        <f>TEXT(Clean_Data[[#This Row],[OrderDate]], "dddd")</f>
        <v>Wednesday</v>
      </c>
    </row>
    <row r="110" spans="1:18" x14ac:dyDescent="0.25">
      <c r="A110" t="s">
        <v>185</v>
      </c>
      <c r="B110" s="4">
        <v>1120</v>
      </c>
      <c r="C110" s="4">
        <v>199</v>
      </c>
      <c r="D110" s="3">
        <v>6</v>
      </c>
      <c r="E110" t="s">
        <v>895</v>
      </c>
      <c r="F110" t="s">
        <v>897</v>
      </c>
      <c r="G110" t="s">
        <v>890</v>
      </c>
      <c r="H110" s="6">
        <f>_xlfn.XLOOKUP(A110,Orders[OrderID],Orders[OrderDate])</f>
        <v>43175</v>
      </c>
      <c r="I110" t="str">
        <f>_xlfn.XLOOKUP(A110,Orders[OrderID],Orders[CustomerName])</f>
        <v>Tulika</v>
      </c>
      <c r="J110" t="str">
        <f>_xlfn.XLOOKUP(A110,Orders[OrderID],Orders[State])</f>
        <v>Madhya Pradesh</v>
      </c>
      <c r="K110" t="str">
        <f>_xlfn.XLOOKUP(A110,Orders[OrderID],Orders[City])</f>
        <v>Bhopal</v>
      </c>
      <c r="L110" s="3">
        <f>YEAR(Clean_Data[[#This Row],[OrderDate]])</f>
        <v>2018</v>
      </c>
      <c r="M110" s="3">
        <f>MONTH(Clean_Data[[#This Row],[OrderDate]])</f>
        <v>3</v>
      </c>
      <c r="N110" s="8" t="str">
        <f>TEXT(Clean_Data[[#This Row],[OrderDate]],"mmm")</f>
        <v>Mar</v>
      </c>
      <c r="O110" s="8" t="str">
        <f>TEXT(Clean_Data[[#This Row],[OrderDate]], "yyyy-mm")</f>
        <v>2018-03</v>
      </c>
      <c r="P110" s="7">
        <f>Clean_Data[[#This Row],[Profit]]/Clean_Data[[#This Row],[Revenue ]]</f>
        <v>0.17767857142857144</v>
      </c>
      <c r="Q110" t="str">
        <f>"Q"&amp;ROUNDUP(MONTH(Clean_Data[[#This Row],[OrderDate]])/3,0)</f>
        <v>Q1</v>
      </c>
      <c r="R110" t="str">
        <f>TEXT(Clean_Data[[#This Row],[OrderDate]], "dddd")</f>
        <v>Friday</v>
      </c>
    </row>
    <row r="111" spans="1:18" x14ac:dyDescent="0.25">
      <c r="A111" t="s">
        <v>175</v>
      </c>
      <c r="B111" s="4">
        <v>744</v>
      </c>
      <c r="C111" s="4">
        <v>119</v>
      </c>
      <c r="D111" s="3">
        <v>6</v>
      </c>
      <c r="E111" t="s">
        <v>885</v>
      </c>
      <c r="F111" t="s">
        <v>892</v>
      </c>
      <c r="G111" t="s">
        <v>887</v>
      </c>
      <c r="H111" s="6">
        <f>_xlfn.XLOOKUP(A111,Orders[OrderID],Orders[OrderDate])</f>
        <v>43114</v>
      </c>
      <c r="I111" t="str">
        <f>_xlfn.XLOOKUP(A111,Orders[OrderID],Orders[CustomerName])</f>
        <v>Krutika</v>
      </c>
      <c r="J111" t="str">
        <f>_xlfn.XLOOKUP(A111,Orders[OrderID],Orders[State])</f>
        <v>Andhra Pradesh</v>
      </c>
      <c r="K111" t="str">
        <f>_xlfn.XLOOKUP(A111,Orders[OrderID],Orders[City])</f>
        <v>Hyderabad</v>
      </c>
      <c r="L111" s="3">
        <f>YEAR(Clean_Data[[#This Row],[OrderDate]])</f>
        <v>2018</v>
      </c>
      <c r="M111" s="3">
        <f>MONTH(Clean_Data[[#This Row],[OrderDate]])</f>
        <v>1</v>
      </c>
      <c r="N111" s="8" t="str">
        <f>TEXT(Clean_Data[[#This Row],[OrderDate]],"mmm")</f>
        <v>Jan</v>
      </c>
      <c r="O111" s="8" t="str">
        <f>TEXT(Clean_Data[[#This Row],[OrderDate]], "yyyy-mm")</f>
        <v>2018-01</v>
      </c>
      <c r="P111" s="7">
        <f>Clean_Data[[#This Row],[Profit]]/Clean_Data[[#This Row],[Revenue ]]</f>
        <v>0.15994623655913978</v>
      </c>
      <c r="Q111" t="str">
        <f>"Q"&amp;ROUNDUP(MONTH(Clean_Data[[#This Row],[OrderDate]])/3,0)</f>
        <v>Q1</v>
      </c>
      <c r="R111" t="str">
        <f>TEXT(Clean_Data[[#This Row],[OrderDate]], "dddd")</f>
        <v>Sunday</v>
      </c>
    </row>
    <row r="112" spans="1:18" x14ac:dyDescent="0.25">
      <c r="A112" t="s">
        <v>219</v>
      </c>
      <c r="B112" s="4">
        <v>14</v>
      </c>
      <c r="C112" s="4">
        <v>0</v>
      </c>
      <c r="D112" s="3">
        <v>4</v>
      </c>
      <c r="E112" t="s">
        <v>895</v>
      </c>
      <c r="F112" t="s">
        <v>899</v>
      </c>
      <c r="G112" t="s">
        <v>898</v>
      </c>
      <c r="H112" s="6">
        <f>_xlfn.XLOOKUP(A112,Orders[OrderID],Orders[OrderDate])</f>
        <v>43113</v>
      </c>
      <c r="I112" t="str">
        <f>_xlfn.XLOOKUP(A112,Orders[OrderID],Orders[CustomerName])</f>
        <v>Priyanka</v>
      </c>
      <c r="J112" t="str">
        <f>_xlfn.XLOOKUP(A112,Orders[OrderID],Orders[State])</f>
        <v>Madhya Pradesh</v>
      </c>
      <c r="K112" t="str">
        <f>_xlfn.XLOOKUP(A112,Orders[OrderID],Orders[City])</f>
        <v>Indore</v>
      </c>
      <c r="L112" s="3">
        <f>YEAR(Clean_Data[[#This Row],[OrderDate]])</f>
        <v>2018</v>
      </c>
      <c r="M112" s="3">
        <f>MONTH(Clean_Data[[#This Row],[OrderDate]])</f>
        <v>1</v>
      </c>
      <c r="N112" s="8" t="str">
        <f>TEXT(Clean_Data[[#This Row],[OrderDate]],"mmm")</f>
        <v>Jan</v>
      </c>
      <c r="O112" s="8" t="str">
        <f>TEXT(Clean_Data[[#This Row],[OrderDate]], "yyyy-mm")</f>
        <v>2018-01</v>
      </c>
      <c r="P112" s="7">
        <f>Clean_Data[[#This Row],[Profit]]/Clean_Data[[#This Row],[Revenue ]]</f>
        <v>0</v>
      </c>
      <c r="Q112" t="str">
        <f>"Q"&amp;ROUNDUP(MONTH(Clean_Data[[#This Row],[OrderDate]])/3,0)</f>
        <v>Q1</v>
      </c>
      <c r="R112" t="str">
        <f>TEXT(Clean_Data[[#This Row],[OrderDate]], "dddd")</f>
        <v>Saturday</v>
      </c>
    </row>
    <row r="113" spans="1:18" x14ac:dyDescent="0.25">
      <c r="A113" t="s">
        <v>411</v>
      </c>
      <c r="B113" s="4">
        <v>19</v>
      </c>
      <c r="C113" s="4">
        <v>8</v>
      </c>
      <c r="D113" s="3">
        <v>2</v>
      </c>
      <c r="E113" t="s">
        <v>895</v>
      </c>
      <c r="F113" t="s">
        <v>899</v>
      </c>
      <c r="G113" t="s">
        <v>907</v>
      </c>
      <c r="H113" s="6">
        <f>_xlfn.XLOOKUP(A113,Orders[OrderID],Orders[OrderDate])</f>
        <v>43444</v>
      </c>
      <c r="I113" t="str">
        <f>_xlfn.XLOOKUP(A113,Orders[OrderID],Orders[CustomerName])</f>
        <v>Amlan</v>
      </c>
      <c r="J113" t="str">
        <f>_xlfn.XLOOKUP(A113,Orders[OrderID],Orders[State])</f>
        <v>Madhya Pradesh</v>
      </c>
      <c r="K113" t="str">
        <f>_xlfn.XLOOKUP(A113,Orders[OrderID],Orders[City])</f>
        <v>Indore</v>
      </c>
      <c r="L113" s="3">
        <f>YEAR(Clean_Data[[#This Row],[OrderDate]])</f>
        <v>2018</v>
      </c>
      <c r="M113" s="3">
        <f>MONTH(Clean_Data[[#This Row],[OrderDate]])</f>
        <v>12</v>
      </c>
      <c r="N113" s="8" t="str">
        <f>TEXT(Clean_Data[[#This Row],[OrderDate]],"mmm")</f>
        <v>Dec</v>
      </c>
      <c r="O113" s="8" t="str">
        <f>TEXT(Clean_Data[[#This Row],[OrderDate]], "yyyy-mm")</f>
        <v>2018-12</v>
      </c>
      <c r="P113" s="7">
        <f>Clean_Data[[#This Row],[Profit]]/Clean_Data[[#This Row],[Revenue ]]</f>
        <v>0.42105263157894735</v>
      </c>
      <c r="Q113" t="str">
        <f>"Q"&amp;ROUNDUP(MONTH(Clean_Data[[#This Row],[OrderDate]])/3,0)</f>
        <v>Q4</v>
      </c>
      <c r="R113" t="str">
        <f>TEXT(Clean_Data[[#This Row],[OrderDate]], "dddd")</f>
        <v>Monday</v>
      </c>
    </row>
    <row r="114" spans="1:18" x14ac:dyDescent="0.25">
      <c r="A114" t="s">
        <v>224</v>
      </c>
      <c r="B114" s="4">
        <v>512</v>
      </c>
      <c r="C114" s="4">
        <v>-225</v>
      </c>
      <c r="D114" s="3">
        <v>5</v>
      </c>
      <c r="E114" t="s">
        <v>895</v>
      </c>
      <c r="F114" t="s">
        <v>897</v>
      </c>
      <c r="G114" t="s">
        <v>887</v>
      </c>
      <c r="H114" s="6">
        <f>_xlfn.XLOOKUP(A114,Orders[OrderID],Orders[OrderDate])</f>
        <v>43226</v>
      </c>
      <c r="I114" t="str">
        <f>_xlfn.XLOOKUP(A114,Orders[OrderID],Orders[CustomerName])</f>
        <v>Chirag</v>
      </c>
      <c r="J114" t="str">
        <f>_xlfn.XLOOKUP(A114,Orders[OrderID],Orders[State])</f>
        <v>Maharashtra</v>
      </c>
      <c r="K114" t="str">
        <f>_xlfn.XLOOKUP(A114,Orders[OrderID],Orders[City])</f>
        <v>Mumbai</v>
      </c>
      <c r="L114" s="3">
        <f>YEAR(Clean_Data[[#This Row],[OrderDate]])</f>
        <v>2018</v>
      </c>
      <c r="M114" s="3">
        <f>MONTH(Clean_Data[[#This Row],[OrderDate]])</f>
        <v>5</v>
      </c>
      <c r="N114" s="8" t="str">
        <f>TEXT(Clean_Data[[#This Row],[OrderDate]],"mmm")</f>
        <v>May</v>
      </c>
      <c r="O114" s="8" t="str">
        <f>TEXT(Clean_Data[[#This Row],[OrderDate]], "yyyy-mm")</f>
        <v>2018-05</v>
      </c>
      <c r="P114" s="7">
        <f>Clean_Data[[#This Row],[Profit]]/Clean_Data[[#This Row],[Revenue ]]</f>
        <v>-0.439453125</v>
      </c>
      <c r="Q114" t="str">
        <f>"Q"&amp;ROUNDUP(MONTH(Clean_Data[[#This Row],[OrderDate]])/3,0)</f>
        <v>Q2</v>
      </c>
      <c r="R114" t="str">
        <f>TEXT(Clean_Data[[#This Row],[OrderDate]], "dddd")</f>
        <v>Sunday</v>
      </c>
    </row>
    <row r="115" spans="1:18" x14ac:dyDescent="0.25">
      <c r="A115" t="s">
        <v>286</v>
      </c>
      <c r="B115" s="4">
        <v>742</v>
      </c>
      <c r="C115" s="4">
        <v>198</v>
      </c>
      <c r="D115" s="3">
        <v>2</v>
      </c>
      <c r="E115" t="s">
        <v>888</v>
      </c>
      <c r="F115" t="s">
        <v>891</v>
      </c>
      <c r="G115" t="s">
        <v>887</v>
      </c>
      <c r="H115" s="6">
        <f>_xlfn.XLOOKUP(A115,Orders[OrderID],Orders[OrderDate])</f>
        <v>43122</v>
      </c>
      <c r="I115" t="str">
        <f>_xlfn.XLOOKUP(A115,Orders[OrderID],Orders[CustomerName])</f>
        <v>Rhea</v>
      </c>
      <c r="J115" t="str">
        <f>_xlfn.XLOOKUP(A115,Orders[OrderID],Orders[State])</f>
        <v>Maharashtra</v>
      </c>
      <c r="K115" t="str">
        <f>_xlfn.XLOOKUP(A115,Orders[OrderID],Orders[City])</f>
        <v>Mumbai</v>
      </c>
      <c r="L115" s="3">
        <f>YEAR(Clean_Data[[#This Row],[OrderDate]])</f>
        <v>2018</v>
      </c>
      <c r="M115" s="3">
        <f>MONTH(Clean_Data[[#This Row],[OrderDate]])</f>
        <v>1</v>
      </c>
      <c r="N115" s="8" t="str">
        <f>TEXT(Clean_Data[[#This Row],[OrderDate]],"mmm")</f>
        <v>Jan</v>
      </c>
      <c r="O115" s="8" t="str">
        <f>TEXT(Clean_Data[[#This Row],[OrderDate]], "yyyy-mm")</f>
        <v>2018-01</v>
      </c>
      <c r="P115" s="7">
        <f>Clean_Data[[#This Row],[Profit]]/Clean_Data[[#This Row],[Revenue ]]</f>
        <v>0.26684636118598382</v>
      </c>
      <c r="Q115" t="str">
        <f>"Q"&amp;ROUNDUP(MONTH(Clean_Data[[#This Row],[OrderDate]])/3,0)</f>
        <v>Q1</v>
      </c>
      <c r="R115" t="str">
        <f>TEXT(Clean_Data[[#This Row],[OrderDate]], "dddd")</f>
        <v>Monday</v>
      </c>
    </row>
    <row r="116" spans="1:18" x14ac:dyDescent="0.25">
      <c r="A116" t="s">
        <v>800</v>
      </c>
      <c r="B116" s="4">
        <v>44</v>
      </c>
      <c r="C116" s="4">
        <v>-40</v>
      </c>
      <c r="D116" s="3">
        <v>3</v>
      </c>
      <c r="E116" t="s">
        <v>895</v>
      </c>
      <c r="F116" t="s">
        <v>903</v>
      </c>
      <c r="G116" t="s">
        <v>887</v>
      </c>
      <c r="H116" s="6">
        <f>_xlfn.XLOOKUP(A116,Orders[OrderID],Orders[OrderDate])</f>
        <v>43174</v>
      </c>
      <c r="I116" t="str">
        <f>_xlfn.XLOOKUP(A116,Orders[OrderID],Orders[CustomerName])</f>
        <v>Tushina</v>
      </c>
      <c r="J116" t="str">
        <f>_xlfn.XLOOKUP(A116,Orders[OrderID],Orders[State])</f>
        <v>Goa</v>
      </c>
      <c r="K116" t="str">
        <f>_xlfn.XLOOKUP(A116,Orders[OrderID],Orders[City])</f>
        <v>Goa</v>
      </c>
      <c r="L116" s="3">
        <f>YEAR(Clean_Data[[#This Row],[OrderDate]])</f>
        <v>2018</v>
      </c>
      <c r="M116" s="3">
        <f>MONTH(Clean_Data[[#This Row],[OrderDate]])</f>
        <v>3</v>
      </c>
      <c r="N116" s="8" t="str">
        <f>TEXT(Clean_Data[[#This Row],[OrderDate]],"mmm")</f>
        <v>Mar</v>
      </c>
      <c r="O116" s="8" t="str">
        <f>TEXT(Clean_Data[[#This Row],[OrderDate]], "yyyy-mm")</f>
        <v>2018-03</v>
      </c>
      <c r="P116" s="7">
        <f>Clean_Data[[#This Row],[Profit]]/Clean_Data[[#This Row],[Revenue ]]</f>
        <v>-0.90909090909090906</v>
      </c>
      <c r="Q116" t="str">
        <f>"Q"&amp;ROUNDUP(MONTH(Clean_Data[[#This Row],[OrderDate]])/3,0)</f>
        <v>Q1</v>
      </c>
      <c r="R116" t="str">
        <f>TEXT(Clean_Data[[#This Row],[OrderDate]], "dddd")</f>
        <v>Thursday</v>
      </c>
    </row>
    <row r="117" spans="1:18" x14ac:dyDescent="0.25">
      <c r="A117" t="s">
        <v>204</v>
      </c>
      <c r="B117" s="4">
        <v>1061</v>
      </c>
      <c r="C117" s="4">
        <v>-36</v>
      </c>
      <c r="D117" s="3">
        <v>8</v>
      </c>
      <c r="E117" t="s">
        <v>888</v>
      </c>
      <c r="F117" t="s">
        <v>891</v>
      </c>
      <c r="G117" t="s">
        <v>890</v>
      </c>
      <c r="H117" s="6">
        <f>_xlfn.XLOOKUP(A117,Orders[OrderID],Orders[OrderDate])</f>
        <v>43219</v>
      </c>
      <c r="I117" t="str">
        <f>_xlfn.XLOOKUP(A117,Orders[OrderID],Orders[CustomerName])</f>
        <v>Kirti</v>
      </c>
      <c r="J117" t="str">
        <f>_xlfn.XLOOKUP(A117,Orders[OrderID],Orders[State])</f>
        <v>Jammu and Kashmir</v>
      </c>
      <c r="K117" t="str">
        <f>_xlfn.XLOOKUP(A117,Orders[OrderID],Orders[City])</f>
        <v>Kashmir</v>
      </c>
      <c r="L117" s="3">
        <f>YEAR(Clean_Data[[#This Row],[OrderDate]])</f>
        <v>2018</v>
      </c>
      <c r="M117" s="3">
        <f>MONTH(Clean_Data[[#This Row],[OrderDate]])</f>
        <v>4</v>
      </c>
      <c r="N117" s="8" t="str">
        <f>TEXT(Clean_Data[[#This Row],[OrderDate]],"mmm")</f>
        <v>Apr</v>
      </c>
      <c r="O117" s="8" t="str">
        <f>TEXT(Clean_Data[[#This Row],[OrderDate]], "yyyy-mm")</f>
        <v>2018-04</v>
      </c>
      <c r="P117" s="7">
        <f>Clean_Data[[#This Row],[Profit]]/Clean_Data[[#This Row],[Revenue ]]</f>
        <v>-3.3930254476908575E-2</v>
      </c>
      <c r="Q117" t="str">
        <f>"Q"&amp;ROUNDUP(MONTH(Clean_Data[[#This Row],[OrderDate]])/3,0)</f>
        <v>Q2</v>
      </c>
      <c r="R117" t="str">
        <f>TEXT(Clean_Data[[#This Row],[OrderDate]], "dddd")</f>
        <v>Sunday</v>
      </c>
    </row>
    <row r="118" spans="1:18" x14ac:dyDescent="0.25">
      <c r="A118" t="s">
        <v>860</v>
      </c>
      <c r="B118" s="4">
        <v>19</v>
      </c>
      <c r="C118" s="4">
        <v>-2</v>
      </c>
      <c r="D118" s="3">
        <v>2</v>
      </c>
      <c r="E118" t="s">
        <v>895</v>
      </c>
      <c r="F118" t="s">
        <v>904</v>
      </c>
      <c r="G118" t="s">
        <v>907</v>
      </c>
      <c r="H118" s="6">
        <f>_xlfn.XLOOKUP(A118,Orders[OrderID],Orders[OrderDate])</f>
        <v>43215</v>
      </c>
      <c r="I118" t="str">
        <f>_xlfn.XLOOKUP(A118,Orders[OrderID],Orders[CustomerName])</f>
        <v>Manish</v>
      </c>
      <c r="J118" t="str">
        <f>_xlfn.XLOOKUP(A118,Orders[OrderID],Orders[State])</f>
        <v>Himachal Pradesh</v>
      </c>
      <c r="K118" t="str">
        <f>_xlfn.XLOOKUP(A118,Orders[OrderID],Orders[City])</f>
        <v>Simla</v>
      </c>
      <c r="L118" s="3">
        <f>YEAR(Clean_Data[[#This Row],[OrderDate]])</f>
        <v>2018</v>
      </c>
      <c r="M118" s="3">
        <f>MONTH(Clean_Data[[#This Row],[OrderDate]])</f>
        <v>4</v>
      </c>
      <c r="N118" s="8" t="str">
        <f>TEXT(Clean_Data[[#This Row],[OrderDate]],"mmm")</f>
        <v>Apr</v>
      </c>
      <c r="O118" s="8" t="str">
        <f>TEXT(Clean_Data[[#This Row],[OrderDate]], "yyyy-mm")</f>
        <v>2018-04</v>
      </c>
      <c r="P118" s="7">
        <f>Clean_Data[[#This Row],[Profit]]/Clean_Data[[#This Row],[Revenue ]]</f>
        <v>-0.10526315789473684</v>
      </c>
      <c r="Q118" t="str">
        <f>"Q"&amp;ROUNDUP(MONTH(Clean_Data[[#This Row],[OrderDate]])/3,0)</f>
        <v>Q2</v>
      </c>
      <c r="R118" t="str">
        <f>TEXT(Clean_Data[[#This Row],[OrderDate]], "dddd")</f>
        <v>Wednesday</v>
      </c>
    </row>
    <row r="119" spans="1:18" x14ac:dyDescent="0.25">
      <c r="A119" t="s">
        <v>668</v>
      </c>
      <c r="B119" s="4">
        <v>17</v>
      </c>
      <c r="C119" s="4">
        <v>0</v>
      </c>
      <c r="D119" s="3">
        <v>1</v>
      </c>
      <c r="E119" t="s">
        <v>895</v>
      </c>
      <c r="F119" t="s">
        <v>899</v>
      </c>
      <c r="G119" t="s">
        <v>887</v>
      </c>
      <c r="H119" s="6">
        <f>_xlfn.XLOOKUP(A119,Orders[OrderID],Orders[OrderDate])</f>
        <v>43389</v>
      </c>
      <c r="I119" t="str">
        <f>_xlfn.XLOOKUP(A119,Orders[OrderID],Orders[CustomerName])</f>
        <v>Ajay</v>
      </c>
      <c r="J119" t="str">
        <f>_xlfn.XLOOKUP(A119,Orders[OrderID],Orders[State])</f>
        <v>West Bengal</v>
      </c>
      <c r="K119" t="str">
        <f>_xlfn.XLOOKUP(A119,Orders[OrderID],Orders[City])</f>
        <v>Kolkata</v>
      </c>
      <c r="L119" s="3">
        <f>YEAR(Clean_Data[[#This Row],[OrderDate]])</f>
        <v>2018</v>
      </c>
      <c r="M119" s="3">
        <f>MONTH(Clean_Data[[#This Row],[OrderDate]])</f>
        <v>10</v>
      </c>
      <c r="N119" s="8" t="str">
        <f>TEXT(Clean_Data[[#This Row],[OrderDate]],"mmm")</f>
        <v>Oct</v>
      </c>
      <c r="O119" s="8" t="str">
        <f>TEXT(Clean_Data[[#This Row],[OrderDate]], "yyyy-mm")</f>
        <v>2018-10</v>
      </c>
      <c r="P119" s="7">
        <f>Clean_Data[[#This Row],[Profit]]/Clean_Data[[#This Row],[Revenue ]]</f>
        <v>0</v>
      </c>
      <c r="Q119" t="str">
        <f>"Q"&amp;ROUNDUP(MONTH(Clean_Data[[#This Row],[OrderDate]])/3,0)</f>
        <v>Q4</v>
      </c>
      <c r="R119" t="str">
        <f>TEXT(Clean_Data[[#This Row],[OrderDate]], "dddd")</f>
        <v>Tuesday</v>
      </c>
    </row>
    <row r="120" spans="1:18" x14ac:dyDescent="0.25">
      <c r="A120" t="s">
        <v>288</v>
      </c>
      <c r="B120" s="4">
        <v>741</v>
      </c>
      <c r="C120" s="4">
        <v>267</v>
      </c>
      <c r="D120" s="3">
        <v>5</v>
      </c>
      <c r="E120" t="s">
        <v>888</v>
      </c>
      <c r="F120" t="s">
        <v>891</v>
      </c>
      <c r="G120" t="s">
        <v>887</v>
      </c>
      <c r="H120" s="6">
        <f>_xlfn.XLOOKUP(A120,Orders[OrderID],Orders[OrderDate])</f>
        <v>43428</v>
      </c>
      <c r="I120" t="str">
        <f>_xlfn.XLOOKUP(A120,Orders[OrderID],Orders[CustomerName])</f>
        <v>Mrinal</v>
      </c>
      <c r="J120" t="str">
        <f>_xlfn.XLOOKUP(A120,Orders[OrderID],Orders[State])</f>
        <v>Maharashtra</v>
      </c>
      <c r="K120" t="str">
        <f>_xlfn.XLOOKUP(A120,Orders[OrderID],Orders[City])</f>
        <v>Mumbai</v>
      </c>
      <c r="L120" s="3">
        <f>YEAR(Clean_Data[[#This Row],[OrderDate]])</f>
        <v>2018</v>
      </c>
      <c r="M120" s="3">
        <f>MONTH(Clean_Data[[#This Row],[OrderDate]])</f>
        <v>11</v>
      </c>
      <c r="N120" s="8" t="str">
        <f>TEXT(Clean_Data[[#This Row],[OrderDate]],"mmm")</f>
        <v>Nov</v>
      </c>
      <c r="O120" s="8" t="str">
        <f>TEXT(Clean_Data[[#This Row],[OrderDate]], "yyyy-mm")</f>
        <v>2018-11</v>
      </c>
      <c r="P120" s="7">
        <f>Clean_Data[[#This Row],[Profit]]/Clean_Data[[#This Row],[Revenue ]]</f>
        <v>0.36032388663967613</v>
      </c>
      <c r="Q120" t="str">
        <f>"Q"&amp;ROUNDUP(MONTH(Clean_Data[[#This Row],[OrderDate]])/3,0)</f>
        <v>Q4</v>
      </c>
      <c r="R120" t="str">
        <f>TEXT(Clean_Data[[#This Row],[OrderDate]], "dddd")</f>
        <v>Saturday</v>
      </c>
    </row>
    <row r="121" spans="1:18" x14ac:dyDescent="0.25">
      <c r="A121" t="s">
        <v>130</v>
      </c>
      <c r="B121" s="4">
        <v>735</v>
      </c>
      <c r="C121" s="4">
        <v>-235</v>
      </c>
      <c r="D121" s="3">
        <v>6</v>
      </c>
      <c r="E121" t="s">
        <v>885</v>
      </c>
      <c r="F121" t="s">
        <v>892</v>
      </c>
      <c r="G121" t="s">
        <v>887</v>
      </c>
      <c r="H121" s="6">
        <f>_xlfn.XLOOKUP(A121,Orders[OrderID],Orders[OrderDate])</f>
        <v>43326</v>
      </c>
      <c r="I121" t="str">
        <f>_xlfn.XLOOKUP(A121,Orders[OrderID],Orders[CustomerName])</f>
        <v>Vaibhav</v>
      </c>
      <c r="J121" t="str">
        <f>_xlfn.XLOOKUP(A121,Orders[OrderID],Orders[State])</f>
        <v>Madhya Pradesh</v>
      </c>
      <c r="K121" t="str">
        <f>_xlfn.XLOOKUP(A121,Orders[OrderID],Orders[City])</f>
        <v>Indore</v>
      </c>
      <c r="L121" s="3">
        <f>YEAR(Clean_Data[[#This Row],[OrderDate]])</f>
        <v>2018</v>
      </c>
      <c r="M121" s="3">
        <f>MONTH(Clean_Data[[#This Row],[OrderDate]])</f>
        <v>8</v>
      </c>
      <c r="N121" s="8" t="str">
        <f>TEXT(Clean_Data[[#This Row],[OrderDate]],"mmm")</f>
        <v>Aug</v>
      </c>
      <c r="O121" s="8" t="str">
        <f>TEXT(Clean_Data[[#This Row],[OrderDate]], "yyyy-mm")</f>
        <v>2018-08</v>
      </c>
      <c r="P121" s="7">
        <f>Clean_Data[[#This Row],[Profit]]/Clean_Data[[#This Row],[Revenue ]]</f>
        <v>-0.31972789115646261</v>
      </c>
      <c r="Q121" t="str">
        <f>"Q"&amp;ROUNDUP(MONTH(Clean_Data[[#This Row],[OrderDate]])/3,0)</f>
        <v>Q3</v>
      </c>
      <c r="R121" t="str">
        <f>TEXT(Clean_Data[[#This Row],[OrderDate]], "dddd")</f>
        <v>Tuesday</v>
      </c>
    </row>
    <row r="122" spans="1:18" x14ac:dyDescent="0.25">
      <c r="A122" t="s">
        <v>367</v>
      </c>
      <c r="B122" s="4">
        <v>19</v>
      </c>
      <c r="C122" s="4">
        <v>-1</v>
      </c>
      <c r="D122" s="3">
        <v>1</v>
      </c>
      <c r="E122" t="s">
        <v>895</v>
      </c>
      <c r="F122" t="s">
        <v>909</v>
      </c>
      <c r="G122" t="s">
        <v>907</v>
      </c>
      <c r="H122" s="6">
        <f>_xlfn.XLOOKUP(A122,Orders[OrderID],Orders[OrderDate])</f>
        <v>43326</v>
      </c>
      <c r="I122" t="str">
        <f>_xlfn.XLOOKUP(A122,Orders[OrderID],Orders[CustomerName])</f>
        <v>Priyanshu</v>
      </c>
      <c r="J122" t="str">
        <f>_xlfn.XLOOKUP(A122,Orders[OrderID],Orders[State])</f>
        <v>Madhya Pradesh</v>
      </c>
      <c r="K122" t="str">
        <f>_xlfn.XLOOKUP(A122,Orders[OrderID],Orders[City])</f>
        <v>Indore</v>
      </c>
      <c r="L122" s="3">
        <f>YEAR(Clean_Data[[#This Row],[OrderDate]])</f>
        <v>2018</v>
      </c>
      <c r="M122" s="3">
        <f>MONTH(Clean_Data[[#This Row],[OrderDate]])</f>
        <v>8</v>
      </c>
      <c r="N122" s="8" t="str">
        <f>TEXT(Clean_Data[[#This Row],[OrderDate]],"mmm")</f>
        <v>Aug</v>
      </c>
      <c r="O122" s="8" t="str">
        <f>TEXT(Clean_Data[[#This Row],[OrderDate]], "yyyy-mm")</f>
        <v>2018-08</v>
      </c>
      <c r="P122" s="7">
        <f>Clean_Data[[#This Row],[Profit]]/Clean_Data[[#This Row],[Revenue ]]</f>
        <v>-5.2631578947368418E-2</v>
      </c>
      <c r="Q122" t="str">
        <f>"Q"&amp;ROUNDUP(MONTH(Clean_Data[[#This Row],[OrderDate]])/3,0)</f>
        <v>Q3</v>
      </c>
      <c r="R122" t="str">
        <f>TEXT(Clean_Data[[#This Row],[OrderDate]], "dddd")</f>
        <v>Tuesday</v>
      </c>
    </row>
    <row r="123" spans="1:18" x14ac:dyDescent="0.25">
      <c r="A123" t="s">
        <v>211</v>
      </c>
      <c r="B123" s="4">
        <v>1021</v>
      </c>
      <c r="C123" s="4">
        <v>-48</v>
      </c>
      <c r="D123" s="3">
        <v>4</v>
      </c>
      <c r="E123" t="s">
        <v>885</v>
      </c>
      <c r="F123" t="s">
        <v>886</v>
      </c>
      <c r="G123" t="s">
        <v>890</v>
      </c>
      <c r="H123" s="6">
        <f>_xlfn.XLOOKUP(A123,Orders[OrderID],Orders[OrderDate])</f>
        <v>43233</v>
      </c>
      <c r="I123" t="str">
        <f>_xlfn.XLOOKUP(A123,Orders[OrderID],Orders[CustomerName])</f>
        <v>Tulika</v>
      </c>
      <c r="J123" t="str">
        <f>_xlfn.XLOOKUP(A123,Orders[OrderID],Orders[State])</f>
        <v>Madhya Pradesh</v>
      </c>
      <c r="K123" t="str">
        <f>_xlfn.XLOOKUP(A123,Orders[OrderID],Orders[City])</f>
        <v>Bhopal</v>
      </c>
      <c r="L123" s="3">
        <f>YEAR(Clean_Data[[#This Row],[OrderDate]])</f>
        <v>2018</v>
      </c>
      <c r="M123" s="3">
        <f>MONTH(Clean_Data[[#This Row],[OrderDate]])</f>
        <v>5</v>
      </c>
      <c r="N123" s="8" t="str">
        <f>TEXT(Clean_Data[[#This Row],[OrderDate]],"mmm")</f>
        <v>May</v>
      </c>
      <c r="O123" s="8" t="str">
        <f>TEXT(Clean_Data[[#This Row],[OrderDate]], "yyyy-mm")</f>
        <v>2018-05</v>
      </c>
      <c r="P123" s="7">
        <f>Clean_Data[[#This Row],[Profit]]/Clean_Data[[#This Row],[Revenue ]]</f>
        <v>-4.701273261508325E-2</v>
      </c>
      <c r="Q123" t="str">
        <f>"Q"&amp;ROUNDUP(MONTH(Clean_Data[[#This Row],[OrderDate]])/3,0)</f>
        <v>Q2</v>
      </c>
      <c r="R123" t="str">
        <f>TEXT(Clean_Data[[#This Row],[OrderDate]], "dddd")</f>
        <v>Sunday</v>
      </c>
    </row>
    <row r="124" spans="1:18" x14ac:dyDescent="0.25">
      <c r="A124" t="s">
        <v>362</v>
      </c>
      <c r="B124" s="4">
        <v>556</v>
      </c>
      <c r="C124" s="4">
        <v>-209</v>
      </c>
      <c r="D124" s="3">
        <v>7</v>
      </c>
      <c r="E124" t="s">
        <v>895</v>
      </c>
      <c r="F124" t="s">
        <v>897</v>
      </c>
      <c r="G124" t="s">
        <v>887</v>
      </c>
      <c r="H124" s="6">
        <f>_xlfn.XLOOKUP(A124,Orders[OrderID],Orders[OrderDate])</f>
        <v>43363</v>
      </c>
      <c r="I124" t="str">
        <f>_xlfn.XLOOKUP(A124,Orders[OrderID],Orders[CustomerName])</f>
        <v>Asish</v>
      </c>
      <c r="J124" t="str">
        <f>_xlfn.XLOOKUP(A124,Orders[OrderID],Orders[State])</f>
        <v>Jammu and Kashmir</v>
      </c>
      <c r="K124" t="str">
        <f>_xlfn.XLOOKUP(A124,Orders[OrderID],Orders[City])</f>
        <v>Kashmir</v>
      </c>
      <c r="L124" s="3">
        <f>YEAR(Clean_Data[[#This Row],[OrderDate]])</f>
        <v>2018</v>
      </c>
      <c r="M124" s="3">
        <f>MONTH(Clean_Data[[#This Row],[OrderDate]])</f>
        <v>9</v>
      </c>
      <c r="N124" s="8" t="str">
        <f>TEXT(Clean_Data[[#This Row],[OrderDate]],"mmm")</f>
        <v>Sep</v>
      </c>
      <c r="O124" s="8" t="str">
        <f>TEXT(Clean_Data[[#This Row],[OrderDate]], "yyyy-mm")</f>
        <v>2018-09</v>
      </c>
      <c r="P124" s="7">
        <f>Clean_Data[[#This Row],[Profit]]/Clean_Data[[#This Row],[Revenue ]]</f>
        <v>-0.37589928057553956</v>
      </c>
      <c r="Q124" t="str">
        <f>"Q"&amp;ROUNDUP(MONTH(Clean_Data[[#This Row],[OrderDate]])/3,0)</f>
        <v>Q3</v>
      </c>
      <c r="R124" t="str">
        <f>TEXT(Clean_Data[[#This Row],[OrderDate]], "dddd")</f>
        <v>Thursday</v>
      </c>
    </row>
    <row r="125" spans="1:18" x14ac:dyDescent="0.25">
      <c r="A125" t="s">
        <v>548</v>
      </c>
      <c r="B125" s="4">
        <v>63</v>
      </c>
      <c r="C125" s="4">
        <v>-17</v>
      </c>
      <c r="D125" s="3">
        <v>6</v>
      </c>
      <c r="E125" t="s">
        <v>895</v>
      </c>
      <c r="F125" t="s">
        <v>904</v>
      </c>
      <c r="G125" t="s">
        <v>887</v>
      </c>
      <c r="H125" s="6">
        <f>_xlfn.XLOOKUP(A125,Orders[OrderID],Orders[OrderDate])</f>
        <v>43381</v>
      </c>
      <c r="I125" t="str">
        <f>_xlfn.XLOOKUP(A125,Orders[OrderID],Orders[CustomerName])</f>
        <v>Apsingekar</v>
      </c>
      <c r="J125" t="str">
        <f>_xlfn.XLOOKUP(A125,Orders[OrderID],Orders[State])</f>
        <v>Bihar</v>
      </c>
      <c r="K125" t="str">
        <f>_xlfn.XLOOKUP(A125,Orders[OrderID],Orders[City])</f>
        <v>Patna</v>
      </c>
      <c r="L125" s="3">
        <f>YEAR(Clean_Data[[#This Row],[OrderDate]])</f>
        <v>2018</v>
      </c>
      <c r="M125" s="3">
        <f>MONTH(Clean_Data[[#This Row],[OrderDate]])</f>
        <v>10</v>
      </c>
      <c r="N125" s="8" t="str">
        <f>TEXT(Clean_Data[[#This Row],[OrderDate]],"mmm")</f>
        <v>Oct</v>
      </c>
      <c r="O125" s="8" t="str">
        <f>TEXT(Clean_Data[[#This Row],[OrderDate]], "yyyy-mm")</f>
        <v>2018-10</v>
      </c>
      <c r="P125" s="7">
        <f>Clean_Data[[#This Row],[Profit]]/Clean_Data[[#This Row],[Revenue ]]</f>
        <v>-0.26984126984126983</v>
      </c>
      <c r="Q125" t="str">
        <f>"Q"&amp;ROUNDUP(MONTH(Clean_Data[[#This Row],[OrderDate]])/3,0)</f>
        <v>Q4</v>
      </c>
      <c r="R125" t="str">
        <f>TEXT(Clean_Data[[#This Row],[OrderDate]], "dddd")</f>
        <v>Monday</v>
      </c>
    </row>
    <row r="126" spans="1:18" x14ac:dyDescent="0.25">
      <c r="A126" t="s">
        <v>292</v>
      </c>
      <c r="B126" s="4">
        <v>734</v>
      </c>
      <c r="C126" s="4">
        <v>248</v>
      </c>
      <c r="D126" s="3">
        <v>2</v>
      </c>
      <c r="E126" t="s">
        <v>888</v>
      </c>
      <c r="F126" t="s">
        <v>889</v>
      </c>
      <c r="G126" t="s">
        <v>887</v>
      </c>
      <c r="H126" s="6">
        <f>_xlfn.XLOOKUP(A126,Orders[OrderID],Orders[OrderDate])</f>
        <v>43432</v>
      </c>
      <c r="I126" t="str">
        <f>_xlfn.XLOOKUP(A126,Orders[OrderID],Orders[CustomerName])</f>
        <v>Shatayu</v>
      </c>
      <c r="J126" t="str">
        <f>_xlfn.XLOOKUP(A126,Orders[OrderID],Orders[State])</f>
        <v>Madhya Pradesh</v>
      </c>
      <c r="K126" t="str">
        <f>_xlfn.XLOOKUP(A126,Orders[OrderID],Orders[City])</f>
        <v>Indore</v>
      </c>
      <c r="L126" s="3">
        <f>YEAR(Clean_Data[[#This Row],[OrderDate]])</f>
        <v>2018</v>
      </c>
      <c r="M126" s="3">
        <f>MONTH(Clean_Data[[#This Row],[OrderDate]])</f>
        <v>11</v>
      </c>
      <c r="N126" s="8" t="str">
        <f>TEXT(Clean_Data[[#This Row],[OrderDate]],"mmm")</f>
        <v>Nov</v>
      </c>
      <c r="O126" s="8" t="str">
        <f>TEXT(Clean_Data[[#This Row],[OrderDate]], "yyyy-mm")</f>
        <v>2018-11</v>
      </c>
      <c r="P126" s="7">
        <f>Clean_Data[[#This Row],[Profit]]/Clean_Data[[#This Row],[Revenue ]]</f>
        <v>0.33787465940054495</v>
      </c>
      <c r="Q126" t="str">
        <f>"Q"&amp;ROUNDUP(MONTH(Clean_Data[[#This Row],[OrderDate]])/3,0)</f>
        <v>Q4</v>
      </c>
      <c r="R126" t="str">
        <f>TEXT(Clean_Data[[#This Row],[OrderDate]], "dddd")</f>
        <v>Wednesday</v>
      </c>
    </row>
    <row r="127" spans="1:18" x14ac:dyDescent="0.25">
      <c r="A127" t="s">
        <v>114</v>
      </c>
      <c r="B127" s="4">
        <v>933</v>
      </c>
      <c r="C127" s="4">
        <v>166</v>
      </c>
      <c r="D127" s="3">
        <v>5</v>
      </c>
      <c r="E127" t="s">
        <v>895</v>
      </c>
      <c r="F127" t="s">
        <v>897</v>
      </c>
      <c r="G127" t="s">
        <v>893</v>
      </c>
      <c r="H127" s="6">
        <f>_xlfn.XLOOKUP(A127,Orders[OrderID],Orders[OrderDate])</f>
        <v>43354</v>
      </c>
      <c r="I127" t="str">
        <f>_xlfn.XLOOKUP(A127,Orders[OrderID],Orders[CustomerName])</f>
        <v>Surabhi</v>
      </c>
      <c r="J127" t="str">
        <f>_xlfn.XLOOKUP(A127,Orders[OrderID],Orders[State])</f>
        <v>Maharashtra</v>
      </c>
      <c r="K127" t="str">
        <f>_xlfn.XLOOKUP(A127,Orders[OrderID],Orders[City])</f>
        <v>Mumbai</v>
      </c>
      <c r="L127" s="3">
        <f>YEAR(Clean_Data[[#This Row],[OrderDate]])</f>
        <v>2018</v>
      </c>
      <c r="M127" s="3">
        <f>MONTH(Clean_Data[[#This Row],[OrderDate]])</f>
        <v>9</v>
      </c>
      <c r="N127" s="8" t="str">
        <f>TEXT(Clean_Data[[#This Row],[OrderDate]],"mmm")</f>
        <v>Sep</v>
      </c>
      <c r="O127" s="8" t="str">
        <f>TEXT(Clean_Data[[#This Row],[OrderDate]], "yyyy-mm")</f>
        <v>2018-09</v>
      </c>
      <c r="P127" s="7">
        <f>Clean_Data[[#This Row],[Profit]]/Clean_Data[[#This Row],[Revenue ]]</f>
        <v>0.17792068595927116</v>
      </c>
      <c r="Q127" t="str">
        <f>"Q"&amp;ROUNDUP(MONTH(Clean_Data[[#This Row],[OrderDate]])/3,0)</f>
        <v>Q3</v>
      </c>
      <c r="R127" t="str">
        <f>TEXT(Clean_Data[[#This Row],[OrderDate]], "dddd")</f>
        <v>Tuesday</v>
      </c>
    </row>
    <row r="128" spans="1:18" x14ac:dyDescent="0.25">
      <c r="A128" t="s">
        <v>858</v>
      </c>
      <c r="B128" s="4">
        <v>20</v>
      </c>
      <c r="C128" s="4">
        <v>-9</v>
      </c>
      <c r="D128" s="3">
        <v>6</v>
      </c>
      <c r="E128" t="s">
        <v>895</v>
      </c>
      <c r="F128" t="s">
        <v>899</v>
      </c>
      <c r="G128" t="s">
        <v>907</v>
      </c>
      <c r="H128" s="6">
        <f>_xlfn.XLOOKUP(A128,Orders[OrderID],Orders[OrderDate])</f>
        <v>43335</v>
      </c>
      <c r="I128" t="str">
        <f>_xlfn.XLOOKUP(A128,Orders[OrderID],Orders[CustomerName])</f>
        <v>Soumya</v>
      </c>
      <c r="J128" t="str">
        <f>_xlfn.XLOOKUP(A128,Orders[OrderID],Orders[State])</f>
        <v>Sikkim</v>
      </c>
      <c r="K128" t="str">
        <f>_xlfn.XLOOKUP(A128,Orders[OrderID],Orders[City])</f>
        <v>Gangtok</v>
      </c>
      <c r="L128" s="3">
        <f>YEAR(Clean_Data[[#This Row],[OrderDate]])</f>
        <v>2018</v>
      </c>
      <c r="M128" s="3">
        <f>MONTH(Clean_Data[[#This Row],[OrderDate]])</f>
        <v>8</v>
      </c>
      <c r="N128" s="8" t="str">
        <f>TEXT(Clean_Data[[#This Row],[OrderDate]],"mmm")</f>
        <v>Aug</v>
      </c>
      <c r="O128" s="8" t="str">
        <f>TEXT(Clean_Data[[#This Row],[OrderDate]], "yyyy-mm")</f>
        <v>2018-08</v>
      </c>
      <c r="P128" s="7">
        <f>Clean_Data[[#This Row],[Profit]]/Clean_Data[[#This Row],[Revenue ]]</f>
        <v>-0.45</v>
      </c>
      <c r="Q128" t="str">
        <f>"Q"&amp;ROUNDUP(MONTH(Clean_Data[[#This Row],[OrderDate]])/3,0)</f>
        <v>Q3</v>
      </c>
      <c r="R128" t="str">
        <f>TEXT(Clean_Data[[#This Row],[OrderDate]], "dddd")</f>
        <v>Thursday</v>
      </c>
    </row>
    <row r="129" spans="1:18" x14ac:dyDescent="0.25">
      <c r="A129" t="s">
        <v>240</v>
      </c>
      <c r="B129" s="4">
        <v>877</v>
      </c>
      <c r="C129" s="4">
        <v>395</v>
      </c>
      <c r="D129" s="3">
        <v>2</v>
      </c>
      <c r="E129" t="s">
        <v>888</v>
      </c>
      <c r="F129" t="s">
        <v>891</v>
      </c>
      <c r="G129" t="s">
        <v>893</v>
      </c>
      <c r="H129" s="6">
        <f>_xlfn.XLOOKUP(A129,Orders[OrderID],Orders[OrderDate])</f>
        <v>43323</v>
      </c>
      <c r="I129" t="str">
        <f>_xlfn.XLOOKUP(A129,Orders[OrderID],Orders[CustomerName])</f>
        <v>Harsh</v>
      </c>
      <c r="J129" t="str">
        <f>_xlfn.XLOOKUP(A129,Orders[OrderID],Orders[State])</f>
        <v>Madhya Pradesh</v>
      </c>
      <c r="K129" t="str">
        <f>_xlfn.XLOOKUP(A129,Orders[OrderID],Orders[City])</f>
        <v>Bhopal</v>
      </c>
      <c r="L129" s="3">
        <f>YEAR(Clean_Data[[#This Row],[OrderDate]])</f>
        <v>2018</v>
      </c>
      <c r="M129" s="3">
        <f>MONTH(Clean_Data[[#This Row],[OrderDate]])</f>
        <v>8</v>
      </c>
      <c r="N129" s="8" t="str">
        <f>TEXT(Clean_Data[[#This Row],[OrderDate]],"mmm")</f>
        <v>Aug</v>
      </c>
      <c r="O129" s="8" t="str">
        <f>TEXT(Clean_Data[[#This Row],[OrderDate]], "yyyy-mm")</f>
        <v>2018-08</v>
      </c>
      <c r="P129" s="7">
        <f>Clean_Data[[#This Row],[Profit]]/Clean_Data[[#This Row],[Revenue ]]</f>
        <v>0.45039908779931587</v>
      </c>
      <c r="Q129" t="str">
        <f>"Q"&amp;ROUNDUP(MONTH(Clean_Data[[#This Row],[OrderDate]])/3,0)</f>
        <v>Q3</v>
      </c>
      <c r="R129" t="str">
        <f>TEXT(Clean_Data[[#This Row],[OrderDate]], "dddd")</f>
        <v>Saturday</v>
      </c>
    </row>
    <row r="130" spans="1:18" x14ac:dyDescent="0.25">
      <c r="A130" t="s">
        <v>288</v>
      </c>
      <c r="B130" s="4">
        <v>719</v>
      </c>
      <c r="C130" s="4">
        <v>303</v>
      </c>
      <c r="D130" s="3">
        <v>6</v>
      </c>
      <c r="E130" t="s">
        <v>888</v>
      </c>
      <c r="F130" t="s">
        <v>889</v>
      </c>
      <c r="G130" t="s">
        <v>887</v>
      </c>
      <c r="H130" s="6">
        <f>_xlfn.XLOOKUP(A130,Orders[OrderID],Orders[OrderDate])</f>
        <v>43428</v>
      </c>
      <c r="I130" t="str">
        <f>_xlfn.XLOOKUP(A130,Orders[OrderID],Orders[CustomerName])</f>
        <v>Mrinal</v>
      </c>
      <c r="J130" t="str">
        <f>_xlfn.XLOOKUP(A130,Orders[OrderID],Orders[State])</f>
        <v>Maharashtra</v>
      </c>
      <c r="K130" t="str">
        <f>_xlfn.XLOOKUP(A130,Orders[OrderID],Orders[City])</f>
        <v>Mumbai</v>
      </c>
      <c r="L130" s="3">
        <f>YEAR(Clean_Data[[#This Row],[OrderDate]])</f>
        <v>2018</v>
      </c>
      <c r="M130" s="3">
        <f>MONTH(Clean_Data[[#This Row],[OrderDate]])</f>
        <v>11</v>
      </c>
      <c r="N130" s="8" t="str">
        <f>TEXT(Clean_Data[[#This Row],[OrderDate]],"mmm")</f>
        <v>Nov</v>
      </c>
      <c r="O130" s="8" t="str">
        <f>TEXT(Clean_Data[[#This Row],[OrderDate]], "yyyy-mm")</f>
        <v>2018-11</v>
      </c>
      <c r="P130" s="7">
        <f>Clean_Data[[#This Row],[Profit]]/Clean_Data[[#This Row],[Revenue ]]</f>
        <v>0.42141863699582754</v>
      </c>
      <c r="Q130" t="str">
        <f>"Q"&amp;ROUNDUP(MONTH(Clean_Data[[#This Row],[OrderDate]])/3,0)</f>
        <v>Q4</v>
      </c>
      <c r="R130" t="str">
        <f>TEXT(Clean_Data[[#This Row],[OrderDate]], "dddd")</f>
        <v>Saturday</v>
      </c>
    </row>
    <row r="131" spans="1:18" x14ac:dyDescent="0.25">
      <c r="A131" t="s">
        <v>134</v>
      </c>
      <c r="B131" s="4">
        <v>12</v>
      </c>
      <c r="C131" s="4">
        <v>1</v>
      </c>
      <c r="D131" s="3">
        <v>2</v>
      </c>
      <c r="E131" t="s">
        <v>895</v>
      </c>
      <c r="F131" t="s">
        <v>899</v>
      </c>
      <c r="G131" t="s">
        <v>887</v>
      </c>
      <c r="H131" s="6">
        <f>_xlfn.XLOOKUP(A131,Orders[OrderID],Orders[OrderDate])</f>
        <v>43193</v>
      </c>
      <c r="I131" t="str">
        <f>_xlfn.XLOOKUP(A131,Orders[OrderID],Orders[CustomerName])</f>
        <v>Jahan</v>
      </c>
      <c r="J131" t="str">
        <f>_xlfn.XLOOKUP(A131,Orders[OrderID],Orders[State])</f>
        <v>Madhya Pradesh</v>
      </c>
      <c r="K131" t="str">
        <f>_xlfn.XLOOKUP(A131,Orders[OrderID],Orders[City])</f>
        <v>Bhopal</v>
      </c>
      <c r="L131" s="3">
        <f>YEAR(Clean_Data[[#This Row],[OrderDate]])</f>
        <v>2018</v>
      </c>
      <c r="M131" s="3">
        <f>MONTH(Clean_Data[[#This Row],[OrderDate]])</f>
        <v>4</v>
      </c>
      <c r="N131" s="8" t="str">
        <f>TEXT(Clean_Data[[#This Row],[OrderDate]],"mmm")</f>
        <v>Apr</v>
      </c>
      <c r="O131" s="8" t="str">
        <f>TEXT(Clean_Data[[#This Row],[OrderDate]], "yyyy-mm")</f>
        <v>2018-04</v>
      </c>
      <c r="P131" s="7">
        <f>Clean_Data[[#This Row],[Profit]]/Clean_Data[[#This Row],[Revenue ]]</f>
        <v>8.3333333333333329E-2</v>
      </c>
      <c r="Q131" t="str">
        <f>"Q"&amp;ROUNDUP(MONTH(Clean_Data[[#This Row],[OrderDate]])/3,0)</f>
        <v>Q2</v>
      </c>
      <c r="R131" t="str">
        <f>TEXT(Clean_Data[[#This Row],[OrderDate]], "dddd")</f>
        <v>Tuesday</v>
      </c>
    </row>
    <row r="132" spans="1:18" x14ac:dyDescent="0.25">
      <c r="A132" t="s">
        <v>298</v>
      </c>
      <c r="B132" s="4">
        <v>714</v>
      </c>
      <c r="C132" s="4">
        <v>56</v>
      </c>
      <c r="D132" s="3">
        <v>4</v>
      </c>
      <c r="E132" t="s">
        <v>895</v>
      </c>
      <c r="F132" t="s">
        <v>897</v>
      </c>
      <c r="G132" t="s">
        <v>887</v>
      </c>
      <c r="H132" s="6">
        <f>_xlfn.XLOOKUP(A132,Orders[OrderID],Orders[OrderDate])</f>
        <v>43267</v>
      </c>
      <c r="I132" t="str">
        <f>_xlfn.XLOOKUP(A132,Orders[OrderID],Orders[CustomerName])</f>
        <v>Akancha</v>
      </c>
      <c r="J132" t="str">
        <f>_xlfn.XLOOKUP(A132,Orders[OrderID],Orders[State])</f>
        <v>Maharashtra</v>
      </c>
      <c r="K132" t="str">
        <f>_xlfn.XLOOKUP(A132,Orders[OrderID],Orders[City])</f>
        <v>Mumbai</v>
      </c>
      <c r="L132" s="3">
        <f>YEAR(Clean_Data[[#This Row],[OrderDate]])</f>
        <v>2018</v>
      </c>
      <c r="M132" s="3">
        <f>MONTH(Clean_Data[[#This Row],[OrderDate]])</f>
        <v>6</v>
      </c>
      <c r="N132" s="8" t="str">
        <f>TEXT(Clean_Data[[#This Row],[OrderDate]],"mmm")</f>
        <v>Jun</v>
      </c>
      <c r="O132" s="8" t="str">
        <f>TEXT(Clean_Data[[#This Row],[OrderDate]], "yyyy-mm")</f>
        <v>2018-06</v>
      </c>
      <c r="P132" s="7">
        <f>Clean_Data[[#This Row],[Profit]]/Clean_Data[[#This Row],[Revenue ]]</f>
        <v>7.8431372549019607E-2</v>
      </c>
      <c r="Q132" t="str">
        <f>"Q"&amp;ROUNDUP(MONTH(Clean_Data[[#This Row],[OrderDate]])/3,0)</f>
        <v>Q2</v>
      </c>
      <c r="R132" t="str">
        <f>TEXT(Clean_Data[[#This Row],[OrderDate]], "dddd")</f>
        <v>Saturday</v>
      </c>
    </row>
    <row r="133" spans="1:18" x14ac:dyDescent="0.25">
      <c r="A133" t="s">
        <v>795</v>
      </c>
      <c r="B133" s="4">
        <v>50</v>
      </c>
      <c r="C133" s="4">
        <v>-15</v>
      </c>
      <c r="D133" s="3">
        <v>4</v>
      </c>
      <c r="E133" t="s">
        <v>895</v>
      </c>
      <c r="F133" t="s">
        <v>904</v>
      </c>
      <c r="G133" t="s">
        <v>887</v>
      </c>
      <c r="H133" s="6">
        <f>_xlfn.XLOOKUP(A133,Orders[OrderID],Orders[OrderDate])</f>
        <v>43196</v>
      </c>
      <c r="I133" t="str">
        <f>_xlfn.XLOOKUP(A133,Orders[OrderID],Orders[CustomerName])</f>
        <v>Sonakshi</v>
      </c>
      <c r="J133" t="str">
        <f>_xlfn.XLOOKUP(A133,Orders[OrderID],Orders[State])</f>
        <v>Jammu and Kashmir</v>
      </c>
      <c r="K133" t="str">
        <f>_xlfn.XLOOKUP(A133,Orders[OrderID],Orders[City])</f>
        <v>Kashmir</v>
      </c>
      <c r="L133" s="3">
        <f>YEAR(Clean_Data[[#This Row],[OrderDate]])</f>
        <v>2018</v>
      </c>
      <c r="M133" s="3">
        <f>MONTH(Clean_Data[[#This Row],[OrderDate]])</f>
        <v>4</v>
      </c>
      <c r="N133" s="8" t="str">
        <f>TEXT(Clean_Data[[#This Row],[OrderDate]],"mmm")</f>
        <v>Apr</v>
      </c>
      <c r="O133" s="8" t="str">
        <f>TEXT(Clean_Data[[#This Row],[OrderDate]], "yyyy-mm")</f>
        <v>2018-04</v>
      </c>
      <c r="P133" s="7">
        <f>Clean_Data[[#This Row],[Profit]]/Clean_Data[[#This Row],[Revenue ]]</f>
        <v>-0.3</v>
      </c>
      <c r="Q133" t="str">
        <f>"Q"&amp;ROUNDUP(MONTH(Clean_Data[[#This Row],[OrderDate]])/3,0)</f>
        <v>Q2</v>
      </c>
      <c r="R133" t="str">
        <f>TEXT(Clean_Data[[#This Row],[OrderDate]], "dddd")</f>
        <v>Friday</v>
      </c>
    </row>
    <row r="134" spans="1:18" x14ac:dyDescent="0.25">
      <c r="A134" t="s">
        <v>304</v>
      </c>
      <c r="B134" s="4">
        <v>709</v>
      </c>
      <c r="C134" s="4">
        <v>-100</v>
      </c>
      <c r="D134" s="3">
        <v>5</v>
      </c>
      <c r="E134" t="s">
        <v>885</v>
      </c>
      <c r="F134" t="s">
        <v>894</v>
      </c>
      <c r="G134" t="s">
        <v>887</v>
      </c>
      <c r="H134" s="6">
        <f>_xlfn.XLOOKUP(A134,Orders[OrderID],Orders[OrderDate])</f>
        <v>43282</v>
      </c>
      <c r="I134" t="str">
        <f>_xlfn.XLOOKUP(A134,Orders[OrderID],Orders[CustomerName])</f>
        <v>Kishwar</v>
      </c>
      <c r="J134" t="str">
        <f>_xlfn.XLOOKUP(A134,Orders[OrderID],Orders[State])</f>
        <v>Madhya Pradesh</v>
      </c>
      <c r="K134" t="str">
        <f>_xlfn.XLOOKUP(A134,Orders[OrderID],Orders[City])</f>
        <v>Indore</v>
      </c>
      <c r="L134" s="3">
        <f>YEAR(Clean_Data[[#This Row],[OrderDate]])</f>
        <v>2018</v>
      </c>
      <c r="M134" s="3">
        <f>MONTH(Clean_Data[[#This Row],[OrderDate]])</f>
        <v>7</v>
      </c>
      <c r="N134" s="8" t="str">
        <f>TEXT(Clean_Data[[#This Row],[OrderDate]],"mmm")</f>
        <v>Jul</v>
      </c>
      <c r="O134" s="8" t="str">
        <f>TEXT(Clean_Data[[#This Row],[OrderDate]], "yyyy-mm")</f>
        <v>2018-07</v>
      </c>
      <c r="P134" s="7">
        <f>Clean_Data[[#This Row],[Profit]]/Clean_Data[[#This Row],[Revenue ]]</f>
        <v>-0.14104372355430184</v>
      </c>
      <c r="Q134" t="str">
        <f>"Q"&amp;ROUNDUP(MONTH(Clean_Data[[#This Row],[OrderDate]])/3,0)</f>
        <v>Q3</v>
      </c>
      <c r="R134" t="str">
        <f>TEXT(Clean_Data[[#This Row],[OrderDate]], "dddd")</f>
        <v>Sunday</v>
      </c>
    </row>
    <row r="135" spans="1:18" x14ac:dyDescent="0.25">
      <c r="A135" t="s">
        <v>675</v>
      </c>
      <c r="B135" s="4">
        <v>21</v>
      </c>
      <c r="C135" s="4">
        <v>-12</v>
      </c>
      <c r="D135" s="3">
        <v>3</v>
      </c>
      <c r="E135" t="s">
        <v>895</v>
      </c>
      <c r="F135" t="s">
        <v>899</v>
      </c>
      <c r="G135" t="s">
        <v>907</v>
      </c>
      <c r="H135" s="6">
        <f>_xlfn.XLOOKUP(A135,Orders[OrderID],Orders[OrderDate])</f>
        <v>43148</v>
      </c>
      <c r="I135" t="str">
        <f>_xlfn.XLOOKUP(A135,Orders[OrderID],Orders[CustomerName])</f>
        <v>Anita</v>
      </c>
      <c r="J135" t="str">
        <f>_xlfn.XLOOKUP(A135,Orders[OrderID],Orders[State])</f>
        <v xml:space="preserve">Kerala </v>
      </c>
      <c r="K135" t="str">
        <f>_xlfn.XLOOKUP(A135,Orders[OrderID],Orders[City])</f>
        <v>Thiruvananthapuram</v>
      </c>
      <c r="L135" s="3">
        <f>YEAR(Clean_Data[[#This Row],[OrderDate]])</f>
        <v>2018</v>
      </c>
      <c r="M135" s="3">
        <f>MONTH(Clean_Data[[#This Row],[OrderDate]])</f>
        <v>2</v>
      </c>
      <c r="N135" s="8" t="str">
        <f>TEXT(Clean_Data[[#This Row],[OrderDate]],"mmm")</f>
        <v>Feb</v>
      </c>
      <c r="O135" s="8" t="str">
        <f>TEXT(Clean_Data[[#This Row],[OrderDate]], "yyyy-mm")</f>
        <v>2018-02</v>
      </c>
      <c r="P135" s="7">
        <f>Clean_Data[[#This Row],[Profit]]/Clean_Data[[#This Row],[Revenue ]]</f>
        <v>-0.5714285714285714</v>
      </c>
      <c r="Q135" t="str">
        <f>"Q"&amp;ROUNDUP(MONTH(Clean_Data[[#This Row],[OrderDate]])/3,0)</f>
        <v>Q1</v>
      </c>
      <c r="R135" t="str">
        <f>TEXT(Clean_Data[[#This Row],[OrderDate]], "dddd")</f>
        <v>Saturday</v>
      </c>
    </row>
    <row r="136" spans="1:18" x14ac:dyDescent="0.25">
      <c r="A136" t="s">
        <v>306</v>
      </c>
      <c r="B136" s="4">
        <v>693</v>
      </c>
      <c r="C136" s="4">
        <v>254</v>
      </c>
      <c r="D136" s="3">
        <v>6</v>
      </c>
      <c r="E136" t="s">
        <v>895</v>
      </c>
      <c r="F136" t="s">
        <v>897</v>
      </c>
      <c r="G136" t="s">
        <v>887</v>
      </c>
      <c r="H136" s="6">
        <f>_xlfn.XLOOKUP(A136,Orders[OrderID],Orders[OrderDate])</f>
        <v>43400</v>
      </c>
      <c r="I136" t="str">
        <f>_xlfn.XLOOKUP(A136,Orders[OrderID],Orders[CustomerName])</f>
        <v>Mahima</v>
      </c>
      <c r="J136" t="str">
        <f>_xlfn.XLOOKUP(A136,Orders[OrderID],Orders[State])</f>
        <v>Sikkim</v>
      </c>
      <c r="K136" t="str">
        <f>_xlfn.XLOOKUP(A136,Orders[OrderID],Orders[City])</f>
        <v>Gangtok</v>
      </c>
      <c r="L136" s="3">
        <f>YEAR(Clean_Data[[#This Row],[OrderDate]])</f>
        <v>2018</v>
      </c>
      <c r="M136" s="3">
        <f>MONTH(Clean_Data[[#This Row],[OrderDate]])</f>
        <v>10</v>
      </c>
      <c r="N136" s="8" t="str">
        <f>TEXT(Clean_Data[[#This Row],[OrderDate]],"mmm")</f>
        <v>Oct</v>
      </c>
      <c r="O136" s="8" t="str">
        <f>TEXT(Clean_Data[[#This Row],[OrderDate]], "yyyy-mm")</f>
        <v>2018-10</v>
      </c>
      <c r="P136" s="7">
        <f>Clean_Data[[#This Row],[Profit]]/Clean_Data[[#This Row],[Revenue ]]</f>
        <v>0.36652236652236653</v>
      </c>
      <c r="Q136" t="str">
        <f>"Q"&amp;ROUNDUP(MONTH(Clean_Data[[#This Row],[OrderDate]])/3,0)</f>
        <v>Q4</v>
      </c>
      <c r="R136" t="str">
        <f>TEXT(Clean_Data[[#This Row],[OrderDate]], "dddd")</f>
        <v>Saturday</v>
      </c>
    </row>
    <row r="137" spans="1:18" x14ac:dyDescent="0.25">
      <c r="A137" t="s">
        <v>228</v>
      </c>
      <c r="B137" s="4">
        <v>24</v>
      </c>
      <c r="C137" s="4">
        <v>1</v>
      </c>
      <c r="D137" s="3">
        <v>4</v>
      </c>
      <c r="E137" t="s">
        <v>895</v>
      </c>
      <c r="F137" t="s">
        <v>899</v>
      </c>
      <c r="G137" t="s">
        <v>887</v>
      </c>
      <c r="H137" s="6">
        <f>_xlfn.XLOOKUP(A137,Orders[OrderID],Orders[OrderDate])</f>
        <v>43409</v>
      </c>
      <c r="I137" t="str">
        <f>_xlfn.XLOOKUP(A137,Orders[OrderID],Orders[CustomerName])</f>
        <v>Abhishek</v>
      </c>
      <c r="J137" t="str">
        <f>_xlfn.XLOOKUP(A137,Orders[OrderID],Orders[State])</f>
        <v>Goa</v>
      </c>
      <c r="K137" t="str">
        <f>_xlfn.XLOOKUP(A137,Orders[OrderID],Orders[City])</f>
        <v>Goa</v>
      </c>
      <c r="L137" s="3">
        <f>YEAR(Clean_Data[[#This Row],[OrderDate]])</f>
        <v>2018</v>
      </c>
      <c r="M137" s="3">
        <f>MONTH(Clean_Data[[#This Row],[OrderDate]])</f>
        <v>11</v>
      </c>
      <c r="N137" s="8" t="str">
        <f>TEXT(Clean_Data[[#This Row],[OrderDate]],"mmm")</f>
        <v>Nov</v>
      </c>
      <c r="O137" s="8" t="str">
        <f>TEXT(Clean_Data[[#This Row],[OrderDate]], "yyyy-mm")</f>
        <v>2018-11</v>
      </c>
      <c r="P137" s="7">
        <f>Clean_Data[[#This Row],[Profit]]/Clean_Data[[#This Row],[Revenue ]]</f>
        <v>4.1666666666666664E-2</v>
      </c>
      <c r="Q137" t="str">
        <f>"Q"&amp;ROUNDUP(MONTH(Clean_Data[[#This Row],[OrderDate]])/3,0)</f>
        <v>Q4</v>
      </c>
      <c r="R137" t="str">
        <f>TEXT(Clean_Data[[#This Row],[OrderDate]], "dddd")</f>
        <v>Monday</v>
      </c>
    </row>
    <row r="138" spans="1:18" x14ac:dyDescent="0.25">
      <c r="A138" t="s">
        <v>318</v>
      </c>
      <c r="B138" s="4">
        <v>24</v>
      </c>
      <c r="C138" s="4">
        <v>1</v>
      </c>
      <c r="D138" s="3">
        <v>2</v>
      </c>
      <c r="E138" t="s">
        <v>895</v>
      </c>
      <c r="F138" t="s">
        <v>899</v>
      </c>
      <c r="G138" t="s">
        <v>898</v>
      </c>
      <c r="H138" s="6">
        <f>_xlfn.XLOOKUP(A138,Orders[OrderID],Orders[OrderDate])</f>
        <v>43245</v>
      </c>
      <c r="I138" t="str">
        <f>_xlfn.XLOOKUP(A138,Orders[OrderID],Orders[CustomerName])</f>
        <v>Charika</v>
      </c>
      <c r="J138" t="str">
        <f>_xlfn.XLOOKUP(A138,Orders[OrderID],Orders[State])</f>
        <v>Goa</v>
      </c>
      <c r="K138" t="str">
        <f>_xlfn.XLOOKUP(A138,Orders[OrderID],Orders[City])</f>
        <v>Goa</v>
      </c>
      <c r="L138" s="3">
        <f>YEAR(Clean_Data[[#This Row],[OrderDate]])</f>
        <v>2018</v>
      </c>
      <c r="M138" s="3">
        <f>MONTH(Clean_Data[[#This Row],[OrderDate]])</f>
        <v>5</v>
      </c>
      <c r="N138" s="8" t="str">
        <f>TEXT(Clean_Data[[#This Row],[OrderDate]],"mmm")</f>
        <v>May</v>
      </c>
      <c r="O138" s="8" t="str">
        <f>TEXT(Clean_Data[[#This Row],[OrderDate]], "yyyy-mm")</f>
        <v>2018-05</v>
      </c>
      <c r="P138" s="7">
        <f>Clean_Data[[#This Row],[Profit]]/Clean_Data[[#This Row],[Revenue ]]</f>
        <v>4.1666666666666664E-2</v>
      </c>
      <c r="Q138" t="str">
        <f>"Q"&amp;ROUNDUP(MONTH(Clean_Data[[#This Row],[OrderDate]])/3,0)</f>
        <v>Q2</v>
      </c>
      <c r="R138" t="str">
        <f>TEXT(Clean_Data[[#This Row],[OrderDate]], "dddd")</f>
        <v>Friday</v>
      </c>
    </row>
    <row r="139" spans="1:18" x14ac:dyDescent="0.25">
      <c r="A139" t="s">
        <v>244</v>
      </c>
      <c r="B139" s="4">
        <v>24</v>
      </c>
      <c r="C139" s="4">
        <v>1</v>
      </c>
      <c r="D139" s="3">
        <v>2</v>
      </c>
      <c r="E139" t="s">
        <v>895</v>
      </c>
      <c r="F139" t="s">
        <v>899</v>
      </c>
      <c r="G139" t="s">
        <v>887</v>
      </c>
      <c r="H139" s="6">
        <f>_xlfn.XLOOKUP(A139,Orders[OrderID],Orders[OrderDate])</f>
        <v>43411</v>
      </c>
      <c r="I139" t="str">
        <f>_xlfn.XLOOKUP(A139,Orders[OrderID],Orders[CustomerName])</f>
        <v>Soumyabrata</v>
      </c>
      <c r="J139" t="str">
        <f>_xlfn.XLOOKUP(A139,Orders[OrderID],Orders[State])</f>
        <v>Andhra Pradesh</v>
      </c>
      <c r="K139" t="str">
        <f>_xlfn.XLOOKUP(A139,Orders[OrderID],Orders[City])</f>
        <v>Hyderabad</v>
      </c>
      <c r="L139" s="3">
        <f>YEAR(Clean_Data[[#This Row],[OrderDate]])</f>
        <v>2018</v>
      </c>
      <c r="M139" s="3">
        <f>MONTH(Clean_Data[[#This Row],[OrderDate]])</f>
        <v>11</v>
      </c>
      <c r="N139" s="8" t="str">
        <f>TEXT(Clean_Data[[#This Row],[OrderDate]],"mmm")</f>
        <v>Nov</v>
      </c>
      <c r="O139" s="8" t="str">
        <f>TEXT(Clean_Data[[#This Row],[OrderDate]], "yyyy-mm")</f>
        <v>2018-11</v>
      </c>
      <c r="P139" s="7">
        <f>Clean_Data[[#This Row],[Profit]]/Clean_Data[[#This Row],[Revenue ]]</f>
        <v>4.1666666666666664E-2</v>
      </c>
      <c r="Q139" t="str">
        <f>"Q"&amp;ROUNDUP(MONTH(Clean_Data[[#This Row],[OrderDate]])/3,0)</f>
        <v>Q4</v>
      </c>
      <c r="R139" t="str">
        <f>TEXT(Clean_Data[[#This Row],[OrderDate]], "dddd")</f>
        <v>Wednesday</v>
      </c>
    </row>
    <row r="140" spans="1:18" x14ac:dyDescent="0.25">
      <c r="A140" t="s">
        <v>854</v>
      </c>
      <c r="B140" s="4">
        <v>21</v>
      </c>
      <c r="C140" s="4">
        <v>10</v>
      </c>
      <c r="D140" s="3">
        <v>1</v>
      </c>
      <c r="E140" t="s">
        <v>895</v>
      </c>
      <c r="F140" t="s">
        <v>906</v>
      </c>
      <c r="G140" t="s">
        <v>907</v>
      </c>
      <c r="H140" s="6">
        <f>_xlfn.XLOOKUP(A140,Orders[OrderID],Orders[OrderDate])</f>
        <v>43151</v>
      </c>
      <c r="I140" t="str">
        <f>_xlfn.XLOOKUP(A140,Orders[OrderID],Orders[CustomerName])</f>
        <v>Ramesh</v>
      </c>
      <c r="J140" t="str">
        <f>_xlfn.XLOOKUP(A140,Orders[OrderID],Orders[State])</f>
        <v>Gujarat</v>
      </c>
      <c r="K140" t="str">
        <f>_xlfn.XLOOKUP(A140,Orders[OrderID],Orders[City])</f>
        <v>Ahmedabad</v>
      </c>
      <c r="L140" s="3">
        <f>YEAR(Clean_Data[[#This Row],[OrderDate]])</f>
        <v>2018</v>
      </c>
      <c r="M140" s="3">
        <f>MONTH(Clean_Data[[#This Row],[OrderDate]])</f>
        <v>2</v>
      </c>
      <c r="N140" s="8" t="str">
        <f>TEXT(Clean_Data[[#This Row],[OrderDate]],"mmm")</f>
        <v>Feb</v>
      </c>
      <c r="O140" s="8" t="str">
        <f>TEXT(Clean_Data[[#This Row],[OrderDate]], "yyyy-mm")</f>
        <v>2018-02</v>
      </c>
      <c r="P140" s="7">
        <f>Clean_Data[[#This Row],[Profit]]/Clean_Data[[#This Row],[Revenue ]]</f>
        <v>0.47619047619047616</v>
      </c>
      <c r="Q140" t="str">
        <f>"Q"&amp;ROUNDUP(MONTH(Clean_Data[[#This Row],[OrderDate]])/3,0)</f>
        <v>Q1</v>
      </c>
      <c r="R140" t="str">
        <f>TEXT(Clean_Data[[#This Row],[OrderDate]], "dddd")</f>
        <v>Tuesday</v>
      </c>
    </row>
    <row r="141" spans="1:18" x14ac:dyDescent="0.25">
      <c r="A141" t="s">
        <v>309</v>
      </c>
      <c r="B141" s="4">
        <v>681</v>
      </c>
      <c r="C141" s="4">
        <v>259</v>
      </c>
      <c r="D141" s="3">
        <v>4</v>
      </c>
      <c r="E141" t="s">
        <v>888</v>
      </c>
      <c r="F141" t="s">
        <v>889</v>
      </c>
      <c r="G141" t="s">
        <v>887</v>
      </c>
      <c r="H141" s="6">
        <f>_xlfn.XLOOKUP(A141,Orders[OrderID],Orders[OrderDate])</f>
        <v>43118</v>
      </c>
      <c r="I141" t="str">
        <f>_xlfn.XLOOKUP(A141,Orders[OrderID],Orders[CustomerName])</f>
        <v>Muskan</v>
      </c>
      <c r="J141" t="str">
        <f>_xlfn.XLOOKUP(A141,Orders[OrderID],Orders[State])</f>
        <v>Madhya Pradesh</v>
      </c>
      <c r="K141" t="str">
        <f>_xlfn.XLOOKUP(A141,Orders[OrderID],Orders[City])</f>
        <v>Indore</v>
      </c>
      <c r="L141" s="3">
        <f>YEAR(Clean_Data[[#This Row],[OrderDate]])</f>
        <v>2018</v>
      </c>
      <c r="M141" s="3">
        <f>MONTH(Clean_Data[[#This Row],[OrderDate]])</f>
        <v>1</v>
      </c>
      <c r="N141" s="8" t="str">
        <f>TEXT(Clean_Data[[#This Row],[OrderDate]],"mmm")</f>
        <v>Jan</v>
      </c>
      <c r="O141" s="8" t="str">
        <f>TEXT(Clean_Data[[#This Row],[OrderDate]], "yyyy-mm")</f>
        <v>2018-01</v>
      </c>
      <c r="P141" s="7">
        <f>Clean_Data[[#This Row],[Profit]]/Clean_Data[[#This Row],[Revenue ]]</f>
        <v>0.38032305433186492</v>
      </c>
      <c r="Q141" t="str">
        <f>"Q"&amp;ROUNDUP(MONTH(Clean_Data[[#This Row],[OrderDate]])/3,0)</f>
        <v>Q1</v>
      </c>
      <c r="R141" t="str">
        <f>TEXT(Clean_Data[[#This Row],[OrderDate]], "dddd")</f>
        <v>Thursday</v>
      </c>
    </row>
    <row r="142" spans="1:18" x14ac:dyDescent="0.25">
      <c r="A142" t="s">
        <v>166</v>
      </c>
      <c r="B142" s="4">
        <v>674</v>
      </c>
      <c r="C142" s="4">
        <v>-187</v>
      </c>
      <c r="D142" s="3">
        <v>2</v>
      </c>
      <c r="E142" t="s">
        <v>888</v>
      </c>
      <c r="F142" t="s">
        <v>902</v>
      </c>
      <c r="G142" t="s">
        <v>887</v>
      </c>
      <c r="H142" s="6">
        <f>_xlfn.XLOOKUP(A142,Orders[OrderID],Orders[OrderDate])</f>
        <v>43252</v>
      </c>
      <c r="I142" t="str">
        <f>_xlfn.XLOOKUP(A142,Orders[OrderID],Orders[CustomerName])</f>
        <v>Chandni</v>
      </c>
      <c r="J142" t="str">
        <f>_xlfn.XLOOKUP(A142,Orders[OrderID],Orders[State])</f>
        <v>Rajasthan</v>
      </c>
      <c r="K142" t="str">
        <f>_xlfn.XLOOKUP(A142,Orders[OrderID],Orders[City])</f>
        <v>Jaipur</v>
      </c>
      <c r="L142" s="3">
        <f>YEAR(Clean_Data[[#This Row],[OrderDate]])</f>
        <v>2018</v>
      </c>
      <c r="M142" s="3">
        <f>MONTH(Clean_Data[[#This Row],[OrderDate]])</f>
        <v>6</v>
      </c>
      <c r="N142" s="8" t="str">
        <f>TEXT(Clean_Data[[#This Row],[OrderDate]],"mmm")</f>
        <v>Jun</v>
      </c>
      <c r="O142" s="8" t="str">
        <f>TEXT(Clean_Data[[#This Row],[OrderDate]], "yyyy-mm")</f>
        <v>2018-06</v>
      </c>
      <c r="P142" s="7">
        <f>Clean_Data[[#This Row],[Profit]]/Clean_Data[[#This Row],[Revenue ]]</f>
        <v>-0.27744807121661719</v>
      </c>
      <c r="Q142" t="str">
        <f>"Q"&amp;ROUNDUP(MONTH(Clean_Data[[#This Row],[OrderDate]])/3,0)</f>
        <v>Q2</v>
      </c>
      <c r="R142" t="str">
        <f>TEXT(Clean_Data[[#This Row],[OrderDate]], "dddd")</f>
        <v>Friday</v>
      </c>
    </row>
    <row r="143" spans="1:18" x14ac:dyDescent="0.25">
      <c r="A143" t="s">
        <v>313</v>
      </c>
      <c r="B143" s="4">
        <v>671</v>
      </c>
      <c r="C143" s="4">
        <v>-309</v>
      </c>
      <c r="D143" s="3">
        <v>5</v>
      </c>
      <c r="E143" t="s">
        <v>885</v>
      </c>
      <c r="F143" t="s">
        <v>886</v>
      </c>
      <c r="G143" t="s">
        <v>887</v>
      </c>
      <c r="H143" s="6">
        <f>_xlfn.XLOOKUP(A143,Orders[OrderID],Orders[OrderDate])</f>
        <v>43187</v>
      </c>
      <c r="I143" t="str">
        <f>_xlfn.XLOOKUP(A143,Orders[OrderID],Orders[CustomerName])</f>
        <v>Vini</v>
      </c>
      <c r="J143" t="str">
        <f>_xlfn.XLOOKUP(A143,Orders[OrderID],Orders[State])</f>
        <v>Karnataka</v>
      </c>
      <c r="K143" t="str">
        <f>_xlfn.XLOOKUP(A143,Orders[OrderID],Orders[City])</f>
        <v>Bangalore</v>
      </c>
      <c r="L143" s="3">
        <f>YEAR(Clean_Data[[#This Row],[OrderDate]])</f>
        <v>2018</v>
      </c>
      <c r="M143" s="3">
        <f>MONTH(Clean_Data[[#This Row],[OrderDate]])</f>
        <v>3</v>
      </c>
      <c r="N143" s="8" t="str">
        <f>TEXT(Clean_Data[[#This Row],[OrderDate]],"mmm")</f>
        <v>Mar</v>
      </c>
      <c r="O143" s="8" t="str">
        <f>TEXT(Clean_Data[[#This Row],[OrderDate]], "yyyy-mm")</f>
        <v>2018-03</v>
      </c>
      <c r="P143" s="7">
        <f>Clean_Data[[#This Row],[Profit]]/Clean_Data[[#This Row],[Revenue ]]</f>
        <v>-0.46050670640834573</v>
      </c>
      <c r="Q143" t="str">
        <f>"Q"&amp;ROUNDUP(MONTH(Clean_Data[[#This Row],[OrderDate]])/3,0)</f>
        <v>Q1</v>
      </c>
      <c r="R143" t="str">
        <f>TEXT(Clean_Data[[#This Row],[OrderDate]], "dddd")</f>
        <v>Wednesday</v>
      </c>
    </row>
    <row r="144" spans="1:18" x14ac:dyDescent="0.25">
      <c r="A144" t="s">
        <v>321</v>
      </c>
      <c r="B144" s="4">
        <v>646</v>
      </c>
      <c r="C144" s="4">
        <v>-213</v>
      </c>
      <c r="D144" s="3">
        <v>3</v>
      </c>
      <c r="E144" t="s">
        <v>885</v>
      </c>
      <c r="F144" t="s">
        <v>886</v>
      </c>
      <c r="G144" t="s">
        <v>887</v>
      </c>
      <c r="H144" s="6">
        <f>_xlfn.XLOOKUP(A144,Orders[OrderID],Orders[OrderDate])</f>
        <v>43436</v>
      </c>
      <c r="I144" t="str">
        <f>_xlfn.XLOOKUP(A144,Orders[OrderID],Orders[CustomerName])</f>
        <v>Rohan</v>
      </c>
      <c r="J144" t="str">
        <f>_xlfn.XLOOKUP(A144,Orders[OrderID],Orders[State])</f>
        <v>Punjab</v>
      </c>
      <c r="K144" t="str">
        <f>_xlfn.XLOOKUP(A144,Orders[OrderID],Orders[City])</f>
        <v>Amritsar</v>
      </c>
      <c r="L144" s="3">
        <f>YEAR(Clean_Data[[#This Row],[OrderDate]])</f>
        <v>2018</v>
      </c>
      <c r="M144" s="3">
        <f>MONTH(Clean_Data[[#This Row],[OrderDate]])</f>
        <v>12</v>
      </c>
      <c r="N144" s="8" t="str">
        <f>TEXT(Clean_Data[[#This Row],[OrderDate]],"mmm")</f>
        <v>Dec</v>
      </c>
      <c r="O144" s="8" t="str">
        <f>TEXT(Clean_Data[[#This Row],[OrderDate]], "yyyy-mm")</f>
        <v>2018-12</v>
      </c>
      <c r="P144" s="7">
        <f>Clean_Data[[#This Row],[Profit]]/Clean_Data[[#This Row],[Revenue ]]</f>
        <v>-0.32972136222910214</v>
      </c>
      <c r="Q144" t="str">
        <f>"Q"&amp;ROUNDUP(MONTH(Clean_Data[[#This Row],[OrderDate]])/3,0)</f>
        <v>Q4</v>
      </c>
      <c r="R144" t="str">
        <f>TEXT(Clean_Data[[#This Row],[OrderDate]], "dddd")</f>
        <v>Sunday</v>
      </c>
    </row>
    <row r="145" spans="1:18" x14ac:dyDescent="0.25">
      <c r="A145" t="s">
        <v>815</v>
      </c>
      <c r="B145" s="4">
        <v>40</v>
      </c>
      <c r="C145" s="4">
        <v>15</v>
      </c>
      <c r="D145" s="3">
        <v>1</v>
      </c>
      <c r="E145" t="s">
        <v>895</v>
      </c>
      <c r="F145" t="s">
        <v>900</v>
      </c>
      <c r="G145" t="s">
        <v>887</v>
      </c>
      <c r="H145" s="6">
        <f>_xlfn.XLOOKUP(A145,Orders[OrderID],Orders[OrderDate])</f>
        <v>43449</v>
      </c>
      <c r="I145" t="str">
        <f>_xlfn.XLOOKUP(A145,Orders[OrderID],Orders[CustomerName])</f>
        <v>Phalguni</v>
      </c>
      <c r="J145" t="str">
        <f>_xlfn.XLOOKUP(A145,Orders[OrderID],Orders[State])</f>
        <v>Madhya Pradesh</v>
      </c>
      <c r="K145" t="str">
        <f>_xlfn.XLOOKUP(A145,Orders[OrderID],Orders[City])</f>
        <v>Bhopal</v>
      </c>
      <c r="L145" s="3">
        <f>YEAR(Clean_Data[[#This Row],[OrderDate]])</f>
        <v>2018</v>
      </c>
      <c r="M145" s="3">
        <f>MONTH(Clean_Data[[#This Row],[OrderDate]])</f>
        <v>12</v>
      </c>
      <c r="N145" s="8" t="str">
        <f>TEXT(Clean_Data[[#This Row],[OrderDate]],"mmm")</f>
        <v>Dec</v>
      </c>
      <c r="O145" s="8" t="str">
        <f>TEXT(Clean_Data[[#This Row],[OrderDate]], "yyyy-mm")</f>
        <v>2018-12</v>
      </c>
      <c r="P145" s="7">
        <f>Clean_Data[[#This Row],[Profit]]/Clean_Data[[#This Row],[Revenue ]]</f>
        <v>0.375</v>
      </c>
      <c r="Q145" t="str">
        <f>"Q"&amp;ROUNDUP(MONTH(Clean_Data[[#This Row],[OrderDate]])/3,0)</f>
        <v>Q4</v>
      </c>
      <c r="R145" t="str">
        <f>TEXT(Clean_Data[[#This Row],[OrderDate]], "dddd")</f>
        <v>Saturday</v>
      </c>
    </row>
    <row r="146" spans="1:18" x14ac:dyDescent="0.25">
      <c r="A146" t="s">
        <v>444</v>
      </c>
      <c r="B146" s="4">
        <v>24</v>
      </c>
      <c r="C146" s="4">
        <v>-2</v>
      </c>
      <c r="D146" s="3">
        <v>2</v>
      </c>
      <c r="E146" t="s">
        <v>895</v>
      </c>
      <c r="F146" t="s">
        <v>906</v>
      </c>
      <c r="G146" t="s">
        <v>887</v>
      </c>
      <c r="H146" s="6">
        <f>_xlfn.XLOOKUP(A146,Orders[OrderID],Orders[OrderDate])</f>
        <v>43237</v>
      </c>
      <c r="I146" t="str">
        <f>_xlfn.XLOOKUP(A146,Orders[OrderID],Orders[CustomerName])</f>
        <v>Sweta</v>
      </c>
      <c r="J146" t="str">
        <f>_xlfn.XLOOKUP(A146,Orders[OrderID],Orders[State])</f>
        <v>Maharashtra</v>
      </c>
      <c r="K146" t="str">
        <f>_xlfn.XLOOKUP(A146,Orders[OrderID],Orders[City])</f>
        <v>Mumbai</v>
      </c>
      <c r="L146" s="3">
        <f>YEAR(Clean_Data[[#This Row],[OrderDate]])</f>
        <v>2018</v>
      </c>
      <c r="M146" s="3">
        <f>MONTH(Clean_Data[[#This Row],[OrderDate]])</f>
        <v>5</v>
      </c>
      <c r="N146" s="8" t="str">
        <f>TEXT(Clean_Data[[#This Row],[OrderDate]],"mmm")</f>
        <v>May</v>
      </c>
      <c r="O146" s="8" t="str">
        <f>TEXT(Clean_Data[[#This Row],[OrderDate]], "yyyy-mm")</f>
        <v>2018-05</v>
      </c>
      <c r="P146" s="7">
        <f>Clean_Data[[#This Row],[Profit]]/Clean_Data[[#This Row],[Revenue ]]</f>
        <v>-8.3333333333333329E-2</v>
      </c>
      <c r="Q146" t="str">
        <f>"Q"&amp;ROUNDUP(MONTH(Clean_Data[[#This Row],[OrderDate]])/3,0)</f>
        <v>Q2</v>
      </c>
      <c r="R146" t="str">
        <f>TEXT(Clean_Data[[#This Row],[OrderDate]], "dddd")</f>
        <v>Thursday</v>
      </c>
    </row>
    <row r="147" spans="1:18" x14ac:dyDescent="0.25">
      <c r="A147" t="s">
        <v>91</v>
      </c>
      <c r="B147" s="4">
        <v>644</v>
      </c>
      <c r="C147" s="4">
        <v>167</v>
      </c>
      <c r="D147" s="3">
        <v>2</v>
      </c>
      <c r="E147" t="s">
        <v>885</v>
      </c>
      <c r="F147" t="s">
        <v>892</v>
      </c>
      <c r="G147" t="s">
        <v>887</v>
      </c>
      <c r="H147" s="6">
        <f>_xlfn.XLOOKUP(A147,Orders[OrderID],Orders[OrderDate])</f>
        <v>43113</v>
      </c>
      <c r="I147" t="str">
        <f>_xlfn.XLOOKUP(A147,Orders[OrderID],Orders[CustomerName])</f>
        <v>Shruti</v>
      </c>
      <c r="J147" t="str">
        <f>_xlfn.XLOOKUP(A147,Orders[OrderID],Orders[State])</f>
        <v>Madhya Pradesh</v>
      </c>
      <c r="K147" t="str">
        <f>_xlfn.XLOOKUP(A147,Orders[OrderID],Orders[City])</f>
        <v>Indore</v>
      </c>
      <c r="L147" s="3">
        <f>YEAR(Clean_Data[[#This Row],[OrderDate]])</f>
        <v>2018</v>
      </c>
      <c r="M147" s="3">
        <f>MONTH(Clean_Data[[#This Row],[OrderDate]])</f>
        <v>1</v>
      </c>
      <c r="N147" s="8" t="str">
        <f>TEXT(Clean_Data[[#This Row],[OrderDate]],"mmm")</f>
        <v>Jan</v>
      </c>
      <c r="O147" s="8" t="str">
        <f>TEXT(Clean_Data[[#This Row],[OrderDate]], "yyyy-mm")</f>
        <v>2018-01</v>
      </c>
      <c r="P147" s="7">
        <f>Clean_Data[[#This Row],[Profit]]/Clean_Data[[#This Row],[Revenue ]]</f>
        <v>0.25931677018633542</v>
      </c>
      <c r="Q147" t="str">
        <f>"Q"&amp;ROUNDUP(MONTH(Clean_Data[[#This Row],[OrderDate]])/3,0)</f>
        <v>Q1</v>
      </c>
      <c r="R147" t="str">
        <f>TEXT(Clean_Data[[#This Row],[OrderDate]], "dddd")</f>
        <v>Saturday</v>
      </c>
    </row>
    <row r="148" spans="1:18" x14ac:dyDescent="0.25">
      <c r="A148" t="s">
        <v>324</v>
      </c>
      <c r="B148" s="4">
        <v>643</v>
      </c>
      <c r="C148" s="4">
        <v>225</v>
      </c>
      <c r="D148" s="3">
        <v>2</v>
      </c>
      <c r="E148" t="s">
        <v>885</v>
      </c>
      <c r="F148" t="s">
        <v>892</v>
      </c>
      <c r="G148" t="s">
        <v>887</v>
      </c>
      <c r="H148" s="6">
        <f>_xlfn.XLOOKUP(A148,Orders[OrderID],Orders[OrderDate])</f>
        <v>43407</v>
      </c>
      <c r="I148" t="str">
        <f>_xlfn.XLOOKUP(A148,Orders[OrderID],Orders[CustomerName])</f>
        <v>Aniket</v>
      </c>
      <c r="J148" t="str">
        <f>_xlfn.XLOOKUP(A148,Orders[OrderID],Orders[State])</f>
        <v>Haryana</v>
      </c>
      <c r="K148" t="str">
        <f>_xlfn.XLOOKUP(A148,Orders[OrderID],Orders[City])</f>
        <v>Chandigarh</v>
      </c>
      <c r="L148" s="3">
        <f>YEAR(Clean_Data[[#This Row],[OrderDate]])</f>
        <v>2018</v>
      </c>
      <c r="M148" s="3">
        <f>MONTH(Clean_Data[[#This Row],[OrderDate]])</f>
        <v>11</v>
      </c>
      <c r="N148" s="8" t="str">
        <f>TEXT(Clean_Data[[#This Row],[OrderDate]],"mmm")</f>
        <v>Nov</v>
      </c>
      <c r="O148" s="8" t="str">
        <f>TEXT(Clean_Data[[#This Row],[OrderDate]], "yyyy-mm")</f>
        <v>2018-11</v>
      </c>
      <c r="P148" s="7">
        <f>Clean_Data[[#This Row],[Profit]]/Clean_Data[[#This Row],[Revenue ]]</f>
        <v>0.34992223950233281</v>
      </c>
      <c r="Q148" t="str">
        <f>"Q"&amp;ROUNDUP(MONTH(Clean_Data[[#This Row],[OrderDate]])/3,0)</f>
        <v>Q4</v>
      </c>
      <c r="R148" t="str">
        <f>TEXT(Clean_Data[[#This Row],[OrderDate]], "dddd")</f>
        <v>Saturday</v>
      </c>
    </row>
    <row r="149" spans="1:18" x14ac:dyDescent="0.25">
      <c r="A149" t="s">
        <v>337</v>
      </c>
      <c r="B149" s="4">
        <v>632</v>
      </c>
      <c r="C149" s="4">
        <v>-316</v>
      </c>
      <c r="D149" s="3">
        <v>6</v>
      </c>
      <c r="E149" t="s">
        <v>895</v>
      </c>
      <c r="F149" t="s">
        <v>897</v>
      </c>
      <c r="G149" t="s">
        <v>887</v>
      </c>
      <c r="H149" s="6">
        <f>_xlfn.XLOOKUP(A149,Orders[OrderID],Orders[OrderDate])</f>
        <v>43367</v>
      </c>
      <c r="I149" t="str">
        <f>_xlfn.XLOOKUP(A149,Orders[OrderID],Orders[CustomerName])</f>
        <v>Sukrith</v>
      </c>
      <c r="J149" t="str">
        <f>_xlfn.XLOOKUP(A149,Orders[OrderID],Orders[State])</f>
        <v>Maharashtra</v>
      </c>
      <c r="K149" t="str">
        <f>_xlfn.XLOOKUP(A149,Orders[OrderID],Orders[City])</f>
        <v>Mumbai</v>
      </c>
      <c r="L149" s="3">
        <f>YEAR(Clean_Data[[#This Row],[OrderDate]])</f>
        <v>2018</v>
      </c>
      <c r="M149" s="3">
        <f>MONTH(Clean_Data[[#This Row],[OrderDate]])</f>
        <v>9</v>
      </c>
      <c r="N149" s="8" t="str">
        <f>TEXT(Clean_Data[[#This Row],[OrderDate]],"mmm")</f>
        <v>Sep</v>
      </c>
      <c r="O149" s="8" t="str">
        <f>TEXT(Clean_Data[[#This Row],[OrderDate]], "yyyy-mm")</f>
        <v>2018-09</v>
      </c>
      <c r="P149" s="7">
        <f>Clean_Data[[#This Row],[Profit]]/Clean_Data[[#This Row],[Revenue ]]</f>
        <v>-0.5</v>
      </c>
      <c r="Q149" t="str">
        <f>"Q"&amp;ROUNDUP(MONTH(Clean_Data[[#This Row],[OrderDate]])/3,0)</f>
        <v>Q3</v>
      </c>
      <c r="R149" t="str">
        <f>TEXT(Clean_Data[[#This Row],[OrderDate]], "dddd")</f>
        <v>Monday</v>
      </c>
    </row>
    <row r="150" spans="1:18" x14ac:dyDescent="0.25">
      <c r="A150" t="s">
        <v>335</v>
      </c>
      <c r="B150" s="4">
        <v>632</v>
      </c>
      <c r="C150" s="4">
        <v>316</v>
      </c>
      <c r="D150" s="3">
        <v>6</v>
      </c>
      <c r="E150" t="s">
        <v>895</v>
      </c>
      <c r="F150" t="s">
        <v>897</v>
      </c>
      <c r="G150" t="s">
        <v>887</v>
      </c>
      <c r="H150" s="6">
        <f>_xlfn.XLOOKUP(A150,Orders[OrderID],Orders[OrderDate])</f>
        <v>43269</v>
      </c>
      <c r="I150" t="str">
        <f>_xlfn.XLOOKUP(A150,Orders[OrderID],Orders[CustomerName])</f>
        <v>Parna</v>
      </c>
      <c r="J150" t="str">
        <f>_xlfn.XLOOKUP(A150,Orders[OrderID],Orders[State])</f>
        <v>Madhya Pradesh</v>
      </c>
      <c r="K150" t="str">
        <f>_xlfn.XLOOKUP(A150,Orders[OrderID],Orders[City])</f>
        <v>Bhopal</v>
      </c>
      <c r="L150" s="3">
        <f>YEAR(Clean_Data[[#This Row],[OrderDate]])</f>
        <v>2018</v>
      </c>
      <c r="M150" s="3">
        <f>MONTH(Clean_Data[[#This Row],[OrderDate]])</f>
        <v>6</v>
      </c>
      <c r="N150" s="8" t="str">
        <f>TEXT(Clean_Data[[#This Row],[OrderDate]],"mmm")</f>
        <v>Jun</v>
      </c>
      <c r="O150" s="8" t="str">
        <f>TEXT(Clean_Data[[#This Row],[OrderDate]], "yyyy-mm")</f>
        <v>2018-06</v>
      </c>
      <c r="P150" s="7">
        <f>Clean_Data[[#This Row],[Profit]]/Clean_Data[[#This Row],[Revenue ]]</f>
        <v>0.5</v>
      </c>
      <c r="Q150" t="str">
        <f>"Q"&amp;ROUNDUP(MONTH(Clean_Data[[#This Row],[OrderDate]])/3,0)</f>
        <v>Q2</v>
      </c>
      <c r="R150" t="str">
        <f>TEXT(Clean_Data[[#This Row],[OrderDate]], "dddd")</f>
        <v>Monday</v>
      </c>
    </row>
    <row r="151" spans="1:18" x14ac:dyDescent="0.25">
      <c r="A151" t="s">
        <v>7</v>
      </c>
      <c r="B151" s="4">
        <v>610</v>
      </c>
      <c r="C151" s="4">
        <v>208</v>
      </c>
      <c r="D151" s="3">
        <v>3</v>
      </c>
      <c r="E151" t="s">
        <v>885</v>
      </c>
      <c r="F151" t="s">
        <v>892</v>
      </c>
      <c r="G151" t="s">
        <v>887</v>
      </c>
      <c r="H151" s="6">
        <f>_xlfn.XLOOKUP(A151,Orders[OrderID],Orders[OrderDate])</f>
        <v>43134</v>
      </c>
      <c r="I151" t="str">
        <f>_xlfn.XLOOKUP(A151,Orders[OrderID],Orders[CustomerName])</f>
        <v>Madhav</v>
      </c>
      <c r="J151" t="str">
        <f>_xlfn.XLOOKUP(A151,Orders[OrderID],Orders[State])</f>
        <v>Delhi</v>
      </c>
      <c r="K151" t="str">
        <f>_xlfn.XLOOKUP(A151,Orders[OrderID],Orders[City])</f>
        <v>Delhi</v>
      </c>
      <c r="L151" s="3">
        <f>YEAR(Clean_Data[[#This Row],[OrderDate]])</f>
        <v>2018</v>
      </c>
      <c r="M151" s="3">
        <f>MONTH(Clean_Data[[#This Row],[OrderDate]])</f>
        <v>2</v>
      </c>
      <c r="N151" s="8" t="str">
        <f>TEXT(Clean_Data[[#This Row],[OrderDate]],"mmm")</f>
        <v>Feb</v>
      </c>
      <c r="O151" s="8" t="str">
        <f>TEXT(Clean_Data[[#This Row],[OrderDate]], "yyyy-mm")</f>
        <v>2018-02</v>
      </c>
      <c r="P151" s="7">
        <f>Clean_Data[[#This Row],[Profit]]/Clean_Data[[#This Row],[Revenue ]]</f>
        <v>0.34098360655737703</v>
      </c>
      <c r="Q151" t="str">
        <f>"Q"&amp;ROUNDUP(MONTH(Clean_Data[[#This Row],[OrderDate]])/3,0)</f>
        <v>Q1</v>
      </c>
      <c r="R151" t="str">
        <f>TEXT(Clean_Data[[#This Row],[OrderDate]], "dddd")</f>
        <v>Saturday</v>
      </c>
    </row>
    <row r="152" spans="1:18" x14ac:dyDescent="0.25">
      <c r="A152" t="s">
        <v>267</v>
      </c>
      <c r="B152" s="4">
        <v>78</v>
      </c>
      <c r="C152" s="4">
        <v>-28</v>
      </c>
      <c r="D152" s="3">
        <v>6</v>
      </c>
      <c r="E152" t="s">
        <v>895</v>
      </c>
      <c r="F152" t="s">
        <v>900</v>
      </c>
      <c r="G152" t="s">
        <v>898</v>
      </c>
      <c r="H152" s="6">
        <f>_xlfn.XLOOKUP(A152,Orders[OrderID],Orders[OrderDate])</f>
        <v>43167</v>
      </c>
      <c r="I152" t="str">
        <f>_xlfn.XLOOKUP(A152,Orders[OrderID],Orders[CustomerName])</f>
        <v>Ajay</v>
      </c>
      <c r="J152" t="str">
        <f>_xlfn.XLOOKUP(A152,Orders[OrderID],Orders[State])</f>
        <v>Karnataka</v>
      </c>
      <c r="K152" t="str">
        <f>_xlfn.XLOOKUP(A152,Orders[OrderID],Orders[City])</f>
        <v>Bangalore</v>
      </c>
      <c r="L152" s="3">
        <f>YEAR(Clean_Data[[#This Row],[OrderDate]])</f>
        <v>2018</v>
      </c>
      <c r="M152" s="3">
        <f>MONTH(Clean_Data[[#This Row],[OrderDate]])</f>
        <v>3</v>
      </c>
      <c r="N152" s="8" t="str">
        <f>TEXT(Clean_Data[[#This Row],[OrderDate]],"mmm")</f>
        <v>Mar</v>
      </c>
      <c r="O152" s="8" t="str">
        <f>TEXT(Clean_Data[[#This Row],[OrderDate]], "yyyy-mm")</f>
        <v>2018-03</v>
      </c>
      <c r="P152" s="7">
        <f>Clean_Data[[#This Row],[Profit]]/Clean_Data[[#This Row],[Revenue ]]</f>
        <v>-0.35897435897435898</v>
      </c>
      <c r="Q152" t="str">
        <f>"Q"&amp;ROUNDUP(MONTH(Clean_Data[[#This Row],[OrderDate]])/3,0)</f>
        <v>Q1</v>
      </c>
      <c r="R152" t="str">
        <f>TEXT(Clean_Data[[#This Row],[OrderDate]], "dddd")</f>
        <v>Thursday</v>
      </c>
    </row>
    <row r="153" spans="1:18" x14ac:dyDescent="0.25">
      <c r="A153" t="s">
        <v>348</v>
      </c>
      <c r="B153" s="4">
        <v>595</v>
      </c>
      <c r="C153" s="4">
        <v>119</v>
      </c>
      <c r="D153" s="3">
        <v>4</v>
      </c>
      <c r="E153" t="s">
        <v>888</v>
      </c>
      <c r="F153" t="s">
        <v>891</v>
      </c>
      <c r="G153" t="s">
        <v>887</v>
      </c>
      <c r="H153" s="6">
        <f>_xlfn.XLOOKUP(A153,Orders[OrderID],Orders[OrderDate])</f>
        <v>43103</v>
      </c>
      <c r="I153" t="str">
        <f>_xlfn.XLOOKUP(A153,Orders[OrderID],Orders[CustomerName])</f>
        <v>Monica</v>
      </c>
      <c r="J153" t="str">
        <f>_xlfn.XLOOKUP(A153,Orders[OrderID],Orders[State])</f>
        <v>Punjab</v>
      </c>
      <c r="K153" t="str">
        <f>_xlfn.XLOOKUP(A153,Orders[OrderID],Orders[City])</f>
        <v>Chandigarh</v>
      </c>
      <c r="L153" s="3">
        <f>YEAR(Clean_Data[[#This Row],[OrderDate]])</f>
        <v>2018</v>
      </c>
      <c r="M153" s="3">
        <f>MONTH(Clean_Data[[#This Row],[OrderDate]])</f>
        <v>1</v>
      </c>
      <c r="N153" s="8" t="str">
        <f>TEXT(Clean_Data[[#This Row],[OrderDate]],"mmm")</f>
        <v>Jan</v>
      </c>
      <c r="O153" s="8" t="str">
        <f>TEXT(Clean_Data[[#This Row],[OrderDate]], "yyyy-mm")</f>
        <v>2018-01</v>
      </c>
      <c r="P153" s="7">
        <f>Clean_Data[[#This Row],[Profit]]/Clean_Data[[#This Row],[Revenue ]]</f>
        <v>0.2</v>
      </c>
      <c r="Q153" t="str">
        <f>"Q"&amp;ROUNDUP(MONTH(Clean_Data[[#This Row],[OrderDate]])/3,0)</f>
        <v>Q1</v>
      </c>
      <c r="R153" t="str">
        <f>TEXT(Clean_Data[[#This Row],[OrderDate]], "dddd")</f>
        <v>Wednesday</v>
      </c>
    </row>
    <row r="154" spans="1:18" x14ac:dyDescent="0.25">
      <c r="A154" t="s">
        <v>347</v>
      </c>
      <c r="B154" s="4">
        <v>595</v>
      </c>
      <c r="C154" s="4">
        <v>292</v>
      </c>
      <c r="D154" s="3">
        <v>3</v>
      </c>
      <c r="E154" t="s">
        <v>895</v>
      </c>
      <c r="F154" t="s">
        <v>897</v>
      </c>
      <c r="G154" t="s">
        <v>887</v>
      </c>
      <c r="H154" s="6">
        <f>_xlfn.XLOOKUP(A154,Orders[OrderID],Orders[OrderDate])</f>
        <v>43358</v>
      </c>
      <c r="I154" t="str">
        <f>_xlfn.XLOOKUP(A154,Orders[OrderID],Orders[CustomerName])</f>
        <v>Ayush</v>
      </c>
      <c r="J154" t="str">
        <f>_xlfn.XLOOKUP(A154,Orders[OrderID],Orders[State])</f>
        <v>West Bengal</v>
      </c>
      <c r="K154" t="str">
        <f>_xlfn.XLOOKUP(A154,Orders[OrderID],Orders[City])</f>
        <v>Kolkata</v>
      </c>
      <c r="L154" s="3">
        <f>YEAR(Clean_Data[[#This Row],[OrderDate]])</f>
        <v>2018</v>
      </c>
      <c r="M154" s="3">
        <f>MONTH(Clean_Data[[#This Row],[OrderDate]])</f>
        <v>9</v>
      </c>
      <c r="N154" s="8" t="str">
        <f>TEXT(Clean_Data[[#This Row],[OrderDate]],"mmm")</f>
        <v>Sep</v>
      </c>
      <c r="O154" s="8" t="str">
        <f>TEXT(Clean_Data[[#This Row],[OrderDate]], "yyyy-mm")</f>
        <v>2018-09</v>
      </c>
      <c r="P154" s="7">
        <f>Clean_Data[[#This Row],[Profit]]/Clean_Data[[#This Row],[Revenue ]]</f>
        <v>0.49075630252100838</v>
      </c>
      <c r="Q154" t="str">
        <f>"Q"&amp;ROUNDUP(MONTH(Clean_Data[[#This Row],[OrderDate]])/3,0)</f>
        <v>Q3</v>
      </c>
      <c r="R154" t="str">
        <f>TEXT(Clean_Data[[#This Row],[OrderDate]], "dddd")</f>
        <v>Saturday</v>
      </c>
    </row>
    <row r="155" spans="1:18" x14ac:dyDescent="0.25">
      <c r="A155" t="s">
        <v>26</v>
      </c>
      <c r="B155" s="4">
        <v>852</v>
      </c>
      <c r="C155" s="4">
        <v>51</v>
      </c>
      <c r="D155" s="3">
        <v>5</v>
      </c>
      <c r="E155" t="s">
        <v>888</v>
      </c>
      <c r="F155" t="s">
        <v>891</v>
      </c>
      <c r="G155" t="s">
        <v>893</v>
      </c>
      <c r="H155" s="6">
        <f>_xlfn.XLOOKUP(A155,Orders[OrderID],Orders[OrderDate])</f>
        <v>43186</v>
      </c>
      <c r="I155" t="str">
        <f>_xlfn.XLOOKUP(A155,Orders[OrderID],Orders[CustomerName])</f>
        <v>Sarita</v>
      </c>
      <c r="J155" t="str">
        <f>_xlfn.XLOOKUP(A155,Orders[OrderID],Orders[State])</f>
        <v>Maharashtra</v>
      </c>
      <c r="K155" t="str">
        <f>_xlfn.XLOOKUP(A155,Orders[OrderID],Orders[City])</f>
        <v>Pune</v>
      </c>
      <c r="L155" s="3">
        <f>YEAR(Clean_Data[[#This Row],[OrderDate]])</f>
        <v>2018</v>
      </c>
      <c r="M155" s="3">
        <f>MONTH(Clean_Data[[#This Row],[OrderDate]])</f>
        <v>3</v>
      </c>
      <c r="N155" s="8" t="str">
        <f>TEXT(Clean_Data[[#This Row],[OrderDate]],"mmm")</f>
        <v>Mar</v>
      </c>
      <c r="O155" s="8" t="str">
        <f>TEXT(Clean_Data[[#This Row],[OrderDate]], "yyyy-mm")</f>
        <v>2018-03</v>
      </c>
      <c r="P155" s="7">
        <f>Clean_Data[[#This Row],[Profit]]/Clean_Data[[#This Row],[Revenue ]]</f>
        <v>5.9859154929577461E-2</v>
      </c>
      <c r="Q155" t="str">
        <f>"Q"&amp;ROUNDUP(MONTH(Clean_Data[[#This Row],[OrderDate]])/3,0)</f>
        <v>Q1</v>
      </c>
      <c r="R155" t="str">
        <f>TEXT(Clean_Data[[#This Row],[OrderDate]], "dddd")</f>
        <v>Tuesday</v>
      </c>
    </row>
    <row r="156" spans="1:18" x14ac:dyDescent="0.25">
      <c r="A156" t="s">
        <v>350</v>
      </c>
      <c r="B156" s="4">
        <v>594</v>
      </c>
      <c r="C156" s="4">
        <v>89</v>
      </c>
      <c r="D156" s="3">
        <v>3</v>
      </c>
      <c r="E156" t="s">
        <v>888</v>
      </c>
      <c r="F156" t="s">
        <v>891</v>
      </c>
      <c r="G156" t="s">
        <v>887</v>
      </c>
      <c r="H156" s="6">
        <f>_xlfn.XLOOKUP(A156,Orders[OrderID],Orders[OrderDate])</f>
        <v>43168</v>
      </c>
      <c r="I156" t="str">
        <f>_xlfn.XLOOKUP(A156,Orders[OrderID],Orders[CustomerName])</f>
        <v>Kirti</v>
      </c>
      <c r="J156" t="str">
        <f>_xlfn.XLOOKUP(A156,Orders[OrderID],Orders[State])</f>
        <v>Jammu and Kashmir</v>
      </c>
      <c r="K156" t="str">
        <f>_xlfn.XLOOKUP(A156,Orders[OrderID],Orders[City])</f>
        <v>Kashmir</v>
      </c>
      <c r="L156" s="3">
        <f>YEAR(Clean_Data[[#This Row],[OrderDate]])</f>
        <v>2018</v>
      </c>
      <c r="M156" s="3">
        <f>MONTH(Clean_Data[[#This Row],[OrderDate]])</f>
        <v>3</v>
      </c>
      <c r="N156" s="8" t="str">
        <f>TEXT(Clean_Data[[#This Row],[OrderDate]],"mmm")</f>
        <v>Mar</v>
      </c>
      <c r="O156" s="8" t="str">
        <f>TEXT(Clean_Data[[#This Row],[OrderDate]], "yyyy-mm")</f>
        <v>2018-03</v>
      </c>
      <c r="P156" s="7">
        <f>Clean_Data[[#This Row],[Profit]]/Clean_Data[[#This Row],[Revenue ]]</f>
        <v>0.14983164983164984</v>
      </c>
      <c r="Q156" t="str">
        <f>"Q"&amp;ROUNDUP(MONTH(Clean_Data[[#This Row],[OrderDate]])/3,0)</f>
        <v>Q1</v>
      </c>
      <c r="R156" t="str">
        <f>TEXT(Clean_Data[[#This Row],[OrderDate]], "dddd")</f>
        <v>Friday</v>
      </c>
    </row>
    <row r="157" spans="1:18" x14ac:dyDescent="0.25">
      <c r="A157" t="s">
        <v>261</v>
      </c>
      <c r="B157" s="4">
        <v>585</v>
      </c>
      <c r="C157" s="4">
        <v>175</v>
      </c>
      <c r="D157" s="3">
        <v>13</v>
      </c>
      <c r="E157" t="s">
        <v>895</v>
      </c>
      <c r="F157" t="s">
        <v>906</v>
      </c>
      <c r="G157" t="s">
        <v>887</v>
      </c>
      <c r="H157" s="6">
        <f>_xlfn.XLOOKUP(A157,Orders[OrderID],Orders[OrderDate])</f>
        <v>43146</v>
      </c>
      <c r="I157" t="str">
        <f>_xlfn.XLOOKUP(A157,Orders[OrderID],Orders[CustomerName])</f>
        <v>Jitesh</v>
      </c>
      <c r="J157" t="str">
        <f>_xlfn.XLOOKUP(A157,Orders[OrderID],Orders[State])</f>
        <v>Uttar Pradesh</v>
      </c>
      <c r="K157" t="str">
        <f>_xlfn.XLOOKUP(A157,Orders[OrderID],Orders[City])</f>
        <v>Lucknow</v>
      </c>
      <c r="L157" s="3">
        <f>YEAR(Clean_Data[[#This Row],[OrderDate]])</f>
        <v>2018</v>
      </c>
      <c r="M157" s="3">
        <f>MONTH(Clean_Data[[#This Row],[OrderDate]])</f>
        <v>2</v>
      </c>
      <c r="N157" s="8" t="str">
        <f>TEXT(Clean_Data[[#This Row],[OrderDate]],"mmm")</f>
        <v>Feb</v>
      </c>
      <c r="O157" s="8" t="str">
        <f>TEXT(Clean_Data[[#This Row],[OrderDate]], "yyyy-mm")</f>
        <v>2018-02</v>
      </c>
      <c r="P157" s="7">
        <f>Clean_Data[[#This Row],[Profit]]/Clean_Data[[#This Row],[Revenue ]]</f>
        <v>0.29914529914529914</v>
      </c>
      <c r="Q157" t="str">
        <f>"Q"&amp;ROUNDUP(MONTH(Clean_Data[[#This Row],[OrderDate]])/3,0)</f>
        <v>Q1</v>
      </c>
      <c r="R157" t="str">
        <f>TEXT(Clean_Data[[#This Row],[OrderDate]], "dddd")</f>
        <v>Thursday</v>
      </c>
    </row>
    <row r="158" spans="1:18" x14ac:dyDescent="0.25">
      <c r="A158" t="s">
        <v>351</v>
      </c>
      <c r="B158" s="4">
        <v>582</v>
      </c>
      <c r="C158" s="4">
        <v>262</v>
      </c>
      <c r="D158" s="3">
        <v>5</v>
      </c>
      <c r="E158" t="s">
        <v>888</v>
      </c>
      <c r="F158" t="s">
        <v>908</v>
      </c>
      <c r="G158" t="s">
        <v>887</v>
      </c>
      <c r="H158" s="6">
        <f>_xlfn.XLOOKUP(A158,Orders[OrderID],Orders[OrderDate])</f>
        <v>43177</v>
      </c>
      <c r="I158" t="str">
        <f>_xlfn.XLOOKUP(A158,Orders[OrderID],Orders[CustomerName])</f>
        <v>Shruti</v>
      </c>
      <c r="J158" t="str">
        <f>_xlfn.XLOOKUP(A158,Orders[OrderID],Orders[State])</f>
        <v>Karnataka</v>
      </c>
      <c r="K158" t="str">
        <f>_xlfn.XLOOKUP(A158,Orders[OrderID],Orders[City])</f>
        <v>Bangalore</v>
      </c>
      <c r="L158" s="3">
        <f>YEAR(Clean_Data[[#This Row],[OrderDate]])</f>
        <v>2018</v>
      </c>
      <c r="M158" s="3">
        <f>MONTH(Clean_Data[[#This Row],[OrderDate]])</f>
        <v>3</v>
      </c>
      <c r="N158" s="8" t="str">
        <f>TEXT(Clean_Data[[#This Row],[OrderDate]],"mmm")</f>
        <v>Mar</v>
      </c>
      <c r="O158" s="8" t="str">
        <f>TEXT(Clean_Data[[#This Row],[OrderDate]], "yyyy-mm")</f>
        <v>2018-03</v>
      </c>
      <c r="P158" s="7">
        <f>Clean_Data[[#This Row],[Profit]]/Clean_Data[[#This Row],[Revenue ]]</f>
        <v>0.45017182130584193</v>
      </c>
      <c r="Q158" t="str">
        <f>"Q"&amp;ROUNDUP(MONTH(Clean_Data[[#This Row],[OrderDate]])/3,0)</f>
        <v>Q1</v>
      </c>
      <c r="R158" t="str">
        <f>TEXT(Clean_Data[[#This Row],[OrderDate]], "dddd")</f>
        <v>Sunday</v>
      </c>
    </row>
    <row r="159" spans="1:18" x14ac:dyDescent="0.25">
      <c r="A159" t="s">
        <v>250</v>
      </c>
      <c r="B159" s="4">
        <v>845</v>
      </c>
      <c r="C159" s="4">
        <v>84</v>
      </c>
      <c r="D159" s="3">
        <v>7</v>
      </c>
      <c r="E159" t="s">
        <v>895</v>
      </c>
      <c r="F159" t="s">
        <v>897</v>
      </c>
      <c r="G159" t="s">
        <v>893</v>
      </c>
      <c r="H159" s="6">
        <f>_xlfn.XLOOKUP(A159,Orders[OrderID],Orders[OrderDate])</f>
        <v>43424</v>
      </c>
      <c r="I159" t="str">
        <f>_xlfn.XLOOKUP(A159,Orders[OrderID],Orders[CustomerName])</f>
        <v>Pranav</v>
      </c>
      <c r="J159" t="str">
        <f>_xlfn.XLOOKUP(A159,Orders[OrderID],Orders[State])</f>
        <v>Andhra Pradesh</v>
      </c>
      <c r="K159" t="str">
        <f>_xlfn.XLOOKUP(A159,Orders[OrderID],Orders[City])</f>
        <v>Hyderabad</v>
      </c>
      <c r="L159" s="3">
        <f>YEAR(Clean_Data[[#This Row],[OrderDate]])</f>
        <v>2018</v>
      </c>
      <c r="M159" s="3">
        <f>MONTH(Clean_Data[[#This Row],[OrderDate]])</f>
        <v>11</v>
      </c>
      <c r="N159" s="8" t="str">
        <f>TEXT(Clean_Data[[#This Row],[OrderDate]],"mmm")</f>
        <v>Nov</v>
      </c>
      <c r="O159" s="8" t="str">
        <f>TEXT(Clean_Data[[#This Row],[OrderDate]], "yyyy-mm")</f>
        <v>2018-11</v>
      </c>
      <c r="P159" s="7">
        <f>Clean_Data[[#This Row],[Profit]]/Clean_Data[[#This Row],[Revenue ]]</f>
        <v>9.9408284023668636E-2</v>
      </c>
      <c r="Q159" t="str">
        <f>"Q"&amp;ROUNDUP(MONTH(Clean_Data[[#This Row],[OrderDate]])/3,0)</f>
        <v>Q4</v>
      </c>
      <c r="R159" t="str">
        <f>TEXT(Clean_Data[[#This Row],[OrderDate]], "dddd")</f>
        <v>Tuesday</v>
      </c>
    </row>
    <row r="160" spans="1:18" x14ac:dyDescent="0.25">
      <c r="A160" t="s">
        <v>142</v>
      </c>
      <c r="B160" s="4">
        <v>829</v>
      </c>
      <c r="C160" s="4">
        <v>19</v>
      </c>
      <c r="D160" s="3">
        <v>4</v>
      </c>
      <c r="E160" t="s">
        <v>885</v>
      </c>
      <c r="F160" t="s">
        <v>892</v>
      </c>
      <c r="G160" t="s">
        <v>893</v>
      </c>
      <c r="H160" s="6">
        <f>_xlfn.XLOOKUP(A160,Orders[OrderID],Orders[OrderDate])</f>
        <v>43412</v>
      </c>
      <c r="I160" t="str">
        <f>_xlfn.XLOOKUP(A160,Orders[OrderID],Orders[CustomerName])</f>
        <v>Abhijeet</v>
      </c>
      <c r="J160" t="str">
        <f>_xlfn.XLOOKUP(A160,Orders[OrderID],Orders[State])</f>
        <v>Madhya Pradesh</v>
      </c>
      <c r="K160" t="str">
        <f>_xlfn.XLOOKUP(A160,Orders[OrderID],Orders[City])</f>
        <v>Bhopal</v>
      </c>
      <c r="L160" s="3">
        <f>YEAR(Clean_Data[[#This Row],[OrderDate]])</f>
        <v>2018</v>
      </c>
      <c r="M160" s="3">
        <f>MONTH(Clean_Data[[#This Row],[OrderDate]])</f>
        <v>11</v>
      </c>
      <c r="N160" s="8" t="str">
        <f>TEXT(Clean_Data[[#This Row],[OrderDate]],"mmm")</f>
        <v>Nov</v>
      </c>
      <c r="O160" s="8" t="str">
        <f>TEXT(Clean_Data[[#This Row],[OrderDate]], "yyyy-mm")</f>
        <v>2018-11</v>
      </c>
      <c r="P160" s="7">
        <f>Clean_Data[[#This Row],[Profit]]/Clean_Data[[#This Row],[Revenue ]]</f>
        <v>2.2919179734620022E-2</v>
      </c>
      <c r="Q160" t="str">
        <f>"Q"&amp;ROUNDUP(MONTH(Clean_Data[[#This Row],[OrderDate]])/3,0)</f>
        <v>Q4</v>
      </c>
      <c r="R160" t="str">
        <f>TEXT(Clean_Data[[#This Row],[OrderDate]], "dddd")</f>
        <v>Thursday</v>
      </c>
    </row>
    <row r="161" spans="1:18" x14ac:dyDescent="0.25">
      <c r="A161" t="s">
        <v>32</v>
      </c>
      <c r="B161" s="4">
        <v>561</v>
      </c>
      <c r="C161" s="4">
        <v>212</v>
      </c>
      <c r="D161" s="3">
        <v>3</v>
      </c>
      <c r="E161" t="s">
        <v>895</v>
      </c>
      <c r="F161" t="s">
        <v>897</v>
      </c>
      <c r="G161" t="s">
        <v>887</v>
      </c>
      <c r="H161" s="6">
        <f>_xlfn.XLOOKUP(A161,Orders[OrderID],Orders[OrderDate])</f>
        <v>43191</v>
      </c>
      <c r="I161" t="str">
        <f>_xlfn.XLOOKUP(A161,Orders[OrderID],Orders[CustomerName])</f>
        <v>Vrinda</v>
      </c>
      <c r="J161" t="str">
        <f>_xlfn.XLOOKUP(A161,Orders[OrderID],Orders[State])</f>
        <v>Maharashtra</v>
      </c>
      <c r="K161" t="str">
        <f>_xlfn.XLOOKUP(A161,Orders[OrderID],Orders[City])</f>
        <v>Pune</v>
      </c>
      <c r="L161" s="3">
        <f>YEAR(Clean_Data[[#This Row],[OrderDate]])</f>
        <v>2018</v>
      </c>
      <c r="M161" s="3">
        <f>MONTH(Clean_Data[[#This Row],[OrderDate]])</f>
        <v>4</v>
      </c>
      <c r="N161" s="8" t="str">
        <f>TEXT(Clean_Data[[#This Row],[OrderDate]],"mmm")</f>
        <v>Apr</v>
      </c>
      <c r="O161" s="8" t="str">
        <f>TEXT(Clean_Data[[#This Row],[OrderDate]], "yyyy-mm")</f>
        <v>2018-04</v>
      </c>
      <c r="P161" s="7">
        <f>Clean_Data[[#This Row],[Profit]]/Clean_Data[[#This Row],[Revenue ]]</f>
        <v>0.37789661319073081</v>
      </c>
      <c r="Q161" t="str">
        <f>"Q"&amp;ROUNDUP(MONTH(Clean_Data[[#This Row],[OrderDate]])/3,0)</f>
        <v>Q2</v>
      </c>
      <c r="R161" t="str">
        <f>TEXT(Clean_Data[[#This Row],[OrderDate]], "dddd")</f>
        <v>Sunday</v>
      </c>
    </row>
    <row r="162" spans="1:18" x14ac:dyDescent="0.25">
      <c r="A162" t="s">
        <v>206</v>
      </c>
      <c r="B162" s="4">
        <v>771</v>
      </c>
      <c r="C162" s="4">
        <v>-424</v>
      </c>
      <c r="D162" s="3">
        <v>2</v>
      </c>
      <c r="E162" t="s">
        <v>885</v>
      </c>
      <c r="F162" t="s">
        <v>894</v>
      </c>
      <c r="G162" t="s">
        <v>893</v>
      </c>
      <c r="H162" s="6">
        <f>_xlfn.XLOOKUP(A162,Orders[OrderID],Orders[OrderDate])</f>
        <v>43303</v>
      </c>
      <c r="I162" t="str">
        <f>_xlfn.XLOOKUP(A162,Orders[OrderID],Orders[CustomerName])</f>
        <v>Ameesha</v>
      </c>
      <c r="J162" t="str">
        <f>_xlfn.XLOOKUP(A162,Orders[OrderID],Orders[State])</f>
        <v>Maharashtra</v>
      </c>
      <c r="K162" t="str">
        <f>_xlfn.XLOOKUP(A162,Orders[OrderID],Orders[City])</f>
        <v>Pune</v>
      </c>
      <c r="L162" s="3">
        <f>YEAR(Clean_Data[[#This Row],[OrderDate]])</f>
        <v>2018</v>
      </c>
      <c r="M162" s="3">
        <f>MONTH(Clean_Data[[#This Row],[OrderDate]])</f>
        <v>7</v>
      </c>
      <c r="N162" s="8" t="str">
        <f>TEXT(Clean_Data[[#This Row],[OrderDate]],"mmm")</f>
        <v>Jul</v>
      </c>
      <c r="O162" s="8" t="str">
        <f>TEXT(Clean_Data[[#This Row],[OrderDate]], "yyyy-mm")</f>
        <v>2018-07</v>
      </c>
      <c r="P162" s="7">
        <f>Clean_Data[[#This Row],[Profit]]/Clean_Data[[#This Row],[Revenue ]]</f>
        <v>-0.54993514915693908</v>
      </c>
      <c r="Q162" t="str">
        <f>"Q"&amp;ROUNDUP(MONTH(Clean_Data[[#This Row],[OrderDate]])/3,0)</f>
        <v>Q3</v>
      </c>
      <c r="R162" t="str">
        <f>TEXT(Clean_Data[[#This Row],[OrderDate]], "dddd")</f>
        <v>Sunday</v>
      </c>
    </row>
    <row r="163" spans="1:18" x14ac:dyDescent="0.25">
      <c r="A163" t="s">
        <v>275</v>
      </c>
      <c r="B163" s="4">
        <v>765</v>
      </c>
      <c r="C163" s="4">
        <v>8</v>
      </c>
      <c r="D163" s="3">
        <v>6</v>
      </c>
      <c r="E163" t="s">
        <v>895</v>
      </c>
      <c r="F163" t="s">
        <v>897</v>
      </c>
      <c r="G163" t="s">
        <v>890</v>
      </c>
      <c r="H163" s="6">
        <f>_xlfn.XLOOKUP(A163,Orders[OrderID],Orders[OrderDate])</f>
        <v>43378</v>
      </c>
      <c r="I163" t="str">
        <f>_xlfn.XLOOKUP(A163,Orders[OrderID],Orders[CustomerName])</f>
        <v>Shivanshu</v>
      </c>
      <c r="J163" t="str">
        <f>_xlfn.XLOOKUP(A163,Orders[OrderID],Orders[State])</f>
        <v>Madhya Pradesh</v>
      </c>
      <c r="K163" t="str">
        <f>_xlfn.XLOOKUP(A163,Orders[OrderID],Orders[City])</f>
        <v>Indore</v>
      </c>
      <c r="L163" s="3">
        <f>YEAR(Clean_Data[[#This Row],[OrderDate]])</f>
        <v>2018</v>
      </c>
      <c r="M163" s="3">
        <f>MONTH(Clean_Data[[#This Row],[OrderDate]])</f>
        <v>10</v>
      </c>
      <c r="N163" s="8" t="str">
        <f>TEXT(Clean_Data[[#This Row],[OrderDate]],"mmm")</f>
        <v>Oct</v>
      </c>
      <c r="O163" s="8" t="str">
        <f>TEXT(Clean_Data[[#This Row],[OrderDate]], "yyyy-mm")</f>
        <v>2018-10</v>
      </c>
      <c r="P163" s="7">
        <f>Clean_Data[[#This Row],[Profit]]/Clean_Data[[#This Row],[Revenue ]]</f>
        <v>1.045751633986928E-2</v>
      </c>
      <c r="Q163" t="str">
        <f>"Q"&amp;ROUNDUP(MONTH(Clean_Data[[#This Row],[OrderDate]])/3,0)</f>
        <v>Q4</v>
      </c>
      <c r="R163" t="str">
        <f>TEXT(Clean_Data[[#This Row],[OrderDate]], "dddd")</f>
        <v>Friday</v>
      </c>
    </row>
    <row r="164" spans="1:18" x14ac:dyDescent="0.25">
      <c r="A164" t="s">
        <v>476</v>
      </c>
      <c r="B164" s="4">
        <v>31</v>
      </c>
      <c r="C164" s="4">
        <v>2</v>
      </c>
      <c r="D164" s="3">
        <v>2</v>
      </c>
      <c r="E164" t="s">
        <v>895</v>
      </c>
      <c r="F164" t="s">
        <v>899</v>
      </c>
      <c r="G164" t="s">
        <v>887</v>
      </c>
      <c r="H164" s="6">
        <f>_xlfn.XLOOKUP(A164,Orders[OrderID],Orders[OrderDate])</f>
        <v>43135</v>
      </c>
      <c r="I164" t="str">
        <f>_xlfn.XLOOKUP(A164,Orders[OrderID],Orders[CustomerName])</f>
        <v>Prashant</v>
      </c>
      <c r="J164" t="str">
        <f>_xlfn.XLOOKUP(A164,Orders[OrderID],Orders[State])</f>
        <v>Delhi</v>
      </c>
      <c r="K164" t="str">
        <f>_xlfn.XLOOKUP(A164,Orders[OrderID],Orders[City])</f>
        <v>Delhi</v>
      </c>
      <c r="L164" s="3">
        <f>YEAR(Clean_Data[[#This Row],[OrderDate]])</f>
        <v>2018</v>
      </c>
      <c r="M164" s="3">
        <f>MONTH(Clean_Data[[#This Row],[OrderDate]])</f>
        <v>2</v>
      </c>
      <c r="N164" s="8" t="str">
        <f>TEXT(Clean_Data[[#This Row],[OrderDate]],"mmm")</f>
        <v>Feb</v>
      </c>
      <c r="O164" s="8" t="str">
        <f>TEXT(Clean_Data[[#This Row],[OrderDate]], "yyyy-mm")</f>
        <v>2018-02</v>
      </c>
      <c r="P164" s="7">
        <f>Clean_Data[[#This Row],[Profit]]/Clean_Data[[#This Row],[Revenue ]]</f>
        <v>6.4516129032258063E-2</v>
      </c>
      <c r="Q164" t="str">
        <f>"Q"&amp;ROUNDUP(MONTH(Clean_Data[[#This Row],[OrderDate]])/3,0)</f>
        <v>Q1</v>
      </c>
      <c r="R164" t="str">
        <f>TEXT(Clean_Data[[#This Row],[OrderDate]], "dddd")</f>
        <v>Sunday</v>
      </c>
    </row>
    <row r="165" spans="1:18" x14ac:dyDescent="0.25">
      <c r="A165" t="s">
        <v>360</v>
      </c>
      <c r="B165" s="4">
        <v>557</v>
      </c>
      <c r="C165" s="4">
        <v>-111</v>
      </c>
      <c r="D165" s="3">
        <v>2</v>
      </c>
      <c r="E165" t="s">
        <v>885</v>
      </c>
      <c r="F165" t="s">
        <v>886</v>
      </c>
      <c r="G165" t="s">
        <v>887</v>
      </c>
      <c r="H165" s="6">
        <f>_xlfn.XLOOKUP(A165,Orders[OrderID],Orders[OrderDate])</f>
        <v>43181</v>
      </c>
      <c r="I165" t="str">
        <f>_xlfn.XLOOKUP(A165,Orders[OrderID],Orders[CustomerName])</f>
        <v>Kasheen</v>
      </c>
      <c r="J165" t="str">
        <f>_xlfn.XLOOKUP(A165,Orders[OrderID],Orders[State])</f>
        <v>West Bengal</v>
      </c>
      <c r="K165" t="str">
        <f>_xlfn.XLOOKUP(A165,Orders[OrderID],Orders[City])</f>
        <v>Kolkata</v>
      </c>
      <c r="L165" s="3">
        <f>YEAR(Clean_Data[[#This Row],[OrderDate]])</f>
        <v>2018</v>
      </c>
      <c r="M165" s="3">
        <f>MONTH(Clean_Data[[#This Row],[OrderDate]])</f>
        <v>3</v>
      </c>
      <c r="N165" s="8" t="str">
        <f>TEXT(Clean_Data[[#This Row],[OrderDate]],"mmm")</f>
        <v>Mar</v>
      </c>
      <c r="O165" s="8" t="str">
        <f>TEXT(Clean_Data[[#This Row],[OrderDate]], "yyyy-mm")</f>
        <v>2018-03</v>
      </c>
      <c r="P165" s="7">
        <f>Clean_Data[[#This Row],[Profit]]/Clean_Data[[#This Row],[Revenue ]]</f>
        <v>-0.1992818671454219</v>
      </c>
      <c r="Q165" t="str">
        <f>"Q"&amp;ROUNDUP(MONTH(Clean_Data[[#This Row],[OrderDate]])/3,0)</f>
        <v>Q1</v>
      </c>
      <c r="R165" t="str">
        <f>TEXT(Clean_Data[[#This Row],[OrderDate]], "dddd")</f>
        <v>Thursday</v>
      </c>
    </row>
    <row r="166" spans="1:18" x14ac:dyDescent="0.25">
      <c r="A166" t="s">
        <v>275</v>
      </c>
      <c r="B166" s="4">
        <v>757</v>
      </c>
      <c r="C166" s="4">
        <v>371</v>
      </c>
      <c r="D166" s="3">
        <v>2</v>
      </c>
      <c r="E166" t="s">
        <v>885</v>
      </c>
      <c r="F166" t="s">
        <v>892</v>
      </c>
      <c r="G166" t="s">
        <v>893</v>
      </c>
      <c r="H166" s="6">
        <f>_xlfn.XLOOKUP(A166,Orders[OrderID],Orders[OrderDate])</f>
        <v>43378</v>
      </c>
      <c r="I166" t="str">
        <f>_xlfn.XLOOKUP(A166,Orders[OrderID],Orders[CustomerName])</f>
        <v>Shivanshu</v>
      </c>
      <c r="J166" t="str">
        <f>_xlfn.XLOOKUP(A166,Orders[OrderID],Orders[State])</f>
        <v>Madhya Pradesh</v>
      </c>
      <c r="K166" t="str">
        <f>_xlfn.XLOOKUP(A166,Orders[OrderID],Orders[City])</f>
        <v>Indore</v>
      </c>
      <c r="L166" s="3">
        <f>YEAR(Clean_Data[[#This Row],[OrderDate]])</f>
        <v>2018</v>
      </c>
      <c r="M166" s="3">
        <f>MONTH(Clean_Data[[#This Row],[OrderDate]])</f>
        <v>10</v>
      </c>
      <c r="N166" s="8" t="str">
        <f>TEXT(Clean_Data[[#This Row],[OrderDate]],"mmm")</f>
        <v>Oct</v>
      </c>
      <c r="O166" s="8" t="str">
        <f>TEXT(Clean_Data[[#This Row],[OrderDate]], "yyyy-mm")</f>
        <v>2018-10</v>
      </c>
      <c r="P166" s="7">
        <f>Clean_Data[[#This Row],[Profit]]/Clean_Data[[#This Row],[Revenue ]]</f>
        <v>0.49009247027741082</v>
      </c>
      <c r="Q166" t="str">
        <f>"Q"&amp;ROUNDUP(MONTH(Clean_Data[[#This Row],[OrderDate]])/3,0)</f>
        <v>Q4</v>
      </c>
      <c r="R166" t="str">
        <f>TEXT(Clean_Data[[#This Row],[OrderDate]], "dddd")</f>
        <v>Friday</v>
      </c>
    </row>
    <row r="167" spans="1:18" x14ac:dyDescent="0.25">
      <c r="A167" t="s">
        <v>364</v>
      </c>
      <c r="B167" s="4">
        <v>545</v>
      </c>
      <c r="C167" s="4">
        <v>-73</v>
      </c>
      <c r="D167" s="3">
        <v>11</v>
      </c>
      <c r="E167" t="s">
        <v>885</v>
      </c>
      <c r="F167" t="s">
        <v>894</v>
      </c>
      <c r="G167" t="s">
        <v>887</v>
      </c>
      <c r="H167" s="6">
        <f>_xlfn.XLOOKUP(A167,Orders[OrderID],Orders[OrderDate])</f>
        <v>43258</v>
      </c>
      <c r="I167" t="str">
        <f>_xlfn.XLOOKUP(A167,Orders[OrderID],Orders[CustomerName])</f>
        <v>Krutika</v>
      </c>
      <c r="J167" t="str">
        <f>_xlfn.XLOOKUP(A167,Orders[OrderID],Orders[State])</f>
        <v>Bihar</v>
      </c>
      <c r="K167" t="str">
        <f>_xlfn.XLOOKUP(A167,Orders[OrderID],Orders[City])</f>
        <v>Patna</v>
      </c>
      <c r="L167" s="3">
        <f>YEAR(Clean_Data[[#This Row],[OrderDate]])</f>
        <v>2018</v>
      </c>
      <c r="M167" s="3">
        <f>MONTH(Clean_Data[[#This Row],[OrderDate]])</f>
        <v>6</v>
      </c>
      <c r="N167" s="8" t="str">
        <f>TEXT(Clean_Data[[#This Row],[OrderDate]],"mmm")</f>
        <v>Jun</v>
      </c>
      <c r="O167" s="8" t="str">
        <f>TEXT(Clean_Data[[#This Row],[OrderDate]], "yyyy-mm")</f>
        <v>2018-06</v>
      </c>
      <c r="P167" s="7">
        <f>Clean_Data[[#This Row],[Profit]]/Clean_Data[[#This Row],[Revenue ]]</f>
        <v>-0.13394495412844037</v>
      </c>
      <c r="Q167" t="str">
        <f>"Q"&amp;ROUNDUP(MONTH(Clean_Data[[#This Row],[OrderDate]])/3,0)</f>
        <v>Q2</v>
      </c>
      <c r="R167" t="str">
        <f>TEXT(Clean_Data[[#This Row],[OrderDate]], "dddd")</f>
        <v>Thursday</v>
      </c>
    </row>
    <row r="168" spans="1:18" x14ac:dyDescent="0.25">
      <c r="A168" t="s">
        <v>208</v>
      </c>
      <c r="B168" s="4">
        <v>1052</v>
      </c>
      <c r="C168" s="4">
        <v>-82</v>
      </c>
      <c r="D168" s="3">
        <v>3</v>
      </c>
      <c r="E168" t="s">
        <v>888</v>
      </c>
      <c r="F168" t="s">
        <v>891</v>
      </c>
      <c r="G168" t="s">
        <v>898</v>
      </c>
      <c r="H168" s="6">
        <f>_xlfn.XLOOKUP(A168,Orders[OrderID],Orders[OrderDate])</f>
        <v>43325</v>
      </c>
      <c r="I168" t="str">
        <f>_xlfn.XLOOKUP(A168,Orders[OrderID],Orders[CustomerName])</f>
        <v>Ayush</v>
      </c>
      <c r="J168" t="str">
        <f>_xlfn.XLOOKUP(A168,Orders[OrderID],Orders[State])</f>
        <v>Maharashtra</v>
      </c>
      <c r="K168" t="str">
        <f>_xlfn.XLOOKUP(A168,Orders[OrderID],Orders[City])</f>
        <v>Mumbai</v>
      </c>
      <c r="L168" s="3">
        <f>YEAR(Clean_Data[[#This Row],[OrderDate]])</f>
        <v>2018</v>
      </c>
      <c r="M168" s="3">
        <f>MONTH(Clean_Data[[#This Row],[OrderDate]])</f>
        <v>8</v>
      </c>
      <c r="N168" s="8" t="str">
        <f>TEXT(Clean_Data[[#This Row],[OrderDate]],"mmm")</f>
        <v>Aug</v>
      </c>
      <c r="O168" s="8" t="str">
        <f>TEXT(Clean_Data[[#This Row],[OrderDate]], "yyyy-mm")</f>
        <v>2018-08</v>
      </c>
      <c r="P168" s="7">
        <f>Clean_Data[[#This Row],[Profit]]/Clean_Data[[#This Row],[Revenue ]]</f>
        <v>-7.7946768060836502E-2</v>
      </c>
      <c r="Q168" t="str">
        <f>"Q"&amp;ROUNDUP(MONTH(Clean_Data[[#This Row],[OrderDate]])/3,0)</f>
        <v>Q3</v>
      </c>
      <c r="R168" t="str">
        <f>TEXT(Clean_Data[[#This Row],[OrderDate]], "dddd")</f>
        <v>Monday</v>
      </c>
    </row>
    <row r="169" spans="1:18" x14ac:dyDescent="0.25">
      <c r="A169" t="s">
        <v>365</v>
      </c>
      <c r="B169" s="4">
        <v>544</v>
      </c>
      <c r="C169" s="4">
        <v>-152</v>
      </c>
      <c r="D169" s="3">
        <v>3</v>
      </c>
      <c r="E169" t="s">
        <v>888</v>
      </c>
      <c r="F169" t="s">
        <v>891</v>
      </c>
      <c r="G169" t="s">
        <v>887</v>
      </c>
      <c r="H169" s="6">
        <f>_xlfn.XLOOKUP(A169,Orders[OrderID],Orders[OrderDate])</f>
        <v>43119</v>
      </c>
      <c r="I169" t="str">
        <f>_xlfn.XLOOKUP(A169,Orders[OrderID],Orders[CustomerName])</f>
        <v>Tejeswini</v>
      </c>
      <c r="J169" t="str">
        <f>_xlfn.XLOOKUP(A169,Orders[OrderID],Orders[State])</f>
        <v>Maharashtra</v>
      </c>
      <c r="K169" t="str">
        <f>_xlfn.XLOOKUP(A169,Orders[OrderID],Orders[City])</f>
        <v>Pune</v>
      </c>
      <c r="L169" s="3">
        <f>YEAR(Clean_Data[[#This Row],[OrderDate]])</f>
        <v>2018</v>
      </c>
      <c r="M169" s="3">
        <f>MONTH(Clean_Data[[#This Row],[OrderDate]])</f>
        <v>1</v>
      </c>
      <c r="N169" s="8" t="str">
        <f>TEXT(Clean_Data[[#This Row],[OrderDate]],"mmm")</f>
        <v>Jan</v>
      </c>
      <c r="O169" s="8" t="str">
        <f>TEXT(Clean_Data[[#This Row],[OrderDate]], "yyyy-mm")</f>
        <v>2018-01</v>
      </c>
      <c r="P169" s="7">
        <f>Clean_Data[[#This Row],[Profit]]/Clean_Data[[#This Row],[Revenue ]]</f>
        <v>-0.27941176470588236</v>
      </c>
      <c r="Q169" t="str">
        <f>"Q"&amp;ROUNDUP(MONTH(Clean_Data[[#This Row],[OrderDate]])/3,0)</f>
        <v>Q1</v>
      </c>
      <c r="R169" t="str">
        <f>TEXT(Clean_Data[[#This Row],[OrderDate]], "dddd")</f>
        <v>Friday</v>
      </c>
    </row>
    <row r="170" spans="1:18" x14ac:dyDescent="0.25">
      <c r="A170" t="s">
        <v>248</v>
      </c>
      <c r="B170" s="4">
        <v>22</v>
      </c>
      <c r="C170" s="4">
        <v>9</v>
      </c>
      <c r="D170" s="3">
        <v>2</v>
      </c>
      <c r="E170" t="s">
        <v>895</v>
      </c>
      <c r="F170" t="s">
        <v>904</v>
      </c>
      <c r="G170" t="s">
        <v>907</v>
      </c>
      <c r="H170" s="6">
        <f>_xlfn.XLOOKUP(A170,Orders[OrderID],Orders[OrderDate])</f>
        <v>43442</v>
      </c>
      <c r="I170" t="str">
        <f>_xlfn.XLOOKUP(A170,Orders[OrderID],Orders[CustomerName])</f>
        <v>Aishwarya</v>
      </c>
      <c r="J170" t="str">
        <f>_xlfn.XLOOKUP(A170,Orders[OrderID],Orders[State])</f>
        <v>Uttar Pradesh</v>
      </c>
      <c r="K170" t="str">
        <f>_xlfn.XLOOKUP(A170,Orders[OrderID],Orders[City])</f>
        <v>Prayagraj</v>
      </c>
      <c r="L170" s="3">
        <f>YEAR(Clean_Data[[#This Row],[OrderDate]])</f>
        <v>2018</v>
      </c>
      <c r="M170" s="3">
        <f>MONTH(Clean_Data[[#This Row],[OrderDate]])</f>
        <v>12</v>
      </c>
      <c r="N170" s="8" t="str">
        <f>TEXT(Clean_Data[[#This Row],[OrderDate]],"mmm")</f>
        <v>Dec</v>
      </c>
      <c r="O170" s="8" t="str">
        <f>TEXT(Clean_Data[[#This Row],[OrderDate]], "yyyy-mm")</f>
        <v>2018-12</v>
      </c>
      <c r="P170" s="7">
        <f>Clean_Data[[#This Row],[Profit]]/Clean_Data[[#This Row],[Revenue ]]</f>
        <v>0.40909090909090912</v>
      </c>
      <c r="Q170" t="str">
        <f>"Q"&amp;ROUNDUP(MONTH(Clean_Data[[#This Row],[OrderDate]])/3,0)</f>
        <v>Q4</v>
      </c>
      <c r="R170" t="str">
        <f>TEXT(Clean_Data[[#This Row],[OrderDate]], "dddd")</f>
        <v>Saturday</v>
      </c>
    </row>
    <row r="171" spans="1:18" x14ac:dyDescent="0.25">
      <c r="A171" t="s">
        <v>280</v>
      </c>
      <c r="B171" s="4">
        <v>757</v>
      </c>
      <c r="C171" s="4">
        <v>371</v>
      </c>
      <c r="D171" s="3">
        <v>2</v>
      </c>
      <c r="E171" t="s">
        <v>885</v>
      </c>
      <c r="F171" t="s">
        <v>892</v>
      </c>
      <c r="G171" t="s">
        <v>893</v>
      </c>
      <c r="H171" s="6">
        <f>_xlfn.XLOOKUP(A171,Orders[OrderID],Orders[OrderDate])</f>
        <v>43407</v>
      </c>
      <c r="I171" t="str">
        <f>_xlfn.XLOOKUP(A171,Orders[OrderID],Orders[CustomerName])</f>
        <v>Snel</v>
      </c>
      <c r="J171" t="str">
        <f>_xlfn.XLOOKUP(A171,Orders[OrderID],Orders[State])</f>
        <v xml:space="preserve">Kerala </v>
      </c>
      <c r="K171" t="str">
        <f>_xlfn.XLOOKUP(A171,Orders[OrderID],Orders[City])</f>
        <v>Thiruvananthapuram</v>
      </c>
      <c r="L171" s="3">
        <f>YEAR(Clean_Data[[#This Row],[OrderDate]])</f>
        <v>2018</v>
      </c>
      <c r="M171" s="3">
        <f>MONTH(Clean_Data[[#This Row],[OrderDate]])</f>
        <v>11</v>
      </c>
      <c r="N171" s="8" t="str">
        <f>TEXT(Clean_Data[[#This Row],[OrderDate]],"mmm")</f>
        <v>Nov</v>
      </c>
      <c r="O171" s="8" t="str">
        <f>TEXT(Clean_Data[[#This Row],[OrderDate]], "yyyy-mm")</f>
        <v>2018-11</v>
      </c>
      <c r="P171" s="7">
        <f>Clean_Data[[#This Row],[Profit]]/Clean_Data[[#This Row],[Revenue ]]</f>
        <v>0.49009247027741082</v>
      </c>
      <c r="Q171" t="str">
        <f>"Q"&amp;ROUNDUP(MONTH(Clean_Data[[#This Row],[OrderDate]])/3,0)</f>
        <v>Q4</v>
      </c>
      <c r="R171" t="str">
        <f>TEXT(Clean_Data[[#This Row],[OrderDate]], "dddd")</f>
        <v>Saturday</v>
      </c>
    </row>
    <row r="172" spans="1:18" x14ac:dyDescent="0.25">
      <c r="A172" t="s">
        <v>284</v>
      </c>
      <c r="B172" s="4">
        <v>742</v>
      </c>
      <c r="C172" s="4">
        <v>198</v>
      </c>
      <c r="D172" s="3">
        <v>2</v>
      </c>
      <c r="E172" t="s">
        <v>888</v>
      </c>
      <c r="F172" t="s">
        <v>891</v>
      </c>
      <c r="G172" t="s">
        <v>893</v>
      </c>
      <c r="H172" s="6">
        <f>_xlfn.XLOOKUP(A172,Orders[OrderID],Orders[OrderDate])</f>
        <v>43113</v>
      </c>
      <c r="I172" t="str">
        <f>_xlfn.XLOOKUP(A172,Orders[OrderID],Orders[CustomerName])</f>
        <v>Jesal</v>
      </c>
      <c r="J172" t="str">
        <f>_xlfn.XLOOKUP(A172,Orders[OrderID],Orders[State])</f>
        <v>West Bengal</v>
      </c>
      <c r="K172" t="str">
        <f>_xlfn.XLOOKUP(A172,Orders[OrderID],Orders[City])</f>
        <v>Kolkata</v>
      </c>
      <c r="L172" s="3">
        <f>YEAR(Clean_Data[[#This Row],[OrderDate]])</f>
        <v>2018</v>
      </c>
      <c r="M172" s="3">
        <f>MONTH(Clean_Data[[#This Row],[OrderDate]])</f>
        <v>1</v>
      </c>
      <c r="N172" s="8" t="str">
        <f>TEXT(Clean_Data[[#This Row],[OrderDate]],"mmm")</f>
        <v>Jan</v>
      </c>
      <c r="O172" s="8" t="str">
        <f>TEXT(Clean_Data[[#This Row],[OrderDate]], "yyyy-mm")</f>
        <v>2018-01</v>
      </c>
      <c r="P172" s="7">
        <f>Clean_Data[[#This Row],[Profit]]/Clean_Data[[#This Row],[Revenue ]]</f>
        <v>0.26684636118598382</v>
      </c>
      <c r="Q172" t="str">
        <f>"Q"&amp;ROUNDUP(MONTH(Clean_Data[[#This Row],[OrderDate]])/3,0)</f>
        <v>Q1</v>
      </c>
      <c r="R172" t="str">
        <f>TEXT(Clean_Data[[#This Row],[OrderDate]], "dddd")</f>
        <v>Saturday</v>
      </c>
    </row>
    <row r="173" spans="1:18" x14ac:dyDescent="0.25">
      <c r="A173" t="s">
        <v>369</v>
      </c>
      <c r="B173" s="4">
        <v>537</v>
      </c>
      <c r="C173" s="4">
        <v>107</v>
      </c>
      <c r="D173" s="3">
        <v>3</v>
      </c>
      <c r="E173" t="s">
        <v>895</v>
      </c>
      <c r="F173" t="s">
        <v>897</v>
      </c>
      <c r="G173" t="s">
        <v>887</v>
      </c>
      <c r="H173" s="6">
        <f>_xlfn.XLOOKUP(A173,Orders[OrderID],Orders[OrderDate])</f>
        <v>43397</v>
      </c>
      <c r="I173" t="str">
        <f>_xlfn.XLOOKUP(A173,Orders[OrderID],Orders[CustomerName])</f>
        <v>Nikita</v>
      </c>
      <c r="J173" t="str">
        <f>_xlfn.XLOOKUP(A173,Orders[OrderID],Orders[State])</f>
        <v>Punjab</v>
      </c>
      <c r="K173" t="str">
        <f>_xlfn.XLOOKUP(A173,Orders[OrderID],Orders[City])</f>
        <v>Chandigarh</v>
      </c>
      <c r="L173" s="3">
        <f>YEAR(Clean_Data[[#This Row],[OrderDate]])</f>
        <v>2018</v>
      </c>
      <c r="M173" s="3">
        <f>MONTH(Clean_Data[[#This Row],[OrderDate]])</f>
        <v>10</v>
      </c>
      <c r="N173" s="8" t="str">
        <f>TEXT(Clean_Data[[#This Row],[OrderDate]],"mmm")</f>
        <v>Oct</v>
      </c>
      <c r="O173" s="8" t="str">
        <f>TEXT(Clean_Data[[#This Row],[OrderDate]], "yyyy-mm")</f>
        <v>2018-10</v>
      </c>
      <c r="P173" s="7">
        <f>Clean_Data[[#This Row],[Profit]]/Clean_Data[[#This Row],[Revenue ]]</f>
        <v>0.19925512104283055</v>
      </c>
      <c r="Q173" t="str">
        <f>"Q"&amp;ROUNDUP(MONTH(Clean_Data[[#This Row],[OrderDate]])/3,0)</f>
        <v>Q4</v>
      </c>
      <c r="R173" t="str">
        <f>TEXT(Clean_Data[[#This Row],[OrderDate]], "dddd")</f>
        <v>Wednesday</v>
      </c>
    </row>
    <row r="174" spans="1:18" x14ac:dyDescent="0.25">
      <c r="A174" t="s">
        <v>275</v>
      </c>
      <c r="B174" s="4">
        <v>536</v>
      </c>
      <c r="C174" s="4">
        <v>91</v>
      </c>
      <c r="D174" s="3">
        <v>1</v>
      </c>
      <c r="E174" t="s">
        <v>895</v>
      </c>
      <c r="F174" t="s">
        <v>896</v>
      </c>
      <c r="G174" t="s">
        <v>887</v>
      </c>
      <c r="H174" s="6">
        <f>_xlfn.XLOOKUP(A174,Orders[OrderID],Orders[OrderDate])</f>
        <v>43378</v>
      </c>
      <c r="I174" t="str">
        <f>_xlfn.XLOOKUP(A174,Orders[OrderID],Orders[CustomerName])</f>
        <v>Shivanshu</v>
      </c>
      <c r="J174" t="str">
        <f>_xlfn.XLOOKUP(A174,Orders[OrderID],Orders[State])</f>
        <v>Madhya Pradesh</v>
      </c>
      <c r="K174" t="str">
        <f>_xlfn.XLOOKUP(A174,Orders[OrderID],Orders[City])</f>
        <v>Indore</v>
      </c>
      <c r="L174" s="3">
        <f>YEAR(Clean_Data[[#This Row],[OrderDate]])</f>
        <v>2018</v>
      </c>
      <c r="M174" s="3">
        <f>MONTH(Clean_Data[[#This Row],[OrderDate]])</f>
        <v>10</v>
      </c>
      <c r="N174" s="8" t="str">
        <f>TEXT(Clean_Data[[#This Row],[OrderDate]],"mmm")</f>
        <v>Oct</v>
      </c>
      <c r="O174" s="8" t="str">
        <f>TEXT(Clean_Data[[#This Row],[OrderDate]], "yyyy-mm")</f>
        <v>2018-10</v>
      </c>
      <c r="P174" s="7">
        <f>Clean_Data[[#This Row],[Profit]]/Clean_Data[[#This Row],[Revenue ]]</f>
        <v>0.16977611940298507</v>
      </c>
      <c r="Q174" t="str">
        <f>"Q"&amp;ROUNDUP(MONTH(Clean_Data[[#This Row],[OrderDate]])/3,0)</f>
        <v>Q4</v>
      </c>
      <c r="R174" t="str">
        <f>TEXT(Clean_Data[[#This Row],[OrderDate]], "dddd")</f>
        <v>Friday</v>
      </c>
    </row>
    <row r="175" spans="1:18" x14ac:dyDescent="0.25">
      <c r="A175" t="s">
        <v>124</v>
      </c>
      <c r="B175" s="4">
        <v>6</v>
      </c>
      <c r="C175" s="4">
        <v>3</v>
      </c>
      <c r="D175" s="3">
        <v>1</v>
      </c>
      <c r="E175" t="s">
        <v>895</v>
      </c>
      <c r="F175" t="s">
        <v>899</v>
      </c>
      <c r="G175" t="s">
        <v>887</v>
      </c>
      <c r="H175" s="6">
        <f>_xlfn.XLOOKUP(A175,Orders[OrderID],Orders[OrderDate])</f>
        <v>43231</v>
      </c>
      <c r="I175" t="str">
        <f>_xlfn.XLOOKUP(A175,Orders[OrderID],Orders[CustomerName])</f>
        <v>Priyanka</v>
      </c>
      <c r="J175" t="str">
        <f>_xlfn.XLOOKUP(A175,Orders[OrderID],Orders[State])</f>
        <v>Maharashtra</v>
      </c>
      <c r="K175" t="str">
        <f>_xlfn.XLOOKUP(A175,Orders[OrderID],Orders[City])</f>
        <v>Pune</v>
      </c>
      <c r="L175" s="3">
        <f>YEAR(Clean_Data[[#This Row],[OrderDate]])</f>
        <v>2018</v>
      </c>
      <c r="M175" s="3">
        <f>MONTH(Clean_Data[[#This Row],[OrderDate]])</f>
        <v>5</v>
      </c>
      <c r="N175" s="8" t="str">
        <f>TEXT(Clean_Data[[#This Row],[OrderDate]],"mmm")</f>
        <v>May</v>
      </c>
      <c r="O175" s="8" t="str">
        <f>TEXT(Clean_Data[[#This Row],[OrderDate]], "yyyy-mm")</f>
        <v>2018-05</v>
      </c>
      <c r="P175" s="7">
        <f>Clean_Data[[#This Row],[Profit]]/Clean_Data[[#This Row],[Revenue ]]</f>
        <v>0.5</v>
      </c>
      <c r="Q175" t="str">
        <f>"Q"&amp;ROUNDUP(MONTH(Clean_Data[[#This Row],[OrderDate]])/3,0)</f>
        <v>Q2</v>
      </c>
      <c r="R175" t="str">
        <f>TEXT(Clean_Data[[#This Row],[OrderDate]], "dddd")</f>
        <v>Friday</v>
      </c>
    </row>
    <row r="176" spans="1:18" x14ac:dyDescent="0.25">
      <c r="A176" t="s">
        <v>85</v>
      </c>
      <c r="B176" s="4">
        <v>523</v>
      </c>
      <c r="C176" s="4">
        <v>204</v>
      </c>
      <c r="D176" s="3">
        <v>7</v>
      </c>
      <c r="E176" t="s">
        <v>895</v>
      </c>
      <c r="F176" t="s">
        <v>896</v>
      </c>
      <c r="G176" t="s">
        <v>887</v>
      </c>
      <c r="H176" s="6">
        <f>_xlfn.XLOOKUP(A176,Orders[OrderID],Orders[OrderDate])</f>
        <v>43255</v>
      </c>
      <c r="I176" t="str">
        <f>_xlfn.XLOOKUP(A176,Orders[OrderID],Orders[CustomerName])</f>
        <v>Bhawna</v>
      </c>
      <c r="J176" t="str">
        <f>_xlfn.XLOOKUP(A176,Orders[OrderID],Orders[State])</f>
        <v>Madhya Pradesh</v>
      </c>
      <c r="K176" t="str">
        <f>_xlfn.XLOOKUP(A176,Orders[OrderID],Orders[City])</f>
        <v>Indore</v>
      </c>
      <c r="L176" s="3">
        <f>YEAR(Clean_Data[[#This Row],[OrderDate]])</f>
        <v>2018</v>
      </c>
      <c r="M176" s="3">
        <f>MONTH(Clean_Data[[#This Row],[OrderDate]])</f>
        <v>6</v>
      </c>
      <c r="N176" s="8" t="str">
        <f>TEXT(Clean_Data[[#This Row],[OrderDate]],"mmm")</f>
        <v>Jun</v>
      </c>
      <c r="O176" s="8" t="str">
        <f>TEXT(Clean_Data[[#This Row],[OrderDate]], "yyyy-mm")</f>
        <v>2018-06</v>
      </c>
      <c r="P176" s="7">
        <f>Clean_Data[[#This Row],[Profit]]/Clean_Data[[#This Row],[Revenue ]]</f>
        <v>0.39005736137667302</v>
      </c>
      <c r="Q176" t="str">
        <f>"Q"&amp;ROUNDUP(MONTH(Clean_Data[[#This Row],[OrderDate]])/3,0)</f>
        <v>Q2</v>
      </c>
      <c r="R176" t="str">
        <f>TEXT(Clean_Data[[#This Row],[OrderDate]], "dddd")</f>
        <v>Monday</v>
      </c>
    </row>
    <row r="177" spans="1:18" x14ac:dyDescent="0.25">
      <c r="A177" t="s">
        <v>843</v>
      </c>
      <c r="B177" s="4">
        <v>27</v>
      </c>
      <c r="C177" s="4">
        <v>9</v>
      </c>
      <c r="D177" s="3">
        <v>2</v>
      </c>
      <c r="E177" t="s">
        <v>895</v>
      </c>
      <c r="F177" t="s">
        <v>906</v>
      </c>
      <c r="G177" t="s">
        <v>898</v>
      </c>
      <c r="H177" s="6">
        <f>_xlfn.XLOOKUP(A177,Orders[OrderID],Orders[OrderDate])</f>
        <v>43234</v>
      </c>
      <c r="I177" t="str">
        <f>_xlfn.XLOOKUP(A177,Orders[OrderID],Orders[CustomerName])</f>
        <v>Shefali</v>
      </c>
      <c r="J177" t="str">
        <f>_xlfn.XLOOKUP(A177,Orders[OrderID],Orders[State])</f>
        <v>Rajasthan</v>
      </c>
      <c r="K177" t="str">
        <f>_xlfn.XLOOKUP(A177,Orders[OrderID],Orders[City])</f>
        <v>Jaipur</v>
      </c>
      <c r="L177" s="3">
        <f>YEAR(Clean_Data[[#This Row],[OrderDate]])</f>
        <v>2018</v>
      </c>
      <c r="M177" s="3">
        <f>MONTH(Clean_Data[[#This Row],[OrderDate]])</f>
        <v>5</v>
      </c>
      <c r="N177" s="8" t="str">
        <f>TEXT(Clean_Data[[#This Row],[OrderDate]],"mmm")</f>
        <v>May</v>
      </c>
      <c r="O177" s="8" t="str">
        <f>TEXT(Clean_Data[[#This Row],[OrderDate]], "yyyy-mm")</f>
        <v>2018-05</v>
      </c>
      <c r="P177" s="7">
        <f>Clean_Data[[#This Row],[Profit]]/Clean_Data[[#This Row],[Revenue ]]</f>
        <v>0.33333333333333331</v>
      </c>
      <c r="Q177" t="str">
        <f>"Q"&amp;ROUNDUP(MONTH(Clean_Data[[#This Row],[OrderDate]])/3,0)</f>
        <v>Q2</v>
      </c>
      <c r="R177" t="str">
        <f>TEXT(Clean_Data[[#This Row],[OrderDate]], "dddd")</f>
        <v>Monday</v>
      </c>
    </row>
    <row r="178" spans="1:18" x14ac:dyDescent="0.25">
      <c r="A178" t="s">
        <v>379</v>
      </c>
      <c r="B178" s="4">
        <v>516</v>
      </c>
      <c r="C178" s="4">
        <v>392</v>
      </c>
      <c r="D178" s="3">
        <v>8</v>
      </c>
      <c r="E178" t="s">
        <v>888</v>
      </c>
      <c r="F178" t="s">
        <v>889</v>
      </c>
      <c r="G178" t="s">
        <v>887</v>
      </c>
      <c r="H178" s="6">
        <f>_xlfn.XLOOKUP(A178,Orders[OrderID],Orders[OrderDate])</f>
        <v>43274</v>
      </c>
      <c r="I178" t="str">
        <f>_xlfn.XLOOKUP(A178,Orders[OrderID],Orders[CustomerName])</f>
        <v>Amisha</v>
      </c>
      <c r="J178" t="str">
        <f>_xlfn.XLOOKUP(A178,Orders[OrderID],Orders[State])</f>
        <v>Tamil Nadu</v>
      </c>
      <c r="K178" t="str">
        <f>_xlfn.XLOOKUP(A178,Orders[OrderID],Orders[City])</f>
        <v>Chennai</v>
      </c>
      <c r="L178" s="3">
        <f>YEAR(Clean_Data[[#This Row],[OrderDate]])</f>
        <v>2018</v>
      </c>
      <c r="M178" s="3">
        <f>MONTH(Clean_Data[[#This Row],[OrderDate]])</f>
        <v>6</v>
      </c>
      <c r="N178" s="8" t="str">
        <f>TEXT(Clean_Data[[#This Row],[OrderDate]],"mmm")</f>
        <v>Jun</v>
      </c>
      <c r="O178" s="8" t="str">
        <f>TEXT(Clean_Data[[#This Row],[OrderDate]], "yyyy-mm")</f>
        <v>2018-06</v>
      </c>
      <c r="P178" s="7">
        <f>Clean_Data[[#This Row],[Profit]]/Clean_Data[[#This Row],[Revenue ]]</f>
        <v>0.75968992248062017</v>
      </c>
      <c r="Q178" t="str">
        <f>"Q"&amp;ROUNDUP(MONTH(Clean_Data[[#This Row],[OrderDate]])/3,0)</f>
        <v>Q2</v>
      </c>
      <c r="R178" t="str">
        <f>TEXT(Clean_Data[[#This Row],[OrderDate]], "dddd")</f>
        <v>Saturday</v>
      </c>
    </row>
    <row r="179" spans="1:18" x14ac:dyDescent="0.25">
      <c r="A179" t="s">
        <v>383</v>
      </c>
      <c r="B179" s="4">
        <v>504</v>
      </c>
      <c r="C179" s="4">
        <v>116</v>
      </c>
      <c r="D179" s="3">
        <v>3</v>
      </c>
      <c r="E179" t="s">
        <v>888</v>
      </c>
      <c r="F179" t="s">
        <v>891</v>
      </c>
      <c r="G179" t="s">
        <v>887</v>
      </c>
      <c r="H179" s="6">
        <f>_xlfn.XLOOKUP(A179,Orders[OrderID],Orders[OrderDate])</f>
        <v>43401</v>
      </c>
      <c r="I179" t="str">
        <f>_xlfn.XLOOKUP(A179,Orders[OrderID],Orders[CustomerName])</f>
        <v>Harshita</v>
      </c>
      <c r="J179" t="str">
        <f>_xlfn.XLOOKUP(A179,Orders[OrderID],Orders[State])</f>
        <v>Maharashtra</v>
      </c>
      <c r="K179" t="str">
        <f>_xlfn.XLOOKUP(A179,Orders[OrderID],Orders[City])</f>
        <v>Mumbai</v>
      </c>
      <c r="L179" s="3">
        <f>YEAR(Clean_Data[[#This Row],[OrderDate]])</f>
        <v>2018</v>
      </c>
      <c r="M179" s="3">
        <f>MONTH(Clean_Data[[#This Row],[OrderDate]])</f>
        <v>10</v>
      </c>
      <c r="N179" s="8" t="str">
        <f>TEXT(Clean_Data[[#This Row],[OrderDate]],"mmm")</f>
        <v>Oct</v>
      </c>
      <c r="O179" s="8" t="str">
        <f>TEXT(Clean_Data[[#This Row],[OrderDate]], "yyyy-mm")</f>
        <v>2018-10</v>
      </c>
      <c r="P179" s="7">
        <f>Clean_Data[[#This Row],[Profit]]/Clean_Data[[#This Row],[Revenue ]]</f>
        <v>0.23015873015873015</v>
      </c>
      <c r="Q179" t="str">
        <f>"Q"&amp;ROUNDUP(MONTH(Clean_Data[[#This Row],[OrderDate]])/3,0)</f>
        <v>Q4</v>
      </c>
      <c r="R179" t="str">
        <f>TEXT(Clean_Data[[#This Row],[OrderDate]], "dddd")</f>
        <v>Sunday</v>
      </c>
    </row>
    <row r="180" spans="1:18" x14ac:dyDescent="0.25">
      <c r="A180" t="s">
        <v>387</v>
      </c>
      <c r="B180" s="4">
        <v>502</v>
      </c>
      <c r="C180" s="4">
        <v>84</v>
      </c>
      <c r="D180" s="3">
        <v>4</v>
      </c>
      <c r="E180" t="s">
        <v>885</v>
      </c>
      <c r="F180" t="s">
        <v>894</v>
      </c>
      <c r="G180" t="s">
        <v>887</v>
      </c>
      <c r="H180" s="6">
        <f>_xlfn.XLOOKUP(A180,Orders[OrderID],Orders[OrderDate])</f>
        <v>43432</v>
      </c>
      <c r="I180" t="str">
        <f>_xlfn.XLOOKUP(A180,Orders[OrderID],Orders[CustomerName])</f>
        <v>Brijesh</v>
      </c>
      <c r="J180" t="str">
        <f>_xlfn.XLOOKUP(A180,Orders[OrderID],Orders[State])</f>
        <v>Rajasthan</v>
      </c>
      <c r="K180" t="str">
        <f>_xlfn.XLOOKUP(A180,Orders[OrderID],Orders[City])</f>
        <v>Udaipur</v>
      </c>
      <c r="L180" s="3">
        <f>YEAR(Clean_Data[[#This Row],[OrderDate]])</f>
        <v>2018</v>
      </c>
      <c r="M180" s="3">
        <f>MONTH(Clean_Data[[#This Row],[OrderDate]])</f>
        <v>11</v>
      </c>
      <c r="N180" s="8" t="str">
        <f>TEXT(Clean_Data[[#This Row],[OrderDate]],"mmm")</f>
        <v>Nov</v>
      </c>
      <c r="O180" s="8" t="str">
        <f>TEXT(Clean_Data[[#This Row],[OrderDate]], "yyyy-mm")</f>
        <v>2018-11</v>
      </c>
      <c r="P180" s="7">
        <f>Clean_Data[[#This Row],[Profit]]/Clean_Data[[#This Row],[Revenue ]]</f>
        <v>0.16733067729083664</v>
      </c>
      <c r="Q180" t="str">
        <f>"Q"&amp;ROUNDUP(MONTH(Clean_Data[[#This Row],[OrderDate]])/3,0)</f>
        <v>Q4</v>
      </c>
      <c r="R180" t="str">
        <f>TEXT(Clean_Data[[#This Row],[OrderDate]], "dddd")</f>
        <v>Wednesday</v>
      </c>
    </row>
    <row r="181" spans="1:18" x14ac:dyDescent="0.25">
      <c r="A181" t="s">
        <v>294</v>
      </c>
      <c r="B181" s="4">
        <v>734</v>
      </c>
      <c r="C181" s="4">
        <v>213</v>
      </c>
      <c r="D181" s="3">
        <v>6</v>
      </c>
      <c r="E181" t="s">
        <v>885</v>
      </c>
      <c r="F181" t="s">
        <v>886</v>
      </c>
      <c r="G181" t="s">
        <v>893</v>
      </c>
      <c r="H181" s="6">
        <f>_xlfn.XLOOKUP(A181,Orders[OrderID],Orders[OrderDate])</f>
        <v>43440</v>
      </c>
      <c r="I181" t="str">
        <f>_xlfn.XLOOKUP(A181,Orders[OrderID],Orders[CustomerName])</f>
        <v>Rohan</v>
      </c>
      <c r="J181" t="str">
        <f>_xlfn.XLOOKUP(A181,Orders[OrderID],Orders[State])</f>
        <v>Madhya Pradesh</v>
      </c>
      <c r="K181" t="str">
        <f>_xlfn.XLOOKUP(A181,Orders[OrderID],Orders[City])</f>
        <v>Indore</v>
      </c>
      <c r="L181" s="3">
        <f>YEAR(Clean_Data[[#This Row],[OrderDate]])</f>
        <v>2018</v>
      </c>
      <c r="M181" s="3">
        <f>MONTH(Clean_Data[[#This Row],[OrderDate]])</f>
        <v>12</v>
      </c>
      <c r="N181" s="8" t="str">
        <f>TEXT(Clean_Data[[#This Row],[OrderDate]],"mmm")</f>
        <v>Dec</v>
      </c>
      <c r="O181" s="8" t="str">
        <f>TEXT(Clean_Data[[#This Row],[OrderDate]], "yyyy-mm")</f>
        <v>2018-12</v>
      </c>
      <c r="P181" s="7">
        <f>Clean_Data[[#This Row],[Profit]]/Clean_Data[[#This Row],[Revenue ]]</f>
        <v>0.2901907356948229</v>
      </c>
      <c r="Q181" t="str">
        <f>"Q"&amp;ROUNDUP(MONTH(Clean_Data[[#This Row],[OrderDate]])/3,0)</f>
        <v>Q4</v>
      </c>
      <c r="R181" t="str">
        <f>TEXT(Clean_Data[[#This Row],[OrderDate]], "dddd")</f>
        <v>Thursday</v>
      </c>
    </row>
    <row r="182" spans="1:18" x14ac:dyDescent="0.25">
      <c r="A182" t="s">
        <v>160</v>
      </c>
      <c r="B182" s="4">
        <v>42</v>
      </c>
      <c r="C182" s="4">
        <v>12</v>
      </c>
      <c r="D182" s="3">
        <v>2</v>
      </c>
      <c r="E182" t="s">
        <v>895</v>
      </c>
      <c r="F182" t="s">
        <v>900</v>
      </c>
      <c r="G182" t="s">
        <v>887</v>
      </c>
      <c r="H182" s="6">
        <f>_xlfn.XLOOKUP(A182,Orders[OrderID],Orders[OrderDate])</f>
        <v>43427</v>
      </c>
      <c r="I182" t="str">
        <f>_xlfn.XLOOKUP(A182,Orders[OrderID],Orders[CustomerName])</f>
        <v>Divyeta</v>
      </c>
      <c r="J182" t="str">
        <f>_xlfn.XLOOKUP(A182,Orders[OrderID],Orders[State])</f>
        <v>Madhya Pradesh</v>
      </c>
      <c r="K182" t="str">
        <f>_xlfn.XLOOKUP(A182,Orders[OrderID],Orders[City])</f>
        <v>Indore</v>
      </c>
      <c r="L182" s="3">
        <f>YEAR(Clean_Data[[#This Row],[OrderDate]])</f>
        <v>2018</v>
      </c>
      <c r="M182" s="3">
        <f>MONTH(Clean_Data[[#This Row],[OrderDate]])</f>
        <v>11</v>
      </c>
      <c r="N182" s="8" t="str">
        <f>TEXT(Clean_Data[[#This Row],[OrderDate]],"mmm")</f>
        <v>Nov</v>
      </c>
      <c r="O182" s="8" t="str">
        <f>TEXT(Clean_Data[[#This Row],[OrderDate]], "yyyy-mm")</f>
        <v>2018-11</v>
      </c>
      <c r="P182" s="7">
        <f>Clean_Data[[#This Row],[Profit]]/Clean_Data[[#This Row],[Revenue ]]</f>
        <v>0.2857142857142857</v>
      </c>
      <c r="Q182" t="str">
        <f>"Q"&amp;ROUNDUP(MONTH(Clean_Data[[#This Row],[OrderDate]])/3,0)</f>
        <v>Q4</v>
      </c>
      <c r="R182" t="str">
        <f>TEXT(Clean_Data[[#This Row],[OrderDate]], "dddd")</f>
        <v>Friday</v>
      </c>
    </row>
    <row r="183" spans="1:18" x14ac:dyDescent="0.25">
      <c r="A183" t="s">
        <v>34</v>
      </c>
      <c r="B183" s="4">
        <v>29</v>
      </c>
      <c r="C183" s="4">
        <v>11</v>
      </c>
      <c r="D183" s="3">
        <v>4</v>
      </c>
      <c r="E183" t="s">
        <v>895</v>
      </c>
      <c r="F183" t="s">
        <v>901</v>
      </c>
      <c r="G183" t="s">
        <v>887</v>
      </c>
      <c r="H183" s="6">
        <f>_xlfn.XLOOKUP(A183,Orders[OrderID],Orders[OrderDate])</f>
        <v>43417</v>
      </c>
      <c r="I183" t="str">
        <f>_xlfn.XLOOKUP(A183,Orders[OrderID],Orders[CustomerName])</f>
        <v>Uudhav</v>
      </c>
      <c r="J183" t="str">
        <f>_xlfn.XLOOKUP(A183,Orders[OrderID],Orders[State])</f>
        <v>Maharashtra</v>
      </c>
      <c r="K183" t="str">
        <f>_xlfn.XLOOKUP(A183,Orders[OrderID],Orders[City])</f>
        <v>Mumbai</v>
      </c>
      <c r="L183" s="3">
        <f>YEAR(Clean_Data[[#This Row],[OrderDate]])</f>
        <v>2018</v>
      </c>
      <c r="M183" s="3">
        <f>MONTH(Clean_Data[[#This Row],[OrderDate]])</f>
        <v>11</v>
      </c>
      <c r="N183" s="8" t="str">
        <f>TEXT(Clean_Data[[#This Row],[OrderDate]],"mmm")</f>
        <v>Nov</v>
      </c>
      <c r="O183" s="8" t="str">
        <f>TEXT(Clean_Data[[#This Row],[OrderDate]], "yyyy-mm")</f>
        <v>2018-11</v>
      </c>
      <c r="P183" s="7">
        <f>Clean_Data[[#This Row],[Profit]]/Clean_Data[[#This Row],[Revenue ]]</f>
        <v>0.37931034482758619</v>
      </c>
      <c r="Q183" t="str">
        <f>"Q"&amp;ROUNDUP(MONTH(Clean_Data[[#This Row],[OrderDate]])/3,0)</f>
        <v>Q4</v>
      </c>
      <c r="R183" t="str">
        <f>TEXT(Clean_Data[[#This Row],[OrderDate]], "dddd")</f>
        <v>Tuesday</v>
      </c>
    </row>
    <row r="184" spans="1:18" x14ac:dyDescent="0.25">
      <c r="A184" t="s">
        <v>536</v>
      </c>
      <c r="B184" s="4">
        <v>240</v>
      </c>
      <c r="C184" s="4">
        <v>12</v>
      </c>
      <c r="D184" s="3">
        <v>6</v>
      </c>
      <c r="E184" t="s">
        <v>895</v>
      </c>
      <c r="F184" t="s">
        <v>900</v>
      </c>
      <c r="G184" t="s">
        <v>898</v>
      </c>
      <c r="H184" s="6">
        <f>_xlfn.XLOOKUP(A184,Orders[OrderID],Orders[OrderDate])</f>
        <v>43421</v>
      </c>
      <c r="I184" t="str">
        <f>_xlfn.XLOOKUP(A184,Orders[OrderID],Orders[CustomerName])</f>
        <v>Ankit</v>
      </c>
      <c r="J184" t="str">
        <f>_xlfn.XLOOKUP(A184,Orders[OrderID],Orders[State])</f>
        <v>Sikkim</v>
      </c>
      <c r="K184" t="str">
        <f>_xlfn.XLOOKUP(A184,Orders[OrderID],Orders[City])</f>
        <v>Gangtok</v>
      </c>
      <c r="L184" s="3">
        <f>YEAR(Clean_Data[[#This Row],[OrderDate]])</f>
        <v>2018</v>
      </c>
      <c r="M184" s="3">
        <f>MONTH(Clean_Data[[#This Row],[OrderDate]])</f>
        <v>11</v>
      </c>
      <c r="N184" s="8" t="str">
        <f>TEXT(Clean_Data[[#This Row],[OrderDate]],"mmm")</f>
        <v>Nov</v>
      </c>
      <c r="O184" s="8" t="str">
        <f>TEXT(Clean_Data[[#This Row],[OrderDate]], "yyyy-mm")</f>
        <v>2018-11</v>
      </c>
      <c r="P184" s="7">
        <f>Clean_Data[[#This Row],[Profit]]/Clean_Data[[#This Row],[Revenue ]]</f>
        <v>0.05</v>
      </c>
      <c r="Q184" t="str">
        <f>"Q"&amp;ROUNDUP(MONTH(Clean_Data[[#This Row],[OrderDate]])/3,0)</f>
        <v>Q4</v>
      </c>
      <c r="R184" t="str">
        <f>TEXT(Clean_Data[[#This Row],[OrderDate]], "dddd")</f>
        <v>Saturday</v>
      </c>
    </row>
    <row r="185" spans="1:18" x14ac:dyDescent="0.25">
      <c r="A185" t="s">
        <v>300</v>
      </c>
      <c r="B185" s="4">
        <v>496</v>
      </c>
      <c r="C185" s="4">
        <v>-79</v>
      </c>
      <c r="D185" s="3">
        <v>2</v>
      </c>
      <c r="E185" t="s">
        <v>895</v>
      </c>
      <c r="F185" t="s">
        <v>896</v>
      </c>
      <c r="G185" t="s">
        <v>887</v>
      </c>
      <c r="H185" s="6">
        <f>_xlfn.XLOOKUP(A185,Orders[OrderID],Orders[OrderDate])</f>
        <v>43216</v>
      </c>
      <c r="I185" t="str">
        <f>_xlfn.XLOOKUP(A185,Orders[OrderID],Orders[CustomerName])</f>
        <v>Amit</v>
      </c>
      <c r="J185" t="str">
        <f>_xlfn.XLOOKUP(A185,Orders[OrderID],Orders[State])</f>
        <v>Sikkim</v>
      </c>
      <c r="K185" t="str">
        <f>_xlfn.XLOOKUP(A185,Orders[OrderID],Orders[City])</f>
        <v>Gangtok</v>
      </c>
      <c r="L185" s="3">
        <f>YEAR(Clean_Data[[#This Row],[OrderDate]])</f>
        <v>2018</v>
      </c>
      <c r="M185" s="3">
        <f>MONTH(Clean_Data[[#This Row],[OrderDate]])</f>
        <v>4</v>
      </c>
      <c r="N185" s="8" t="str">
        <f>TEXT(Clean_Data[[#This Row],[OrderDate]],"mmm")</f>
        <v>Apr</v>
      </c>
      <c r="O185" s="8" t="str">
        <f>TEXT(Clean_Data[[#This Row],[OrderDate]], "yyyy-mm")</f>
        <v>2018-04</v>
      </c>
      <c r="P185" s="7">
        <f>Clean_Data[[#This Row],[Profit]]/Clean_Data[[#This Row],[Revenue ]]</f>
        <v>-0.15927419354838709</v>
      </c>
      <c r="Q185" t="str">
        <f>"Q"&amp;ROUNDUP(MONTH(Clean_Data[[#This Row],[OrderDate]])/3,0)</f>
        <v>Q2</v>
      </c>
      <c r="R185" t="str">
        <f>TEXT(Clean_Data[[#This Row],[OrderDate]], "dddd")</f>
        <v>Thursday</v>
      </c>
    </row>
    <row r="186" spans="1:18" x14ac:dyDescent="0.25">
      <c r="A186" t="s">
        <v>397</v>
      </c>
      <c r="B186" s="4">
        <v>485</v>
      </c>
      <c r="C186" s="4">
        <v>29</v>
      </c>
      <c r="D186" s="3">
        <v>4</v>
      </c>
      <c r="E186" t="s">
        <v>885</v>
      </c>
      <c r="F186" t="s">
        <v>886</v>
      </c>
      <c r="G186" t="s">
        <v>887</v>
      </c>
      <c r="H186" s="6">
        <f>_xlfn.XLOOKUP(A186,Orders[OrderID],Orders[OrderDate])</f>
        <v>43199</v>
      </c>
      <c r="I186" t="str">
        <f>_xlfn.XLOOKUP(A186,Orders[OrderID],Orders[CustomerName])</f>
        <v>Jitesh</v>
      </c>
      <c r="J186" t="str">
        <f>_xlfn.XLOOKUP(A186,Orders[OrderID],Orders[State])</f>
        <v>Uttar Pradesh</v>
      </c>
      <c r="K186" t="str">
        <f>_xlfn.XLOOKUP(A186,Orders[OrderID],Orders[City])</f>
        <v>Lucknow</v>
      </c>
      <c r="L186" s="3">
        <f>YEAR(Clean_Data[[#This Row],[OrderDate]])</f>
        <v>2018</v>
      </c>
      <c r="M186" s="3">
        <f>MONTH(Clean_Data[[#This Row],[OrderDate]])</f>
        <v>4</v>
      </c>
      <c r="N186" s="8" t="str">
        <f>TEXT(Clean_Data[[#This Row],[OrderDate]],"mmm")</f>
        <v>Apr</v>
      </c>
      <c r="O186" s="8" t="str">
        <f>TEXT(Clean_Data[[#This Row],[OrderDate]], "yyyy-mm")</f>
        <v>2018-04</v>
      </c>
      <c r="P186" s="7">
        <f>Clean_Data[[#This Row],[Profit]]/Clean_Data[[#This Row],[Revenue ]]</f>
        <v>5.9793814432989693E-2</v>
      </c>
      <c r="Q186" t="str">
        <f>"Q"&amp;ROUNDUP(MONTH(Clean_Data[[#This Row],[OrderDate]])/3,0)</f>
        <v>Q2</v>
      </c>
      <c r="R186" t="str">
        <f>TEXT(Clean_Data[[#This Row],[OrderDate]], "dddd")</f>
        <v>Monday</v>
      </c>
    </row>
    <row r="187" spans="1:18" x14ac:dyDescent="0.25">
      <c r="A187" t="s">
        <v>507</v>
      </c>
      <c r="B187" s="4">
        <v>31</v>
      </c>
      <c r="C187" s="4">
        <v>-11</v>
      </c>
      <c r="D187" s="3">
        <v>3</v>
      </c>
      <c r="E187" t="s">
        <v>895</v>
      </c>
      <c r="F187" t="s">
        <v>901</v>
      </c>
      <c r="G187" t="s">
        <v>898</v>
      </c>
      <c r="H187" s="6">
        <f>_xlfn.XLOOKUP(A187,Orders[OrderID],Orders[OrderDate])</f>
        <v>43439</v>
      </c>
      <c r="I187" t="str">
        <f>_xlfn.XLOOKUP(A187,Orders[OrderID],Orders[CustomerName])</f>
        <v>Aman</v>
      </c>
      <c r="J187" t="str">
        <f>_xlfn.XLOOKUP(A187,Orders[OrderID],Orders[State])</f>
        <v>Maharashtra</v>
      </c>
      <c r="K187" t="str">
        <f>_xlfn.XLOOKUP(A187,Orders[OrderID],Orders[City])</f>
        <v>Mumbai</v>
      </c>
      <c r="L187" s="3">
        <f>YEAR(Clean_Data[[#This Row],[OrderDate]])</f>
        <v>2018</v>
      </c>
      <c r="M187" s="3">
        <f>MONTH(Clean_Data[[#This Row],[OrderDate]])</f>
        <v>12</v>
      </c>
      <c r="N187" s="8" t="str">
        <f>TEXT(Clean_Data[[#This Row],[OrderDate]],"mmm")</f>
        <v>Dec</v>
      </c>
      <c r="O187" s="8" t="str">
        <f>TEXT(Clean_Data[[#This Row],[OrderDate]], "yyyy-mm")</f>
        <v>2018-12</v>
      </c>
      <c r="P187" s="7">
        <f>Clean_Data[[#This Row],[Profit]]/Clean_Data[[#This Row],[Revenue ]]</f>
        <v>-0.35483870967741937</v>
      </c>
      <c r="Q187" t="str">
        <f>"Q"&amp;ROUNDUP(MONTH(Clean_Data[[#This Row],[OrderDate]])/3,0)</f>
        <v>Q4</v>
      </c>
      <c r="R187" t="str">
        <f>TEXT(Clean_Data[[#This Row],[OrderDate]], "dddd")</f>
        <v>Wednesday</v>
      </c>
    </row>
    <row r="188" spans="1:18" x14ac:dyDescent="0.25">
      <c r="A188" t="s">
        <v>311</v>
      </c>
      <c r="B188" s="4">
        <v>676</v>
      </c>
      <c r="C188" s="4">
        <v>151</v>
      </c>
      <c r="D188" s="3">
        <v>3</v>
      </c>
      <c r="E188" t="s">
        <v>885</v>
      </c>
      <c r="F188" t="s">
        <v>892</v>
      </c>
      <c r="G188" t="s">
        <v>893</v>
      </c>
      <c r="H188" s="6">
        <f>_xlfn.XLOOKUP(A188,Orders[OrderID],Orders[OrderDate])</f>
        <v>43137</v>
      </c>
      <c r="I188" t="str">
        <f>_xlfn.XLOOKUP(A188,Orders[OrderID],Orders[CustomerName])</f>
        <v>Shubham</v>
      </c>
      <c r="J188" t="str">
        <f>_xlfn.XLOOKUP(A188,Orders[OrderID],Orders[State])</f>
        <v>Delhi</v>
      </c>
      <c r="K188" t="str">
        <f>_xlfn.XLOOKUP(A188,Orders[OrderID],Orders[City])</f>
        <v>Delhi</v>
      </c>
      <c r="L188" s="3">
        <f>YEAR(Clean_Data[[#This Row],[OrderDate]])</f>
        <v>2018</v>
      </c>
      <c r="M188" s="3">
        <f>MONTH(Clean_Data[[#This Row],[OrderDate]])</f>
        <v>2</v>
      </c>
      <c r="N188" s="8" t="str">
        <f>TEXT(Clean_Data[[#This Row],[OrderDate]],"mmm")</f>
        <v>Feb</v>
      </c>
      <c r="O188" s="8" t="str">
        <f>TEXT(Clean_Data[[#This Row],[OrderDate]], "yyyy-mm")</f>
        <v>2018-02</v>
      </c>
      <c r="P188" s="7">
        <f>Clean_Data[[#This Row],[Profit]]/Clean_Data[[#This Row],[Revenue ]]</f>
        <v>0.22337278106508876</v>
      </c>
      <c r="Q188" t="str">
        <f>"Q"&amp;ROUNDUP(MONTH(Clean_Data[[#This Row],[OrderDate]])/3,0)</f>
        <v>Q1</v>
      </c>
      <c r="R188" t="str">
        <f>TEXT(Clean_Data[[#This Row],[OrderDate]], "dddd")</f>
        <v>Tuesday</v>
      </c>
    </row>
    <row r="189" spans="1:18" x14ac:dyDescent="0.25">
      <c r="A189" t="s">
        <v>309</v>
      </c>
      <c r="B189" s="4">
        <v>23</v>
      </c>
      <c r="C189" s="4">
        <v>8</v>
      </c>
      <c r="D189" s="3">
        <v>2</v>
      </c>
      <c r="E189" t="s">
        <v>895</v>
      </c>
      <c r="F189" t="s">
        <v>899</v>
      </c>
      <c r="G189" t="s">
        <v>907</v>
      </c>
      <c r="H189" s="6">
        <f>_xlfn.XLOOKUP(A189,Orders[OrderID],Orders[OrderDate])</f>
        <v>43118</v>
      </c>
      <c r="I189" t="str">
        <f>_xlfn.XLOOKUP(A189,Orders[OrderID],Orders[CustomerName])</f>
        <v>Muskan</v>
      </c>
      <c r="J189" t="str">
        <f>_xlfn.XLOOKUP(A189,Orders[OrderID],Orders[State])</f>
        <v>Madhya Pradesh</v>
      </c>
      <c r="K189" t="str">
        <f>_xlfn.XLOOKUP(A189,Orders[OrderID],Orders[City])</f>
        <v>Indore</v>
      </c>
      <c r="L189" s="3">
        <f>YEAR(Clean_Data[[#This Row],[OrderDate]])</f>
        <v>2018</v>
      </c>
      <c r="M189" s="3">
        <f>MONTH(Clean_Data[[#This Row],[OrderDate]])</f>
        <v>1</v>
      </c>
      <c r="N189" s="8" t="str">
        <f>TEXT(Clean_Data[[#This Row],[OrderDate]],"mmm")</f>
        <v>Jan</v>
      </c>
      <c r="O189" s="8" t="str">
        <f>TEXT(Clean_Data[[#This Row],[OrderDate]], "yyyy-mm")</f>
        <v>2018-01</v>
      </c>
      <c r="P189" s="7">
        <f>Clean_Data[[#This Row],[Profit]]/Clean_Data[[#This Row],[Revenue ]]</f>
        <v>0.34782608695652173</v>
      </c>
      <c r="Q189" t="str">
        <f>"Q"&amp;ROUNDUP(MONTH(Clean_Data[[#This Row],[OrderDate]])/3,0)</f>
        <v>Q1</v>
      </c>
      <c r="R189" t="str">
        <f>TEXT(Clean_Data[[#This Row],[OrderDate]], "dddd")</f>
        <v>Thursday</v>
      </c>
    </row>
    <row r="190" spans="1:18" x14ac:dyDescent="0.25">
      <c r="A190" t="s">
        <v>785</v>
      </c>
      <c r="B190" s="4">
        <v>13</v>
      </c>
      <c r="C190" s="4">
        <v>3</v>
      </c>
      <c r="D190" s="3">
        <v>2</v>
      </c>
      <c r="E190" t="s">
        <v>895</v>
      </c>
      <c r="F190" t="s">
        <v>899</v>
      </c>
      <c r="G190" t="s">
        <v>887</v>
      </c>
      <c r="H190" s="6">
        <f>_xlfn.XLOOKUP(A190,Orders[OrderID],Orders[OrderDate])</f>
        <v>43106</v>
      </c>
      <c r="I190" t="str">
        <f>_xlfn.XLOOKUP(A190,Orders[OrderID],Orders[CustomerName])</f>
        <v>Vivek</v>
      </c>
      <c r="J190" t="str">
        <f>_xlfn.XLOOKUP(A190,Orders[OrderID],Orders[State])</f>
        <v>Goa</v>
      </c>
      <c r="K190" t="str">
        <f>_xlfn.XLOOKUP(A190,Orders[OrderID],Orders[City])</f>
        <v>Goa</v>
      </c>
      <c r="L190" s="3">
        <f>YEAR(Clean_Data[[#This Row],[OrderDate]])</f>
        <v>2018</v>
      </c>
      <c r="M190" s="3">
        <f>MONTH(Clean_Data[[#This Row],[OrderDate]])</f>
        <v>1</v>
      </c>
      <c r="N190" s="8" t="str">
        <f>TEXT(Clean_Data[[#This Row],[OrderDate]],"mmm")</f>
        <v>Jan</v>
      </c>
      <c r="O190" s="8" t="str">
        <f>TEXT(Clean_Data[[#This Row],[OrderDate]], "yyyy-mm")</f>
        <v>2018-01</v>
      </c>
      <c r="P190" s="7">
        <f>Clean_Data[[#This Row],[Profit]]/Clean_Data[[#This Row],[Revenue ]]</f>
        <v>0.23076923076923078</v>
      </c>
      <c r="Q190" t="str">
        <f>"Q"&amp;ROUNDUP(MONTH(Clean_Data[[#This Row],[OrderDate]])/3,0)</f>
        <v>Q1</v>
      </c>
      <c r="R190" t="str">
        <f>TEXT(Clean_Data[[#This Row],[OrderDate]], "dddd")</f>
        <v>Saturday</v>
      </c>
    </row>
    <row r="191" spans="1:18" x14ac:dyDescent="0.25">
      <c r="A191" t="s">
        <v>493</v>
      </c>
      <c r="B191" s="4">
        <v>180</v>
      </c>
      <c r="C191" s="4">
        <v>0</v>
      </c>
      <c r="D191" s="3">
        <v>8</v>
      </c>
      <c r="E191" t="s">
        <v>895</v>
      </c>
      <c r="F191" t="s">
        <v>903</v>
      </c>
      <c r="G191" t="s">
        <v>887</v>
      </c>
      <c r="H191" s="6">
        <f>_xlfn.XLOOKUP(A191,Orders[OrderID],Orders[OrderDate])</f>
        <v>43185</v>
      </c>
      <c r="I191" t="str">
        <f>_xlfn.XLOOKUP(A191,Orders[OrderID],Orders[CustomerName])</f>
        <v>Vandana</v>
      </c>
      <c r="J191" t="str">
        <f>_xlfn.XLOOKUP(A191,Orders[OrderID],Orders[State])</f>
        <v>Himachal Pradesh</v>
      </c>
      <c r="K191" t="str">
        <f>_xlfn.XLOOKUP(A191,Orders[OrderID],Orders[City])</f>
        <v>Simla</v>
      </c>
      <c r="L191" s="3">
        <f>YEAR(Clean_Data[[#This Row],[OrderDate]])</f>
        <v>2018</v>
      </c>
      <c r="M191" s="3">
        <f>MONTH(Clean_Data[[#This Row],[OrderDate]])</f>
        <v>3</v>
      </c>
      <c r="N191" s="8" t="str">
        <f>TEXT(Clean_Data[[#This Row],[OrderDate]],"mmm")</f>
        <v>Mar</v>
      </c>
      <c r="O191" s="8" t="str">
        <f>TEXT(Clean_Data[[#This Row],[OrderDate]], "yyyy-mm")</f>
        <v>2018-03</v>
      </c>
      <c r="P191" s="7">
        <f>Clean_Data[[#This Row],[Profit]]/Clean_Data[[#This Row],[Revenue ]]</f>
        <v>0</v>
      </c>
      <c r="Q191" t="str">
        <f>"Q"&amp;ROUNDUP(MONTH(Clean_Data[[#This Row],[OrderDate]])/3,0)</f>
        <v>Q1</v>
      </c>
      <c r="R191" t="str">
        <f>TEXT(Clean_Data[[#This Row],[OrderDate]], "dddd")</f>
        <v>Monday</v>
      </c>
    </row>
    <row r="192" spans="1:18" x14ac:dyDescent="0.25">
      <c r="A192" t="s">
        <v>3</v>
      </c>
      <c r="B192" s="4">
        <v>671</v>
      </c>
      <c r="C192" s="4">
        <v>114</v>
      </c>
      <c r="D192" s="3">
        <v>9</v>
      </c>
      <c r="E192" t="s">
        <v>885</v>
      </c>
      <c r="F192" t="s">
        <v>894</v>
      </c>
      <c r="G192" t="s">
        <v>893</v>
      </c>
      <c r="H192" s="6">
        <f>_xlfn.XLOOKUP(A192,Orders[OrderID],Orders[OrderDate])</f>
        <v>43169</v>
      </c>
      <c r="I192" t="str">
        <f>_xlfn.XLOOKUP(A192,Orders[OrderID],Orders[CustomerName])</f>
        <v>Harivansh</v>
      </c>
      <c r="J192" t="str">
        <f>_xlfn.XLOOKUP(A192,Orders[OrderID],Orders[State])</f>
        <v>Uttar Pradesh</v>
      </c>
      <c r="K192" t="str">
        <f>_xlfn.XLOOKUP(A192,Orders[OrderID],Orders[City])</f>
        <v>Mathura</v>
      </c>
      <c r="L192" s="3">
        <f>YEAR(Clean_Data[[#This Row],[OrderDate]])</f>
        <v>2018</v>
      </c>
      <c r="M192" s="3">
        <f>MONTH(Clean_Data[[#This Row],[OrderDate]])</f>
        <v>3</v>
      </c>
      <c r="N192" s="8" t="str">
        <f>TEXT(Clean_Data[[#This Row],[OrderDate]],"mmm")</f>
        <v>Mar</v>
      </c>
      <c r="O192" s="8" t="str">
        <f>TEXT(Clean_Data[[#This Row],[OrderDate]], "yyyy-mm")</f>
        <v>2018-03</v>
      </c>
      <c r="P192" s="7">
        <f>Clean_Data[[#This Row],[Profit]]/Clean_Data[[#This Row],[Revenue ]]</f>
        <v>0.16989567809239942</v>
      </c>
      <c r="Q192" t="str">
        <f>"Q"&amp;ROUNDUP(MONTH(Clean_Data[[#This Row],[OrderDate]])/3,0)</f>
        <v>Q1</v>
      </c>
      <c r="R192" t="str">
        <f>TEXT(Clean_Data[[#This Row],[OrderDate]], "dddd")</f>
        <v>Saturday</v>
      </c>
    </row>
    <row r="193" spans="1:18" x14ac:dyDescent="0.25">
      <c r="A193" t="s">
        <v>852</v>
      </c>
      <c r="B193" s="4">
        <v>22</v>
      </c>
      <c r="C193" s="4">
        <v>11</v>
      </c>
      <c r="D193" s="3">
        <v>3</v>
      </c>
      <c r="E193" t="s">
        <v>895</v>
      </c>
      <c r="F193" t="s">
        <v>900</v>
      </c>
      <c r="G193" t="s">
        <v>887</v>
      </c>
      <c r="H193" s="6">
        <f>_xlfn.XLOOKUP(A193,Orders[OrderID],Orders[OrderDate])</f>
        <v>43127</v>
      </c>
      <c r="I193" t="str">
        <f>_xlfn.XLOOKUP(A193,Orders[OrderID],Orders[CustomerName])</f>
        <v>Shweta</v>
      </c>
      <c r="J193" t="str">
        <f>_xlfn.XLOOKUP(A193,Orders[OrderID],Orders[State])</f>
        <v>Rajasthan</v>
      </c>
      <c r="K193" t="str">
        <f>_xlfn.XLOOKUP(A193,Orders[OrderID],Orders[City])</f>
        <v>Udaipur</v>
      </c>
      <c r="L193" s="3">
        <f>YEAR(Clean_Data[[#This Row],[OrderDate]])</f>
        <v>2018</v>
      </c>
      <c r="M193" s="3">
        <f>MONTH(Clean_Data[[#This Row],[OrderDate]])</f>
        <v>1</v>
      </c>
      <c r="N193" s="8" t="str">
        <f>TEXT(Clean_Data[[#This Row],[OrderDate]],"mmm")</f>
        <v>Jan</v>
      </c>
      <c r="O193" s="8" t="str">
        <f>TEXT(Clean_Data[[#This Row],[OrderDate]], "yyyy-mm")</f>
        <v>2018-01</v>
      </c>
      <c r="P193" s="7">
        <f>Clean_Data[[#This Row],[Profit]]/Clean_Data[[#This Row],[Revenue ]]</f>
        <v>0.5</v>
      </c>
      <c r="Q193" t="str">
        <f>"Q"&amp;ROUNDUP(MONTH(Clean_Data[[#This Row],[OrderDate]])/3,0)</f>
        <v>Q1</v>
      </c>
      <c r="R193" t="str">
        <f>TEXT(Clean_Data[[#This Row],[OrderDate]], "dddd")</f>
        <v>Saturday</v>
      </c>
    </row>
    <row r="194" spans="1:18" x14ac:dyDescent="0.25">
      <c r="A194" t="s">
        <v>140</v>
      </c>
      <c r="B194" s="4">
        <v>668</v>
      </c>
      <c r="C194" s="4">
        <v>-31</v>
      </c>
      <c r="D194" s="3">
        <v>3</v>
      </c>
      <c r="E194" t="s">
        <v>885</v>
      </c>
      <c r="F194" t="s">
        <v>892</v>
      </c>
      <c r="G194" t="s">
        <v>893</v>
      </c>
      <c r="H194" s="6">
        <f>_xlfn.XLOOKUP(A194,Orders[OrderID],Orders[OrderDate])</f>
        <v>43228</v>
      </c>
      <c r="I194" t="str">
        <f>_xlfn.XLOOKUP(A194,Orders[OrderID],Orders[CustomerName])</f>
        <v>Farah</v>
      </c>
      <c r="J194" t="str">
        <f>_xlfn.XLOOKUP(A194,Orders[OrderID],Orders[State])</f>
        <v>Nagaland</v>
      </c>
      <c r="K194" t="str">
        <f>_xlfn.XLOOKUP(A194,Orders[OrderID],Orders[City])</f>
        <v>Kohima</v>
      </c>
      <c r="L194" s="3">
        <f>YEAR(Clean_Data[[#This Row],[OrderDate]])</f>
        <v>2018</v>
      </c>
      <c r="M194" s="3">
        <f>MONTH(Clean_Data[[#This Row],[OrderDate]])</f>
        <v>5</v>
      </c>
      <c r="N194" s="8" t="str">
        <f>TEXT(Clean_Data[[#This Row],[OrderDate]],"mmm")</f>
        <v>May</v>
      </c>
      <c r="O194" s="8" t="str">
        <f>TEXT(Clean_Data[[#This Row],[OrderDate]], "yyyy-mm")</f>
        <v>2018-05</v>
      </c>
      <c r="P194" s="7">
        <f>Clean_Data[[#This Row],[Profit]]/Clean_Data[[#This Row],[Revenue ]]</f>
        <v>-4.6407185628742513E-2</v>
      </c>
      <c r="Q194" t="str">
        <f>"Q"&amp;ROUNDUP(MONTH(Clean_Data[[#This Row],[OrderDate]])/3,0)</f>
        <v>Q2</v>
      </c>
      <c r="R194" t="str">
        <f>TEXT(Clean_Data[[#This Row],[OrderDate]], "dddd")</f>
        <v>Tuesday</v>
      </c>
    </row>
    <row r="195" spans="1:18" x14ac:dyDescent="0.25">
      <c r="A195" t="s">
        <v>267</v>
      </c>
      <c r="B195" s="4">
        <v>145</v>
      </c>
      <c r="C195" s="4">
        <v>0</v>
      </c>
      <c r="D195" s="3">
        <v>3</v>
      </c>
      <c r="E195" t="s">
        <v>895</v>
      </c>
      <c r="F195" t="s">
        <v>897</v>
      </c>
      <c r="G195" t="s">
        <v>898</v>
      </c>
      <c r="H195" s="6">
        <f>_xlfn.XLOOKUP(A195,Orders[OrderID],Orders[OrderDate])</f>
        <v>43167</v>
      </c>
      <c r="I195" t="str">
        <f>_xlfn.XLOOKUP(A195,Orders[OrderID],Orders[CustomerName])</f>
        <v>Ajay</v>
      </c>
      <c r="J195" t="str">
        <f>_xlfn.XLOOKUP(A195,Orders[OrderID],Orders[State])</f>
        <v>Karnataka</v>
      </c>
      <c r="K195" t="str">
        <f>_xlfn.XLOOKUP(A195,Orders[OrderID],Orders[City])</f>
        <v>Bangalore</v>
      </c>
      <c r="L195" s="3">
        <f>YEAR(Clean_Data[[#This Row],[OrderDate]])</f>
        <v>2018</v>
      </c>
      <c r="M195" s="3">
        <f>MONTH(Clean_Data[[#This Row],[OrderDate]])</f>
        <v>3</v>
      </c>
      <c r="N195" s="8" t="str">
        <f>TEXT(Clean_Data[[#This Row],[OrderDate]],"mmm")</f>
        <v>Mar</v>
      </c>
      <c r="O195" s="8" t="str">
        <f>TEXT(Clean_Data[[#This Row],[OrderDate]], "yyyy-mm")</f>
        <v>2018-03</v>
      </c>
      <c r="P195" s="7">
        <f>Clean_Data[[#This Row],[Profit]]/Clean_Data[[#This Row],[Revenue ]]</f>
        <v>0</v>
      </c>
      <c r="Q195" t="str">
        <f>"Q"&amp;ROUNDUP(MONTH(Clean_Data[[#This Row],[OrderDate]])/3,0)</f>
        <v>Q1</v>
      </c>
      <c r="R195" t="str">
        <f>TEXT(Clean_Data[[#This Row],[OrderDate]], "dddd")</f>
        <v>Thursday</v>
      </c>
    </row>
    <row r="196" spans="1:18" x14ac:dyDescent="0.25">
      <c r="A196" t="s">
        <v>183</v>
      </c>
      <c r="B196" s="4">
        <v>24</v>
      </c>
      <c r="C196" s="4">
        <v>8</v>
      </c>
      <c r="D196" s="3">
        <v>2</v>
      </c>
      <c r="E196" t="s">
        <v>895</v>
      </c>
      <c r="F196" t="s">
        <v>901</v>
      </c>
      <c r="G196" t="s">
        <v>907</v>
      </c>
      <c r="H196" s="6">
        <f>_xlfn.XLOOKUP(A196,Orders[OrderID],Orders[OrderDate])</f>
        <v>43428</v>
      </c>
      <c r="I196" t="str">
        <f>_xlfn.XLOOKUP(A196,Orders[OrderID],Orders[CustomerName])</f>
        <v>Dashyam</v>
      </c>
      <c r="J196" t="str">
        <f>_xlfn.XLOOKUP(A196,Orders[OrderID],Orders[State])</f>
        <v>Gujarat</v>
      </c>
      <c r="K196" t="str">
        <f>_xlfn.XLOOKUP(A196,Orders[OrderID],Orders[City])</f>
        <v>Surat</v>
      </c>
      <c r="L196" s="3">
        <f>YEAR(Clean_Data[[#This Row],[OrderDate]])</f>
        <v>2018</v>
      </c>
      <c r="M196" s="3">
        <f>MONTH(Clean_Data[[#This Row],[OrderDate]])</f>
        <v>11</v>
      </c>
      <c r="N196" s="8" t="str">
        <f>TEXT(Clean_Data[[#This Row],[OrderDate]],"mmm")</f>
        <v>Nov</v>
      </c>
      <c r="O196" s="8" t="str">
        <f>TEXT(Clean_Data[[#This Row],[OrderDate]], "yyyy-mm")</f>
        <v>2018-11</v>
      </c>
      <c r="P196" s="7">
        <f>Clean_Data[[#This Row],[Profit]]/Clean_Data[[#This Row],[Revenue ]]</f>
        <v>0.33333333333333331</v>
      </c>
      <c r="Q196" t="str">
        <f>"Q"&amp;ROUNDUP(MONTH(Clean_Data[[#This Row],[OrderDate]])/3,0)</f>
        <v>Q4</v>
      </c>
      <c r="R196" t="str">
        <f>TEXT(Clean_Data[[#This Row],[OrderDate]], "dddd")</f>
        <v>Saturday</v>
      </c>
    </row>
    <row r="197" spans="1:18" x14ac:dyDescent="0.25">
      <c r="A197" t="s">
        <v>126</v>
      </c>
      <c r="B197" s="4">
        <v>476</v>
      </c>
      <c r="C197" s="4">
        <v>0</v>
      </c>
      <c r="D197" s="3">
        <v>3</v>
      </c>
      <c r="E197" t="s">
        <v>888</v>
      </c>
      <c r="F197" t="s">
        <v>889</v>
      </c>
      <c r="G197" t="s">
        <v>887</v>
      </c>
      <c r="H197" s="6">
        <f>_xlfn.XLOOKUP(A197,Orders[OrderID],Orders[OrderDate])</f>
        <v>43198</v>
      </c>
      <c r="I197" t="str">
        <f>_xlfn.XLOOKUP(A197,Orders[OrderID],Orders[CustomerName])</f>
        <v>Aarushi</v>
      </c>
      <c r="J197" t="str">
        <f>_xlfn.XLOOKUP(A197,Orders[OrderID],Orders[State])</f>
        <v>Tamil Nadu</v>
      </c>
      <c r="K197" t="str">
        <f>_xlfn.XLOOKUP(A197,Orders[OrderID],Orders[City])</f>
        <v>Chennai</v>
      </c>
      <c r="L197" s="3">
        <f>YEAR(Clean_Data[[#This Row],[OrderDate]])</f>
        <v>2018</v>
      </c>
      <c r="M197" s="3">
        <f>MONTH(Clean_Data[[#This Row],[OrderDate]])</f>
        <v>4</v>
      </c>
      <c r="N197" s="8" t="str">
        <f>TEXT(Clean_Data[[#This Row],[OrderDate]],"mmm")</f>
        <v>Apr</v>
      </c>
      <c r="O197" s="8" t="str">
        <f>TEXT(Clean_Data[[#This Row],[OrderDate]], "yyyy-mm")</f>
        <v>2018-04</v>
      </c>
      <c r="P197" s="7">
        <f>Clean_Data[[#This Row],[Profit]]/Clean_Data[[#This Row],[Revenue ]]</f>
        <v>0</v>
      </c>
      <c r="Q197" t="str">
        <f>"Q"&amp;ROUNDUP(MONTH(Clean_Data[[#This Row],[OrderDate]])/3,0)</f>
        <v>Q2</v>
      </c>
      <c r="R197" t="str">
        <f>TEXT(Clean_Data[[#This Row],[OrderDate]], "dddd")</f>
        <v>Sunday</v>
      </c>
    </row>
    <row r="198" spans="1:18" x14ac:dyDescent="0.25">
      <c r="A198" t="s">
        <v>294</v>
      </c>
      <c r="B198" s="4">
        <v>24</v>
      </c>
      <c r="C198" s="4">
        <v>11</v>
      </c>
      <c r="D198" s="3">
        <v>5</v>
      </c>
      <c r="E198" t="s">
        <v>895</v>
      </c>
      <c r="F198" t="s">
        <v>899</v>
      </c>
      <c r="G198" t="s">
        <v>907</v>
      </c>
      <c r="H198" s="6">
        <f>_xlfn.XLOOKUP(A198,Orders[OrderID],Orders[OrderDate])</f>
        <v>43440</v>
      </c>
      <c r="I198" t="str">
        <f>_xlfn.XLOOKUP(A198,Orders[OrderID],Orders[CustomerName])</f>
        <v>Rohan</v>
      </c>
      <c r="J198" t="str">
        <f>_xlfn.XLOOKUP(A198,Orders[OrderID],Orders[State])</f>
        <v>Madhya Pradesh</v>
      </c>
      <c r="K198" t="str">
        <f>_xlfn.XLOOKUP(A198,Orders[OrderID],Orders[City])</f>
        <v>Indore</v>
      </c>
      <c r="L198" s="3">
        <f>YEAR(Clean_Data[[#This Row],[OrderDate]])</f>
        <v>2018</v>
      </c>
      <c r="M198" s="3">
        <f>MONTH(Clean_Data[[#This Row],[OrderDate]])</f>
        <v>12</v>
      </c>
      <c r="N198" s="8" t="str">
        <f>TEXT(Clean_Data[[#This Row],[OrderDate]],"mmm")</f>
        <v>Dec</v>
      </c>
      <c r="O198" s="8" t="str">
        <f>TEXT(Clean_Data[[#This Row],[OrderDate]], "yyyy-mm")</f>
        <v>2018-12</v>
      </c>
      <c r="P198" s="7">
        <f>Clean_Data[[#This Row],[Profit]]/Clean_Data[[#This Row],[Revenue ]]</f>
        <v>0.45833333333333331</v>
      </c>
      <c r="Q198" t="str">
        <f>"Q"&amp;ROUNDUP(MONTH(Clean_Data[[#This Row],[OrderDate]])/3,0)</f>
        <v>Q4</v>
      </c>
      <c r="R198" t="str">
        <f>TEXT(Clean_Data[[#This Row],[OrderDate]], "dddd")</f>
        <v>Thursday</v>
      </c>
    </row>
    <row r="199" spans="1:18" x14ac:dyDescent="0.25">
      <c r="A199" t="s">
        <v>44</v>
      </c>
      <c r="B199" s="4">
        <v>37</v>
      </c>
      <c r="C199" s="4">
        <v>3</v>
      </c>
      <c r="D199" s="3">
        <v>3</v>
      </c>
      <c r="E199" t="s">
        <v>895</v>
      </c>
      <c r="F199" t="s">
        <v>899</v>
      </c>
      <c r="G199" t="s">
        <v>887</v>
      </c>
      <c r="H199" s="6">
        <f>_xlfn.XLOOKUP(A199,Orders[OrderID],Orders[OrderDate])</f>
        <v>43429</v>
      </c>
      <c r="I199" t="str">
        <f>_xlfn.XLOOKUP(A199,Orders[OrderID],Orders[CustomerName])</f>
        <v>Lalita</v>
      </c>
      <c r="J199" t="str">
        <f>_xlfn.XLOOKUP(A199,Orders[OrderID],Orders[State])</f>
        <v>Uttar Pradesh</v>
      </c>
      <c r="K199" t="str">
        <f>_xlfn.XLOOKUP(A199,Orders[OrderID],Orders[City])</f>
        <v>Mathura</v>
      </c>
      <c r="L199" s="3">
        <f>YEAR(Clean_Data[[#This Row],[OrderDate]])</f>
        <v>2018</v>
      </c>
      <c r="M199" s="3">
        <f>MONTH(Clean_Data[[#This Row],[OrderDate]])</f>
        <v>11</v>
      </c>
      <c r="N199" s="8" t="str">
        <f>TEXT(Clean_Data[[#This Row],[OrderDate]],"mmm")</f>
        <v>Nov</v>
      </c>
      <c r="O199" s="8" t="str">
        <f>TEXT(Clean_Data[[#This Row],[OrderDate]], "yyyy-mm")</f>
        <v>2018-11</v>
      </c>
      <c r="P199" s="7">
        <f>Clean_Data[[#This Row],[Profit]]/Clean_Data[[#This Row],[Revenue ]]</f>
        <v>8.1081081081081086E-2</v>
      </c>
      <c r="Q199" t="str">
        <f>"Q"&amp;ROUNDUP(MONTH(Clean_Data[[#This Row],[OrderDate]])/3,0)</f>
        <v>Q4</v>
      </c>
      <c r="R199" t="str">
        <f>TEXT(Clean_Data[[#This Row],[OrderDate]], "dddd")</f>
        <v>Sunday</v>
      </c>
    </row>
    <row r="200" spans="1:18" x14ac:dyDescent="0.25">
      <c r="A200" t="s">
        <v>618</v>
      </c>
      <c r="B200" s="4">
        <v>152</v>
      </c>
      <c r="C200" s="4">
        <v>50</v>
      </c>
      <c r="D200" s="3">
        <v>6</v>
      </c>
      <c r="E200" t="s">
        <v>895</v>
      </c>
      <c r="F200" t="s">
        <v>903</v>
      </c>
      <c r="G200" t="s">
        <v>898</v>
      </c>
      <c r="H200" s="6">
        <f>_xlfn.XLOOKUP(A200,Orders[OrderID],Orders[OrderDate])</f>
        <v>43445</v>
      </c>
      <c r="I200" t="str">
        <f>_xlfn.XLOOKUP(A200,Orders[OrderID],Orders[CustomerName])</f>
        <v>Bhargav</v>
      </c>
      <c r="J200" t="str">
        <f>_xlfn.XLOOKUP(A200,Orders[OrderID],Orders[State])</f>
        <v>Delhi</v>
      </c>
      <c r="K200" t="str">
        <f>_xlfn.XLOOKUP(A200,Orders[OrderID],Orders[City])</f>
        <v>Delhi</v>
      </c>
      <c r="L200" s="3">
        <f>YEAR(Clean_Data[[#This Row],[OrderDate]])</f>
        <v>2018</v>
      </c>
      <c r="M200" s="3">
        <f>MONTH(Clean_Data[[#This Row],[OrderDate]])</f>
        <v>12</v>
      </c>
      <c r="N200" s="8" t="str">
        <f>TEXT(Clean_Data[[#This Row],[OrderDate]],"mmm")</f>
        <v>Dec</v>
      </c>
      <c r="O200" s="8" t="str">
        <f>TEXT(Clean_Data[[#This Row],[OrderDate]], "yyyy-mm")</f>
        <v>2018-12</v>
      </c>
      <c r="P200" s="7">
        <f>Clean_Data[[#This Row],[Profit]]/Clean_Data[[#This Row],[Revenue ]]</f>
        <v>0.32894736842105265</v>
      </c>
      <c r="Q200" t="str">
        <f>"Q"&amp;ROUNDUP(MONTH(Clean_Data[[#This Row],[OrderDate]])/3,0)</f>
        <v>Q4</v>
      </c>
      <c r="R200" t="str">
        <f>TEXT(Clean_Data[[#This Row],[OrderDate]], "dddd")</f>
        <v>Tuesday</v>
      </c>
    </row>
    <row r="201" spans="1:18" x14ac:dyDescent="0.25">
      <c r="A201" t="s">
        <v>724</v>
      </c>
      <c r="B201" s="4">
        <v>32</v>
      </c>
      <c r="C201" s="4">
        <v>11</v>
      </c>
      <c r="D201" s="3">
        <v>2</v>
      </c>
      <c r="E201" t="s">
        <v>895</v>
      </c>
      <c r="F201" t="s">
        <v>904</v>
      </c>
      <c r="G201" t="s">
        <v>898</v>
      </c>
      <c r="H201" s="6">
        <f>_xlfn.XLOOKUP(A201,Orders[OrderID],Orders[OrderDate])</f>
        <v>43387</v>
      </c>
      <c r="I201" t="str">
        <f>_xlfn.XLOOKUP(A201,Orders[OrderID],Orders[CustomerName])</f>
        <v>Sandeep</v>
      </c>
      <c r="J201" t="str">
        <f>_xlfn.XLOOKUP(A201,Orders[OrderID],Orders[State])</f>
        <v>Madhya Pradesh</v>
      </c>
      <c r="K201" t="str">
        <f>_xlfn.XLOOKUP(A201,Orders[OrderID],Orders[City])</f>
        <v>Indore</v>
      </c>
      <c r="L201" s="3">
        <f>YEAR(Clean_Data[[#This Row],[OrderDate]])</f>
        <v>2018</v>
      </c>
      <c r="M201" s="3">
        <f>MONTH(Clean_Data[[#This Row],[OrderDate]])</f>
        <v>10</v>
      </c>
      <c r="N201" s="8" t="str">
        <f>TEXT(Clean_Data[[#This Row],[OrderDate]],"mmm")</f>
        <v>Oct</v>
      </c>
      <c r="O201" s="8" t="str">
        <f>TEXT(Clean_Data[[#This Row],[OrderDate]], "yyyy-mm")</f>
        <v>2018-10</v>
      </c>
      <c r="P201" s="7">
        <f>Clean_Data[[#This Row],[Profit]]/Clean_Data[[#This Row],[Revenue ]]</f>
        <v>0.34375</v>
      </c>
      <c r="Q201" t="str">
        <f>"Q"&amp;ROUNDUP(MONTH(Clean_Data[[#This Row],[OrderDate]])/3,0)</f>
        <v>Q4</v>
      </c>
      <c r="R201" t="str">
        <f>TEXT(Clean_Data[[#This Row],[OrderDate]], "dddd")</f>
        <v>Sunday</v>
      </c>
    </row>
    <row r="202" spans="1:18" x14ac:dyDescent="0.25">
      <c r="A202" t="s">
        <v>612</v>
      </c>
      <c r="B202" s="4">
        <v>52</v>
      </c>
      <c r="C202" s="4">
        <v>11</v>
      </c>
      <c r="D202" s="3">
        <v>5</v>
      </c>
      <c r="E202" t="s">
        <v>895</v>
      </c>
      <c r="F202" t="s">
        <v>904</v>
      </c>
      <c r="G202" t="s">
        <v>887</v>
      </c>
      <c r="H202" s="6">
        <f>_xlfn.XLOOKUP(A202,Orders[OrderID],Orders[OrderDate])</f>
        <v>43402</v>
      </c>
      <c r="I202" t="str">
        <f>_xlfn.XLOOKUP(A202,Orders[OrderID],Orders[CustomerName])</f>
        <v>Moumita</v>
      </c>
      <c r="J202" t="str">
        <f>_xlfn.XLOOKUP(A202,Orders[OrderID],Orders[State])</f>
        <v>Gujarat</v>
      </c>
      <c r="K202" t="str">
        <f>_xlfn.XLOOKUP(A202,Orders[OrderID],Orders[City])</f>
        <v>Ahmedabad</v>
      </c>
      <c r="L202" s="3">
        <f>YEAR(Clean_Data[[#This Row],[OrderDate]])</f>
        <v>2018</v>
      </c>
      <c r="M202" s="3">
        <f>MONTH(Clean_Data[[#This Row],[OrderDate]])</f>
        <v>10</v>
      </c>
      <c r="N202" s="8" t="str">
        <f>TEXT(Clean_Data[[#This Row],[OrderDate]],"mmm")</f>
        <v>Oct</v>
      </c>
      <c r="O202" s="8" t="str">
        <f>TEXT(Clean_Data[[#This Row],[OrderDate]], "yyyy-mm")</f>
        <v>2018-10</v>
      </c>
      <c r="P202" s="7">
        <f>Clean_Data[[#This Row],[Profit]]/Clean_Data[[#This Row],[Revenue ]]</f>
        <v>0.21153846153846154</v>
      </c>
      <c r="Q202" t="str">
        <f>"Q"&amp;ROUNDUP(MONTH(Clean_Data[[#This Row],[OrderDate]])/3,0)</f>
        <v>Q4</v>
      </c>
      <c r="R202" t="str">
        <f>TEXT(Clean_Data[[#This Row],[OrderDate]], "dddd")</f>
        <v>Monday</v>
      </c>
    </row>
    <row r="203" spans="1:18" x14ac:dyDescent="0.25">
      <c r="A203" t="s">
        <v>330</v>
      </c>
      <c r="B203" s="4">
        <v>24</v>
      </c>
      <c r="C203" s="4">
        <v>11</v>
      </c>
      <c r="D203" s="3">
        <v>3</v>
      </c>
      <c r="E203" t="s">
        <v>895</v>
      </c>
      <c r="F203" t="s">
        <v>899</v>
      </c>
      <c r="G203" t="s">
        <v>907</v>
      </c>
      <c r="H203" s="6">
        <f>_xlfn.XLOOKUP(A203,Orders[OrderID],Orders[OrderDate])</f>
        <v>43181</v>
      </c>
      <c r="I203" t="str">
        <f>_xlfn.XLOOKUP(A203,Orders[OrderID],Orders[CustomerName])</f>
        <v>Aarushi</v>
      </c>
      <c r="J203" t="str">
        <f>_xlfn.XLOOKUP(A203,Orders[OrderID],Orders[State])</f>
        <v>Tamil Nadu</v>
      </c>
      <c r="K203" t="str">
        <f>_xlfn.XLOOKUP(A203,Orders[OrderID],Orders[City])</f>
        <v>Chennai</v>
      </c>
      <c r="L203" s="3">
        <f>YEAR(Clean_Data[[#This Row],[OrderDate]])</f>
        <v>2018</v>
      </c>
      <c r="M203" s="3">
        <f>MONTH(Clean_Data[[#This Row],[OrderDate]])</f>
        <v>3</v>
      </c>
      <c r="N203" s="8" t="str">
        <f>TEXT(Clean_Data[[#This Row],[OrderDate]],"mmm")</f>
        <v>Mar</v>
      </c>
      <c r="O203" s="8" t="str">
        <f>TEXT(Clean_Data[[#This Row],[OrderDate]], "yyyy-mm")</f>
        <v>2018-03</v>
      </c>
      <c r="P203" s="7">
        <f>Clean_Data[[#This Row],[Profit]]/Clean_Data[[#This Row],[Revenue ]]</f>
        <v>0.45833333333333331</v>
      </c>
      <c r="Q203" t="str">
        <f>"Q"&amp;ROUNDUP(MONTH(Clean_Data[[#This Row],[OrderDate]])/3,0)</f>
        <v>Q1</v>
      </c>
      <c r="R203" t="str">
        <f>TEXT(Clean_Data[[#This Row],[OrderDate]], "dddd")</f>
        <v>Thursday</v>
      </c>
    </row>
    <row r="204" spans="1:18" x14ac:dyDescent="0.25">
      <c r="A204" t="s">
        <v>181</v>
      </c>
      <c r="B204" s="4">
        <v>473</v>
      </c>
      <c r="C204" s="4">
        <v>42</v>
      </c>
      <c r="D204" s="3">
        <v>4</v>
      </c>
      <c r="E204" t="s">
        <v>888</v>
      </c>
      <c r="F204" t="s">
        <v>889</v>
      </c>
      <c r="G204" t="s">
        <v>887</v>
      </c>
      <c r="H204" s="6">
        <f>_xlfn.XLOOKUP(A204,Orders[OrderID],Orders[OrderDate])</f>
        <v>43303</v>
      </c>
      <c r="I204" t="str">
        <f>_xlfn.XLOOKUP(A204,Orders[OrderID],Orders[CustomerName])</f>
        <v>Rishabh</v>
      </c>
      <c r="J204" t="str">
        <f>_xlfn.XLOOKUP(A204,Orders[OrderID],Orders[State])</f>
        <v>Rajasthan</v>
      </c>
      <c r="K204" t="str">
        <f>_xlfn.XLOOKUP(A204,Orders[OrderID],Orders[City])</f>
        <v>Jaipur</v>
      </c>
      <c r="L204" s="3">
        <f>YEAR(Clean_Data[[#This Row],[OrderDate]])</f>
        <v>2018</v>
      </c>
      <c r="M204" s="3">
        <f>MONTH(Clean_Data[[#This Row],[OrderDate]])</f>
        <v>7</v>
      </c>
      <c r="N204" s="8" t="str">
        <f>TEXT(Clean_Data[[#This Row],[OrderDate]],"mmm")</f>
        <v>Jul</v>
      </c>
      <c r="O204" s="8" t="str">
        <f>TEXT(Clean_Data[[#This Row],[OrderDate]], "yyyy-mm")</f>
        <v>2018-07</v>
      </c>
      <c r="P204" s="7">
        <f>Clean_Data[[#This Row],[Profit]]/Clean_Data[[#This Row],[Revenue ]]</f>
        <v>8.8794926004228336E-2</v>
      </c>
      <c r="Q204" t="str">
        <f>"Q"&amp;ROUNDUP(MONTH(Clean_Data[[#This Row],[OrderDate]])/3,0)</f>
        <v>Q3</v>
      </c>
      <c r="R204" t="str">
        <f>TEXT(Clean_Data[[#This Row],[OrderDate]], "dddd")</f>
        <v>Sunday</v>
      </c>
    </row>
    <row r="205" spans="1:18" x14ac:dyDescent="0.25">
      <c r="A205" t="s">
        <v>519</v>
      </c>
      <c r="B205" s="4">
        <v>263</v>
      </c>
      <c r="C205" s="4">
        <v>50</v>
      </c>
      <c r="D205" s="3">
        <v>5</v>
      </c>
      <c r="E205" t="s">
        <v>895</v>
      </c>
      <c r="F205" t="s">
        <v>903</v>
      </c>
      <c r="G205" t="s">
        <v>887</v>
      </c>
      <c r="H205" s="6">
        <f>_xlfn.XLOOKUP(A205,Orders[OrderID],Orders[OrderDate])</f>
        <v>43402</v>
      </c>
      <c r="I205" t="str">
        <f>_xlfn.XLOOKUP(A205,Orders[OrderID],Orders[CustomerName])</f>
        <v>Palak</v>
      </c>
      <c r="J205" t="str">
        <f>_xlfn.XLOOKUP(A205,Orders[OrderID],Orders[State])</f>
        <v>Maharashtra</v>
      </c>
      <c r="K205" t="str">
        <f>_xlfn.XLOOKUP(A205,Orders[OrderID],Orders[City])</f>
        <v>Mumbai</v>
      </c>
      <c r="L205" s="3">
        <f>YEAR(Clean_Data[[#This Row],[OrderDate]])</f>
        <v>2018</v>
      </c>
      <c r="M205" s="3">
        <f>MONTH(Clean_Data[[#This Row],[OrderDate]])</f>
        <v>10</v>
      </c>
      <c r="N205" s="8" t="str">
        <f>TEXT(Clean_Data[[#This Row],[OrderDate]],"mmm")</f>
        <v>Oct</v>
      </c>
      <c r="O205" s="8" t="str">
        <f>TEXT(Clean_Data[[#This Row],[OrderDate]], "yyyy-mm")</f>
        <v>2018-10</v>
      </c>
      <c r="P205" s="7">
        <f>Clean_Data[[#This Row],[Profit]]/Clean_Data[[#This Row],[Revenue ]]</f>
        <v>0.19011406844106463</v>
      </c>
      <c r="Q205" t="str">
        <f>"Q"&amp;ROUNDUP(MONTH(Clean_Data[[#This Row],[OrderDate]])/3,0)</f>
        <v>Q4</v>
      </c>
      <c r="R205" t="str">
        <f>TEXT(Clean_Data[[#This Row],[OrderDate]], "dddd")</f>
        <v>Monday</v>
      </c>
    </row>
    <row r="206" spans="1:18" x14ac:dyDescent="0.25">
      <c r="A206" t="s">
        <v>308</v>
      </c>
      <c r="B206" s="4">
        <v>61</v>
      </c>
      <c r="C206" s="4">
        <v>11</v>
      </c>
      <c r="D206" s="3">
        <v>3</v>
      </c>
      <c r="E206" t="s">
        <v>895</v>
      </c>
      <c r="F206" t="s">
        <v>900</v>
      </c>
      <c r="G206" t="s">
        <v>887</v>
      </c>
      <c r="H206" s="6">
        <f>_xlfn.XLOOKUP(A206,Orders[OrderID],Orders[OrderDate])</f>
        <v>43438</v>
      </c>
      <c r="I206" t="str">
        <f>_xlfn.XLOOKUP(A206,Orders[OrderID],Orders[CustomerName])</f>
        <v>Vrinda</v>
      </c>
      <c r="J206" t="str">
        <f>_xlfn.XLOOKUP(A206,Orders[OrderID],Orders[State])</f>
        <v>Uttar Pradesh</v>
      </c>
      <c r="K206" t="str">
        <f>_xlfn.XLOOKUP(A206,Orders[OrderID],Orders[City])</f>
        <v>Mathura</v>
      </c>
      <c r="L206" s="3">
        <f>YEAR(Clean_Data[[#This Row],[OrderDate]])</f>
        <v>2018</v>
      </c>
      <c r="M206" s="3">
        <f>MONTH(Clean_Data[[#This Row],[OrderDate]])</f>
        <v>12</v>
      </c>
      <c r="N206" s="8" t="str">
        <f>TEXT(Clean_Data[[#This Row],[OrderDate]],"mmm")</f>
        <v>Dec</v>
      </c>
      <c r="O206" s="8" t="str">
        <f>TEXT(Clean_Data[[#This Row],[OrderDate]], "yyyy-mm")</f>
        <v>2018-12</v>
      </c>
      <c r="P206" s="7">
        <f>Clean_Data[[#This Row],[Profit]]/Clean_Data[[#This Row],[Revenue ]]</f>
        <v>0.18032786885245902</v>
      </c>
      <c r="Q206" t="str">
        <f>"Q"&amp;ROUNDUP(MONTH(Clean_Data[[#This Row],[OrderDate]])/3,0)</f>
        <v>Q4</v>
      </c>
      <c r="R206" t="str">
        <f>TEXT(Clean_Data[[#This Row],[OrderDate]], "dddd")</f>
        <v>Tuesday</v>
      </c>
    </row>
    <row r="207" spans="1:18" x14ac:dyDescent="0.25">
      <c r="A207" t="s">
        <v>401</v>
      </c>
      <c r="B207" s="4">
        <v>469</v>
      </c>
      <c r="C207" s="4">
        <v>-459</v>
      </c>
      <c r="D207" s="3">
        <v>3</v>
      </c>
      <c r="E207" t="s">
        <v>885</v>
      </c>
      <c r="F207" t="s">
        <v>886</v>
      </c>
      <c r="G207" t="s">
        <v>887</v>
      </c>
      <c r="H207" s="6">
        <f>_xlfn.XLOOKUP(A207,Orders[OrderID],Orders[OrderDate])</f>
        <v>43265</v>
      </c>
      <c r="I207" t="str">
        <f>_xlfn.XLOOKUP(A207,Orders[OrderID],Orders[CustomerName])</f>
        <v>Bhaggyasree</v>
      </c>
      <c r="J207" t="str">
        <f>_xlfn.XLOOKUP(A207,Orders[OrderID],Orders[State])</f>
        <v>Maharashtra</v>
      </c>
      <c r="K207" t="str">
        <f>_xlfn.XLOOKUP(A207,Orders[OrderID],Orders[City])</f>
        <v>Mumbai</v>
      </c>
      <c r="L207" s="3">
        <f>YEAR(Clean_Data[[#This Row],[OrderDate]])</f>
        <v>2018</v>
      </c>
      <c r="M207" s="3">
        <f>MONTH(Clean_Data[[#This Row],[OrderDate]])</f>
        <v>6</v>
      </c>
      <c r="N207" s="8" t="str">
        <f>TEXT(Clean_Data[[#This Row],[OrderDate]],"mmm")</f>
        <v>Jun</v>
      </c>
      <c r="O207" s="8" t="str">
        <f>TEXT(Clean_Data[[#This Row],[OrderDate]], "yyyy-mm")</f>
        <v>2018-06</v>
      </c>
      <c r="P207" s="7">
        <f>Clean_Data[[#This Row],[Profit]]/Clean_Data[[#This Row],[Revenue ]]</f>
        <v>-0.97867803837953093</v>
      </c>
      <c r="Q207" t="str">
        <f>"Q"&amp;ROUNDUP(MONTH(Clean_Data[[#This Row],[OrderDate]])/3,0)</f>
        <v>Q2</v>
      </c>
      <c r="R207" t="str">
        <f>TEXT(Clean_Data[[#This Row],[OrderDate]], "dddd")</f>
        <v>Thursday</v>
      </c>
    </row>
    <row r="208" spans="1:18" x14ac:dyDescent="0.25">
      <c r="A208" t="s">
        <v>162</v>
      </c>
      <c r="B208" s="4">
        <v>1272</v>
      </c>
      <c r="C208" s="4">
        <v>547</v>
      </c>
      <c r="D208" s="3">
        <v>2</v>
      </c>
      <c r="E208" t="s">
        <v>885</v>
      </c>
      <c r="F208" t="s">
        <v>894</v>
      </c>
      <c r="G208" t="s">
        <v>887</v>
      </c>
      <c r="H208" s="6">
        <f>_xlfn.XLOOKUP(A208,Orders[OrderID],Orders[OrderDate])</f>
        <v>43151</v>
      </c>
      <c r="I208" t="str">
        <f>_xlfn.XLOOKUP(A208,Orders[OrderID],Orders[CustomerName])</f>
        <v>Manju</v>
      </c>
      <c r="J208" t="str">
        <f>_xlfn.XLOOKUP(A208,Orders[OrderID],Orders[State])</f>
        <v>Andhra Pradesh</v>
      </c>
      <c r="K208" t="str">
        <f>_xlfn.XLOOKUP(A208,Orders[OrderID],Orders[City])</f>
        <v>Hyderabad</v>
      </c>
      <c r="L208" s="3">
        <f>YEAR(Clean_Data[[#This Row],[OrderDate]])</f>
        <v>2018</v>
      </c>
      <c r="M208" s="3">
        <f>MONTH(Clean_Data[[#This Row],[OrderDate]])</f>
        <v>2</v>
      </c>
      <c r="N208" s="8" t="str">
        <f>TEXT(Clean_Data[[#This Row],[OrderDate]],"mmm")</f>
        <v>Feb</v>
      </c>
      <c r="O208" s="8" t="str">
        <f>TEXT(Clean_Data[[#This Row],[OrderDate]], "yyyy-mm")</f>
        <v>2018-02</v>
      </c>
      <c r="P208" s="7">
        <f>Clean_Data[[#This Row],[Profit]]/Clean_Data[[#This Row],[Revenue ]]</f>
        <v>0.43003144654088049</v>
      </c>
      <c r="Q208" t="str">
        <f>"Q"&amp;ROUNDUP(MONTH(Clean_Data[[#This Row],[OrderDate]])/3,0)</f>
        <v>Q1</v>
      </c>
      <c r="R208" t="str">
        <f>TEXT(Clean_Data[[#This Row],[OrderDate]], "dddd")</f>
        <v>Tuesday</v>
      </c>
    </row>
    <row r="209" spans="1:18" x14ac:dyDescent="0.25">
      <c r="A209" t="s">
        <v>330</v>
      </c>
      <c r="B209" s="4">
        <v>169</v>
      </c>
      <c r="C209" s="4">
        <v>0</v>
      </c>
      <c r="D209" s="3">
        <v>3</v>
      </c>
      <c r="E209" t="s">
        <v>885</v>
      </c>
      <c r="F209" t="s">
        <v>905</v>
      </c>
      <c r="G209" t="s">
        <v>887</v>
      </c>
      <c r="H209" s="6">
        <f>_xlfn.XLOOKUP(A209,Orders[OrderID],Orders[OrderDate])</f>
        <v>43181</v>
      </c>
      <c r="I209" t="str">
        <f>_xlfn.XLOOKUP(A209,Orders[OrderID],Orders[CustomerName])</f>
        <v>Aarushi</v>
      </c>
      <c r="J209" t="str">
        <f>_xlfn.XLOOKUP(A209,Orders[OrderID],Orders[State])</f>
        <v>Tamil Nadu</v>
      </c>
      <c r="K209" t="str">
        <f>_xlfn.XLOOKUP(A209,Orders[OrderID],Orders[City])</f>
        <v>Chennai</v>
      </c>
      <c r="L209" s="3">
        <f>YEAR(Clean_Data[[#This Row],[OrderDate]])</f>
        <v>2018</v>
      </c>
      <c r="M209" s="3">
        <f>MONTH(Clean_Data[[#This Row],[OrderDate]])</f>
        <v>3</v>
      </c>
      <c r="N209" s="8" t="str">
        <f>TEXT(Clean_Data[[#This Row],[OrderDate]],"mmm")</f>
        <v>Mar</v>
      </c>
      <c r="O209" s="8" t="str">
        <f>TEXT(Clean_Data[[#This Row],[OrderDate]], "yyyy-mm")</f>
        <v>2018-03</v>
      </c>
      <c r="P209" s="7">
        <f>Clean_Data[[#This Row],[Profit]]/Clean_Data[[#This Row],[Revenue ]]</f>
        <v>0</v>
      </c>
      <c r="Q209" t="str">
        <f>"Q"&amp;ROUNDUP(MONTH(Clean_Data[[#This Row],[OrderDate]])/3,0)</f>
        <v>Q1</v>
      </c>
      <c r="R209" t="str">
        <f>TEXT(Clean_Data[[#This Row],[OrderDate]], "dddd")</f>
        <v>Thursday</v>
      </c>
    </row>
    <row r="210" spans="1:18" x14ac:dyDescent="0.25">
      <c r="A210" t="s">
        <v>411</v>
      </c>
      <c r="B210" s="4">
        <v>25</v>
      </c>
      <c r="C210" s="4">
        <v>11</v>
      </c>
      <c r="D210" s="3">
        <v>3</v>
      </c>
      <c r="E210" t="s">
        <v>895</v>
      </c>
      <c r="F210" t="s">
        <v>904</v>
      </c>
      <c r="G210" t="s">
        <v>907</v>
      </c>
      <c r="H210" s="6">
        <f>_xlfn.XLOOKUP(A210,Orders[OrderID],Orders[OrderDate])</f>
        <v>43444</v>
      </c>
      <c r="I210" t="str">
        <f>_xlfn.XLOOKUP(A210,Orders[OrderID],Orders[CustomerName])</f>
        <v>Amlan</v>
      </c>
      <c r="J210" t="str">
        <f>_xlfn.XLOOKUP(A210,Orders[OrderID],Orders[State])</f>
        <v>Madhya Pradesh</v>
      </c>
      <c r="K210" t="str">
        <f>_xlfn.XLOOKUP(A210,Orders[OrderID],Orders[City])</f>
        <v>Indore</v>
      </c>
      <c r="L210" s="3">
        <f>YEAR(Clean_Data[[#This Row],[OrderDate]])</f>
        <v>2018</v>
      </c>
      <c r="M210" s="3">
        <f>MONTH(Clean_Data[[#This Row],[OrderDate]])</f>
        <v>12</v>
      </c>
      <c r="N210" s="8" t="str">
        <f>TEXT(Clean_Data[[#This Row],[OrderDate]],"mmm")</f>
        <v>Dec</v>
      </c>
      <c r="O210" s="8" t="str">
        <f>TEXT(Clean_Data[[#This Row],[OrderDate]], "yyyy-mm")</f>
        <v>2018-12</v>
      </c>
      <c r="P210" s="7">
        <f>Clean_Data[[#This Row],[Profit]]/Clean_Data[[#This Row],[Revenue ]]</f>
        <v>0.44</v>
      </c>
      <c r="Q210" t="str">
        <f>"Q"&amp;ROUNDUP(MONTH(Clean_Data[[#This Row],[OrderDate]])/3,0)</f>
        <v>Q4</v>
      </c>
      <c r="R210" t="str">
        <f>TEXT(Clean_Data[[#This Row],[OrderDate]], "dddd")</f>
        <v>Monday</v>
      </c>
    </row>
    <row r="211" spans="1:18" x14ac:dyDescent="0.25">
      <c r="A211" t="s">
        <v>258</v>
      </c>
      <c r="B211" s="4">
        <v>457</v>
      </c>
      <c r="C211" s="4">
        <v>-41</v>
      </c>
      <c r="D211" s="3">
        <v>4</v>
      </c>
      <c r="E211" t="s">
        <v>895</v>
      </c>
      <c r="F211" t="s">
        <v>897</v>
      </c>
      <c r="G211" t="s">
        <v>887</v>
      </c>
      <c r="H211" s="6">
        <f>_xlfn.XLOOKUP(A211,Orders[OrderID],Orders[OrderDate])</f>
        <v>43227</v>
      </c>
      <c r="I211" t="str">
        <f>_xlfn.XLOOKUP(A211,Orders[OrderID],Orders[CustomerName])</f>
        <v>Anurag</v>
      </c>
      <c r="J211" t="str">
        <f>_xlfn.XLOOKUP(A211,Orders[OrderID],Orders[State])</f>
        <v>Madhya Pradesh</v>
      </c>
      <c r="K211" t="str">
        <f>_xlfn.XLOOKUP(A211,Orders[OrderID],Orders[City])</f>
        <v>Indore</v>
      </c>
      <c r="L211" s="3">
        <f>YEAR(Clean_Data[[#This Row],[OrderDate]])</f>
        <v>2018</v>
      </c>
      <c r="M211" s="3">
        <f>MONTH(Clean_Data[[#This Row],[OrderDate]])</f>
        <v>5</v>
      </c>
      <c r="N211" s="8" t="str">
        <f>TEXT(Clean_Data[[#This Row],[OrderDate]],"mmm")</f>
        <v>May</v>
      </c>
      <c r="O211" s="8" t="str">
        <f>TEXT(Clean_Data[[#This Row],[OrderDate]], "yyyy-mm")</f>
        <v>2018-05</v>
      </c>
      <c r="P211" s="7">
        <f>Clean_Data[[#This Row],[Profit]]/Clean_Data[[#This Row],[Revenue ]]</f>
        <v>-8.9715536105032828E-2</v>
      </c>
      <c r="Q211" t="str">
        <f>"Q"&amp;ROUNDUP(MONTH(Clean_Data[[#This Row],[OrderDate]])/3,0)</f>
        <v>Q2</v>
      </c>
      <c r="R211" t="str">
        <f>TEXT(Clean_Data[[#This Row],[OrderDate]], "dddd")</f>
        <v>Monday</v>
      </c>
    </row>
    <row r="212" spans="1:18" x14ac:dyDescent="0.25">
      <c r="A212" t="s">
        <v>411</v>
      </c>
      <c r="B212" s="4">
        <v>455</v>
      </c>
      <c r="C212" s="4">
        <v>77</v>
      </c>
      <c r="D212" s="3">
        <v>8</v>
      </c>
      <c r="E212" t="s">
        <v>885</v>
      </c>
      <c r="F212" t="s">
        <v>905</v>
      </c>
      <c r="G212" t="s">
        <v>887</v>
      </c>
      <c r="H212" s="6">
        <f>_xlfn.XLOOKUP(A212,Orders[OrderID],Orders[OrderDate])</f>
        <v>43444</v>
      </c>
      <c r="I212" t="str">
        <f>_xlfn.XLOOKUP(A212,Orders[OrderID],Orders[CustomerName])</f>
        <v>Amlan</v>
      </c>
      <c r="J212" t="str">
        <f>_xlfn.XLOOKUP(A212,Orders[OrderID],Orders[State])</f>
        <v>Madhya Pradesh</v>
      </c>
      <c r="K212" t="str">
        <f>_xlfn.XLOOKUP(A212,Orders[OrderID],Orders[City])</f>
        <v>Indore</v>
      </c>
      <c r="L212" s="3">
        <f>YEAR(Clean_Data[[#This Row],[OrderDate]])</f>
        <v>2018</v>
      </c>
      <c r="M212" s="3">
        <f>MONTH(Clean_Data[[#This Row],[OrderDate]])</f>
        <v>12</v>
      </c>
      <c r="N212" s="8" t="str">
        <f>TEXT(Clean_Data[[#This Row],[OrderDate]],"mmm")</f>
        <v>Dec</v>
      </c>
      <c r="O212" s="8" t="str">
        <f>TEXT(Clean_Data[[#This Row],[OrderDate]], "yyyy-mm")</f>
        <v>2018-12</v>
      </c>
      <c r="P212" s="7">
        <f>Clean_Data[[#This Row],[Profit]]/Clean_Data[[#This Row],[Revenue ]]</f>
        <v>0.16923076923076924</v>
      </c>
      <c r="Q212" t="str">
        <f>"Q"&amp;ROUNDUP(MONTH(Clean_Data[[#This Row],[OrderDate]])/3,0)</f>
        <v>Q4</v>
      </c>
      <c r="R212" t="str">
        <f>TEXT(Clean_Data[[#This Row],[OrderDate]], "dddd")</f>
        <v>Monday</v>
      </c>
    </row>
    <row r="213" spans="1:18" x14ac:dyDescent="0.25">
      <c r="A213" t="s">
        <v>279</v>
      </c>
      <c r="B213" s="4">
        <v>25</v>
      </c>
      <c r="C213" s="4">
        <v>2</v>
      </c>
      <c r="D213" s="3">
        <v>2</v>
      </c>
      <c r="E213" t="s">
        <v>895</v>
      </c>
      <c r="F213" t="s">
        <v>899</v>
      </c>
      <c r="G213" t="s">
        <v>907</v>
      </c>
      <c r="H213" s="6">
        <f>_xlfn.XLOOKUP(A213,Orders[OrderID],Orders[OrderDate])</f>
        <v>43185</v>
      </c>
      <c r="I213" t="str">
        <f>_xlfn.XLOOKUP(A213,Orders[OrderID],Orders[CustomerName])</f>
        <v>Mukesh</v>
      </c>
      <c r="J213" t="str">
        <f>_xlfn.XLOOKUP(A213,Orders[OrderID],Orders[State])</f>
        <v>Haryana</v>
      </c>
      <c r="K213" t="str">
        <f>_xlfn.XLOOKUP(A213,Orders[OrderID],Orders[City])</f>
        <v>Chandigarh</v>
      </c>
      <c r="L213" s="3">
        <f>YEAR(Clean_Data[[#This Row],[OrderDate]])</f>
        <v>2018</v>
      </c>
      <c r="M213" s="3">
        <f>MONTH(Clean_Data[[#This Row],[OrderDate]])</f>
        <v>3</v>
      </c>
      <c r="N213" s="8" t="str">
        <f>TEXT(Clean_Data[[#This Row],[OrderDate]],"mmm")</f>
        <v>Mar</v>
      </c>
      <c r="O213" s="8" t="str">
        <f>TEXT(Clean_Data[[#This Row],[OrderDate]], "yyyy-mm")</f>
        <v>2018-03</v>
      </c>
      <c r="P213" s="7">
        <f>Clean_Data[[#This Row],[Profit]]/Clean_Data[[#This Row],[Revenue ]]</f>
        <v>0.08</v>
      </c>
      <c r="Q213" t="str">
        <f>"Q"&amp;ROUNDUP(MONTH(Clean_Data[[#This Row],[OrderDate]])/3,0)</f>
        <v>Q1</v>
      </c>
      <c r="R213" t="str">
        <f>TEXT(Clean_Data[[#This Row],[OrderDate]], "dddd")</f>
        <v>Monday</v>
      </c>
    </row>
    <row r="214" spans="1:18" x14ac:dyDescent="0.25">
      <c r="A214" t="s">
        <v>414</v>
      </c>
      <c r="B214" s="4">
        <v>450</v>
      </c>
      <c r="C214" s="4">
        <v>-90</v>
      </c>
      <c r="D214" s="3">
        <v>3</v>
      </c>
      <c r="E214" t="s">
        <v>885</v>
      </c>
      <c r="F214" t="s">
        <v>892</v>
      </c>
      <c r="G214" t="s">
        <v>887</v>
      </c>
      <c r="H214" s="6">
        <f>_xlfn.XLOOKUP(A214,Orders[OrderID],Orders[OrderDate])</f>
        <v>43230</v>
      </c>
      <c r="I214" t="str">
        <f>_xlfn.XLOOKUP(A214,Orders[OrderID],Orders[CustomerName])</f>
        <v>Sabah</v>
      </c>
      <c r="J214" t="str">
        <f>_xlfn.XLOOKUP(A214,Orders[OrderID],Orders[State])</f>
        <v>Maharashtra</v>
      </c>
      <c r="K214" t="str">
        <f>_xlfn.XLOOKUP(A214,Orders[OrderID],Orders[City])</f>
        <v>Mumbai</v>
      </c>
      <c r="L214" s="3">
        <f>YEAR(Clean_Data[[#This Row],[OrderDate]])</f>
        <v>2018</v>
      </c>
      <c r="M214" s="3">
        <f>MONTH(Clean_Data[[#This Row],[OrderDate]])</f>
        <v>5</v>
      </c>
      <c r="N214" s="8" t="str">
        <f>TEXT(Clean_Data[[#This Row],[OrderDate]],"mmm")</f>
        <v>May</v>
      </c>
      <c r="O214" s="8" t="str">
        <f>TEXT(Clean_Data[[#This Row],[OrderDate]], "yyyy-mm")</f>
        <v>2018-05</v>
      </c>
      <c r="P214" s="7">
        <f>Clean_Data[[#This Row],[Profit]]/Clean_Data[[#This Row],[Revenue ]]</f>
        <v>-0.2</v>
      </c>
      <c r="Q214" t="str">
        <f>"Q"&amp;ROUNDUP(MONTH(Clean_Data[[#This Row],[OrderDate]])/3,0)</f>
        <v>Q2</v>
      </c>
      <c r="R214" t="str">
        <f>TEXT(Clean_Data[[#This Row],[OrderDate]], "dddd")</f>
        <v>Thursday</v>
      </c>
    </row>
    <row r="215" spans="1:18" x14ac:dyDescent="0.25">
      <c r="A215" t="s">
        <v>834</v>
      </c>
      <c r="B215" s="4">
        <v>30</v>
      </c>
      <c r="C215" s="4">
        <v>-35</v>
      </c>
      <c r="D215" s="3">
        <v>1</v>
      </c>
      <c r="E215" t="s">
        <v>888</v>
      </c>
      <c r="F215" t="s">
        <v>889</v>
      </c>
      <c r="G215" t="s">
        <v>887</v>
      </c>
      <c r="H215" s="6">
        <f>_xlfn.XLOOKUP(A215,Orders[OrderID],Orders[OrderDate])</f>
        <v>43296</v>
      </c>
      <c r="I215" t="str">
        <f>_xlfn.XLOOKUP(A215,Orders[OrderID],Orders[CustomerName])</f>
        <v>Namrata</v>
      </c>
      <c r="J215" t="str">
        <f>_xlfn.XLOOKUP(A215,Orders[OrderID],Orders[State])</f>
        <v>Punjab</v>
      </c>
      <c r="K215" t="str">
        <f>_xlfn.XLOOKUP(A215,Orders[OrderID],Orders[City])</f>
        <v>Chandigarh</v>
      </c>
      <c r="L215" s="3">
        <f>YEAR(Clean_Data[[#This Row],[OrderDate]])</f>
        <v>2018</v>
      </c>
      <c r="M215" s="3">
        <f>MONTH(Clean_Data[[#This Row],[OrderDate]])</f>
        <v>7</v>
      </c>
      <c r="N215" s="8" t="str">
        <f>TEXT(Clean_Data[[#This Row],[OrderDate]],"mmm")</f>
        <v>Jul</v>
      </c>
      <c r="O215" s="8" t="str">
        <f>TEXT(Clean_Data[[#This Row],[OrderDate]], "yyyy-mm")</f>
        <v>2018-07</v>
      </c>
      <c r="P215" s="7">
        <f>Clean_Data[[#This Row],[Profit]]/Clean_Data[[#This Row],[Revenue ]]</f>
        <v>-1.1666666666666667</v>
      </c>
      <c r="Q215" t="str">
        <f>"Q"&amp;ROUNDUP(MONTH(Clean_Data[[#This Row],[OrderDate]])/3,0)</f>
        <v>Q3</v>
      </c>
      <c r="R215" t="str">
        <f>TEXT(Clean_Data[[#This Row],[OrderDate]], "dddd")</f>
        <v>Sunday</v>
      </c>
    </row>
    <row r="216" spans="1:18" x14ac:dyDescent="0.25">
      <c r="A216" t="s">
        <v>290</v>
      </c>
      <c r="B216" s="4">
        <v>659</v>
      </c>
      <c r="C216" s="4">
        <v>-37</v>
      </c>
      <c r="D216" s="3">
        <v>2</v>
      </c>
      <c r="E216" t="s">
        <v>888</v>
      </c>
      <c r="F216" t="s">
        <v>891</v>
      </c>
      <c r="G216" t="s">
        <v>893</v>
      </c>
      <c r="H216" s="6">
        <f>_xlfn.XLOOKUP(A216,Orders[OrderID],Orders[OrderDate])</f>
        <v>43169</v>
      </c>
      <c r="I216" t="str">
        <f>_xlfn.XLOOKUP(A216,Orders[OrderID],Orders[CustomerName])</f>
        <v>Sharda</v>
      </c>
      <c r="J216" t="str">
        <f>_xlfn.XLOOKUP(A216,Orders[OrderID],Orders[State])</f>
        <v xml:space="preserve">Kerala </v>
      </c>
      <c r="K216" t="str">
        <f>_xlfn.XLOOKUP(A216,Orders[OrderID],Orders[City])</f>
        <v>Thiruvananthapuram</v>
      </c>
      <c r="L216" s="3">
        <f>YEAR(Clean_Data[[#This Row],[OrderDate]])</f>
        <v>2018</v>
      </c>
      <c r="M216" s="3">
        <f>MONTH(Clean_Data[[#This Row],[OrderDate]])</f>
        <v>3</v>
      </c>
      <c r="N216" s="8" t="str">
        <f>TEXT(Clean_Data[[#This Row],[OrderDate]],"mmm")</f>
        <v>Mar</v>
      </c>
      <c r="O216" s="8" t="str">
        <f>TEXT(Clean_Data[[#This Row],[OrderDate]], "yyyy-mm")</f>
        <v>2018-03</v>
      </c>
      <c r="P216" s="7">
        <f>Clean_Data[[#This Row],[Profit]]/Clean_Data[[#This Row],[Revenue ]]</f>
        <v>-5.614567526555387E-2</v>
      </c>
      <c r="Q216" t="str">
        <f>"Q"&amp;ROUNDUP(MONTH(Clean_Data[[#This Row],[OrderDate]])/3,0)</f>
        <v>Q1</v>
      </c>
      <c r="R216" t="str">
        <f>TEXT(Clean_Data[[#This Row],[OrderDate]], "dddd")</f>
        <v>Saturday</v>
      </c>
    </row>
    <row r="217" spans="1:18" x14ac:dyDescent="0.25">
      <c r="A217" t="s">
        <v>28</v>
      </c>
      <c r="B217" s="4">
        <v>448</v>
      </c>
      <c r="C217" s="4">
        <v>148</v>
      </c>
      <c r="D217" s="3">
        <v>2</v>
      </c>
      <c r="E217" t="s">
        <v>885</v>
      </c>
      <c r="F217" t="s">
        <v>892</v>
      </c>
      <c r="G217" t="s">
        <v>887</v>
      </c>
      <c r="H217" s="6">
        <f>_xlfn.XLOOKUP(A217,Orders[OrderID],Orders[OrderDate])</f>
        <v>43374</v>
      </c>
      <c r="I217" t="str">
        <f>_xlfn.XLOOKUP(A217,Orders[OrderID],Orders[CustomerName])</f>
        <v>Shishu</v>
      </c>
      <c r="J217" t="str">
        <f>_xlfn.XLOOKUP(A217,Orders[OrderID],Orders[State])</f>
        <v>Andhra Pradesh</v>
      </c>
      <c r="K217" t="str">
        <f>_xlfn.XLOOKUP(A217,Orders[OrderID],Orders[City])</f>
        <v>Hyderabad</v>
      </c>
      <c r="L217" s="3">
        <f>YEAR(Clean_Data[[#This Row],[OrderDate]])</f>
        <v>2018</v>
      </c>
      <c r="M217" s="3">
        <f>MONTH(Clean_Data[[#This Row],[OrderDate]])</f>
        <v>10</v>
      </c>
      <c r="N217" s="8" t="str">
        <f>TEXT(Clean_Data[[#This Row],[OrderDate]],"mmm")</f>
        <v>Oct</v>
      </c>
      <c r="O217" s="8" t="str">
        <f>TEXT(Clean_Data[[#This Row],[OrderDate]], "yyyy-mm")</f>
        <v>2018-10</v>
      </c>
      <c r="P217" s="7">
        <f>Clean_Data[[#This Row],[Profit]]/Clean_Data[[#This Row],[Revenue ]]</f>
        <v>0.33035714285714285</v>
      </c>
      <c r="Q217" t="str">
        <f>"Q"&amp;ROUNDUP(MONTH(Clean_Data[[#This Row],[OrderDate]])/3,0)</f>
        <v>Q4</v>
      </c>
      <c r="R217" t="str">
        <f>TEXT(Clean_Data[[#This Row],[OrderDate]], "dddd")</f>
        <v>Monday</v>
      </c>
    </row>
    <row r="218" spans="1:18" x14ac:dyDescent="0.25">
      <c r="A218" t="s">
        <v>417</v>
      </c>
      <c r="B218" s="4">
        <v>446</v>
      </c>
      <c r="C218" s="4">
        <v>53</v>
      </c>
      <c r="D218" s="3">
        <v>3</v>
      </c>
      <c r="E218" t="s">
        <v>885</v>
      </c>
      <c r="F218" t="s">
        <v>892</v>
      </c>
      <c r="G218" t="s">
        <v>887</v>
      </c>
      <c r="H218" s="6">
        <f>_xlfn.XLOOKUP(A218,Orders[OrderID],Orders[OrderDate])</f>
        <v>43118</v>
      </c>
      <c r="I218" t="str">
        <f>_xlfn.XLOOKUP(A218,Orders[OrderID],Orders[CustomerName])</f>
        <v>Surbhi</v>
      </c>
      <c r="J218" t="str">
        <f>_xlfn.XLOOKUP(A218,Orders[OrderID],Orders[State])</f>
        <v>Gujarat</v>
      </c>
      <c r="K218" t="str">
        <f>_xlfn.XLOOKUP(A218,Orders[OrderID],Orders[City])</f>
        <v>Ahmedabad</v>
      </c>
      <c r="L218" s="3">
        <f>YEAR(Clean_Data[[#This Row],[OrderDate]])</f>
        <v>2018</v>
      </c>
      <c r="M218" s="3">
        <f>MONTH(Clean_Data[[#This Row],[OrderDate]])</f>
        <v>1</v>
      </c>
      <c r="N218" s="8" t="str">
        <f>TEXT(Clean_Data[[#This Row],[OrderDate]],"mmm")</f>
        <v>Jan</v>
      </c>
      <c r="O218" s="8" t="str">
        <f>TEXT(Clean_Data[[#This Row],[OrderDate]], "yyyy-mm")</f>
        <v>2018-01</v>
      </c>
      <c r="P218" s="7">
        <f>Clean_Data[[#This Row],[Profit]]/Clean_Data[[#This Row],[Revenue ]]</f>
        <v>0.11883408071748879</v>
      </c>
      <c r="Q218" t="str">
        <f>"Q"&amp;ROUNDUP(MONTH(Clean_Data[[#This Row],[OrderDate]])/3,0)</f>
        <v>Q1</v>
      </c>
      <c r="R218" t="str">
        <f>TEXT(Clean_Data[[#This Row],[OrderDate]], "dddd")</f>
        <v>Thursday</v>
      </c>
    </row>
    <row r="219" spans="1:18" x14ac:dyDescent="0.25">
      <c r="A219" t="s">
        <v>720</v>
      </c>
      <c r="B219" s="4">
        <v>98</v>
      </c>
      <c r="C219" s="4">
        <v>-45</v>
      </c>
      <c r="D219" s="3">
        <v>2</v>
      </c>
      <c r="E219" t="s">
        <v>888</v>
      </c>
      <c r="F219" t="s">
        <v>889</v>
      </c>
      <c r="G219" t="s">
        <v>898</v>
      </c>
      <c r="H219" s="6">
        <f>_xlfn.XLOOKUP(A219,Orders[OrderID],Orders[OrderDate])</f>
        <v>43277</v>
      </c>
      <c r="I219" t="str">
        <f>_xlfn.XLOOKUP(A219,Orders[OrderID],Orders[CustomerName])</f>
        <v>Maithilee</v>
      </c>
      <c r="J219" t="str">
        <f>_xlfn.XLOOKUP(A219,Orders[OrderID],Orders[State])</f>
        <v>Madhya Pradesh</v>
      </c>
      <c r="K219" t="str">
        <f>_xlfn.XLOOKUP(A219,Orders[OrderID],Orders[City])</f>
        <v>Indore</v>
      </c>
      <c r="L219" s="3">
        <f>YEAR(Clean_Data[[#This Row],[OrderDate]])</f>
        <v>2018</v>
      </c>
      <c r="M219" s="3">
        <f>MONTH(Clean_Data[[#This Row],[OrderDate]])</f>
        <v>6</v>
      </c>
      <c r="N219" s="8" t="str">
        <f>TEXT(Clean_Data[[#This Row],[OrderDate]],"mmm")</f>
        <v>Jun</v>
      </c>
      <c r="O219" s="8" t="str">
        <f>TEXT(Clean_Data[[#This Row],[OrderDate]], "yyyy-mm")</f>
        <v>2018-06</v>
      </c>
      <c r="P219" s="7">
        <f>Clean_Data[[#This Row],[Profit]]/Clean_Data[[#This Row],[Revenue ]]</f>
        <v>-0.45918367346938777</v>
      </c>
      <c r="Q219" t="str">
        <f>"Q"&amp;ROUNDUP(MONTH(Clean_Data[[#This Row],[OrderDate]])/3,0)</f>
        <v>Q2</v>
      </c>
      <c r="R219" t="str">
        <f>TEXT(Clean_Data[[#This Row],[OrderDate]], "dddd")</f>
        <v>Tuesday</v>
      </c>
    </row>
    <row r="220" spans="1:18" x14ac:dyDescent="0.25">
      <c r="A220" t="s">
        <v>3</v>
      </c>
      <c r="B220" s="4">
        <v>443</v>
      </c>
      <c r="C220" s="4">
        <v>11</v>
      </c>
      <c r="D220" s="3">
        <v>1</v>
      </c>
      <c r="E220" t="s">
        <v>895</v>
      </c>
      <c r="F220" t="s">
        <v>897</v>
      </c>
      <c r="G220" t="s">
        <v>887</v>
      </c>
      <c r="H220" s="6">
        <f>_xlfn.XLOOKUP(A220,Orders[OrderID],Orders[OrderDate])</f>
        <v>43169</v>
      </c>
      <c r="I220" t="str">
        <f>_xlfn.XLOOKUP(A220,Orders[OrderID],Orders[CustomerName])</f>
        <v>Harivansh</v>
      </c>
      <c r="J220" t="str">
        <f>_xlfn.XLOOKUP(A220,Orders[OrderID],Orders[State])</f>
        <v>Uttar Pradesh</v>
      </c>
      <c r="K220" t="str">
        <f>_xlfn.XLOOKUP(A220,Orders[OrderID],Orders[City])</f>
        <v>Mathura</v>
      </c>
      <c r="L220" s="3">
        <f>YEAR(Clean_Data[[#This Row],[OrderDate]])</f>
        <v>2018</v>
      </c>
      <c r="M220" s="3">
        <f>MONTH(Clean_Data[[#This Row],[OrderDate]])</f>
        <v>3</v>
      </c>
      <c r="N220" s="8" t="str">
        <f>TEXT(Clean_Data[[#This Row],[OrderDate]],"mmm")</f>
        <v>Mar</v>
      </c>
      <c r="O220" s="8" t="str">
        <f>TEXT(Clean_Data[[#This Row],[OrderDate]], "yyyy-mm")</f>
        <v>2018-03</v>
      </c>
      <c r="P220" s="7">
        <f>Clean_Data[[#This Row],[Profit]]/Clean_Data[[#This Row],[Revenue ]]</f>
        <v>2.4830699774266364E-2</v>
      </c>
      <c r="Q220" t="str">
        <f>"Q"&amp;ROUNDUP(MONTH(Clean_Data[[#This Row],[OrderDate]])/3,0)</f>
        <v>Q1</v>
      </c>
      <c r="R220" t="str">
        <f>TEXT(Clean_Data[[#This Row],[OrderDate]], "dddd")</f>
        <v>Saturday</v>
      </c>
    </row>
    <row r="221" spans="1:18" x14ac:dyDescent="0.25">
      <c r="A221" t="s">
        <v>140</v>
      </c>
      <c r="B221" s="4">
        <v>427</v>
      </c>
      <c r="C221" s="4">
        <v>-50</v>
      </c>
      <c r="D221" s="3">
        <v>7</v>
      </c>
      <c r="E221" t="s">
        <v>885</v>
      </c>
      <c r="F221" t="s">
        <v>894</v>
      </c>
      <c r="G221" t="s">
        <v>887</v>
      </c>
      <c r="H221" s="6">
        <f>_xlfn.XLOOKUP(A221,Orders[OrderID],Orders[OrderDate])</f>
        <v>43228</v>
      </c>
      <c r="I221" t="str">
        <f>_xlfn.XLOOKUP(A221,Orders[OrderID],Orders[CustomerName])</f>
        <v>Farah</v>
      </c>
      <c r="J221" t="str">
        <f>_xlfn.XLOOKUP(A221,Orders[OrderID],Orders[State])</f>
        <v>Nagaland</v>
      </c>
      <c r="K221" t="str">
        <f>_xlfn.XLOOKUP(A221,Orders[OrderID],Orders[City])</f>
        <v>Kohima</v>
      </c>
      <c r="L221" s="3">
        <f>YEAR(Clean_Data[[#This Row],[OrderDate]])</f>
        <v>2018</v>
      </c>
      <c r="M221" s="3">
        <f>MONTH(Clean_Data[[#This Row],[OrderDate]])</f>
        <v>5</v>
      </c>
      <c r="N221" s="8" t="str">
        <f>TEXT(Clean_Data[[#This Row],[OrderDate]],"mmm")</f>
        <v>May</v>
      </c>
      <c r="O221" s="8" t="str">
        <f>TEXT(Clean_Data[[#This Row],[OrderDate]], "yyyy-mm")</f>
        <v>2018-05</v>
      </c>
      <c r="P221" s="7">
        <f>Clean_Data[[#This Row],[Profit]]/Clean_Data[[#This Row],[Revenue ]]</f>
        <v>-0.117096018735363</v>
      </c>
      <c r="Q221" t="str">
        <f>"Q"&amp;ROUNDUP(MONTH(Clean_Data[[#This Row],[OrderDate]])/3,0)</f>
        <v>Q2</v>
      </c>
      <c r="R221" t="str">
        <f>TEXT(Clean_Data[[#This Row],[OrderDate]], "dddd")</f>
        <v>Tuesday</v>
      </c>
    </row>
    <row r="222" spans="1:18" x14ac:dyDescent="0.25">
      <c r="A222" t="s">
        <v>318</v>
      </c>
      <c r="B222" s="4">
        <v>656</v>
      </c>
      <c r="C222" s="4">
        <v>-36</v>
      </c>
      <c r="D222" s="3">
        <v>2</v>
      </c>
      <c r="E222" t="s">
        <v>888</v>
      </c>
      <c r="F222" t="s">
        <v>891</v>
      </c>
      <c r="G222" t="s">
        <v>893</v>
      </c>
      <c r="H222" s="6">
        <f>_xlfn.XLOOKUP(A222,Orders[OrderID],Orders[OrderDate])</f>
        <v>43245</v>
      </c>
      <c r="I222" t="str">
        <f>_xlfn.XLOOKUP(A222,Orders[OrderID],Orders[CustomerName])</f>
        <v>Charika</v>
      </c>
      <c r="J222" t="str">
        <f>_xlfn.XLOOKUP(A222,Orders[OrderID],Orders[State])</f>
        <v>Goa</v>
      </c>
      <c r="K222" t="str">
        <f>_xlfn.XLOOKUP(A222,Orders[OrderID],Orders[City])</f>
        <v>Goa</v>
      </c>
      <c r="L222" s="3">
        <f>YEAR(Clean_Data[[#This Row],[OrderDate]])</f>
        <v>2018</v>
      </c>
      <c r="M222" s="3">
        <f>MONTH(Clean_Data[[#This Row],[OrderDate]])</f>
        <v>5</v>
      </c>
      <c r="N222" s="8" t="str">
        <f>TEXT(Clean_Data[[#This Row],[OrderDate]],"mmm")</f>
        <v>May</v>
      </c>
      <c r="O222" s="8" t="str">
        <f>TEXT(Clean_Data[[#This Row],[OrderDate]], "yyyy-mm")</f>
        <v>2018-05</v>
      </c>
      <c r="P222" s="7">
        <f>Clean_Data[[#This Row],[Profit]]/Clean_Data[[#This Row],[Revenue ]]</f>
        <v>-5.4878048780487805E-2</v>
      </c>
      <c r="Q222" t="str">
        <f>"Q"&amp;ROUNDUP(MONTH(Clean_Data[[#This Row],[OrderDate]])/3,0)</f>
        <v>Q2</v>
      </c>
      <c r="R222" t="str">
        <f>TEXT(Clean_Data[[#This Row],[OrderDate]], "dddd")</f>
        <v>Friday</v>
      </c>
    </row>
    <row r="223" spans="1:18" x14ac:dyDescent="0.25">
      <c r="A223" t="s">
        <v>425</v>
      </c>
      <c r="B223" s="4">
        <v>424</v>
      </c>
      <c r="C223" s="4">
        <v>161</v>
      </c>
      <c r="D223" s="3">
        <v>2</v>
      </c>
      <c r="E223" t="s">
        <v>895</v>
      </c>
      <c r="F223" t="s">
        <v>897</v>
      </c>
      <c r="G223" t="s">
        <v>887</v>
      </c>
      <c r="H223" s="6">
        <f>_xlfn.XLOOKUP(A223,Orders[OrderID],Orders[OrderDate])</f>
        <v>43169</v>
      </c>
      <c r="I223" t="str">
        <f>_xlfn.XLOOKUP(A223,Orders[OrderID],Orders[CustomerName])</f>
        <v>Sonal</v>
      </c>
      <c r="J223" t="str">
        <f>_xlfn.XLOOKUP(A223,Orders[OrderID],Orders[State])</f>
        <v>Bihar</v>
      </c>
      <c r="K223" t="str">
        <f>_xlfn.XLOOKUP(A223,Orders[OrderID],Orders[City])</f>
        <v>Patna</v>
      </c>
      <c r="L223" s="3">
        <f>YEAR(Clean_Data[[#This Row],[OrderDate]])</f>
        <v>2018</v>
      </c>
      <c r="M223" s="3">
        <f>MONTH(Clean_Data[[#This Row],[OrderDate]])</f>
        <v>3</v>
      </c>
      <c r="N223" s="8" t="str">
        <f>TEXT(Clean_Data[[#This Row],[OrderDate]],"mmm")</f>
        <v>Mar</v>
      </c>
      <c r="O223" s="8" t="str">
        <f>TEXT(Clean_Data[[#This Row],[OrderDate]], "yyyy-mm")</f>
        <v>2018-03</v>
      </c>
      <c r="P223" s="7">
        <f>Clean_Data[[#This Row],[Profit]]/Clean_Data[[#This Row],[Revenue ]]</f>
        <v>0.37971698113207547</v>
      </c>
      <c r="Q223" t="str">
        <f>"Q"&amp;ROUNDUP(MONTH(Clean_Data[[#This Row],[OrderDate]])/3,0)</f>
        <v>Q1</v>
      </c>
      <c r="R223" t="str">
        <f>TEXT(Clean_Data[[#This Row],[OrderDate]], "dddd")</f>
        <v>Saturday</v>
      </c>
    </row>
    <row r="224" spans="1:18" x14ac:dyDescent="0.25">
      <c r="A224" t="s">
        <v>214</v>
      </c>
      <c r="B224" s="4">
        <v>27</v>
      </c>
      <c r="C224" s="4">
        <v>8</v>
      </c>
      <c r="D224" s="3">
        <v>2</v>
      </c>
      <c r="E224" t="s">
        <v>895</v>
      </c>
      <c r="F224" t="s">
        <v>906</v>
      </c>
      <c r="G224" t="s">
        <v>907</v>
      </c>
      <c r="H224" s="6">
        <f>_xlfn.XLOOKUP(A224,Orders[OrderID],Orders[OrderDate])</f>
        <v>43173</v>
      </c>
      <c r="I224" t="str">
        <f>_xlfn.XLOOKUP(A224,Orders[OrderID],Orders[CustomerName])</f>
        <v>Anurag</v>
      </c>
      <c r="J224" t="str">
        <f>_xlfn.XLOOKUP(A224,Orders[OrderID],Orders[State])</f>
        <v>Madhya Pradesh</v>
      </c>
      <c r="K224" t="str">
        <f>_xlfn.XLOOKUP(A224,Orders[OrderID],Orders[City])</f>
        <v>Indore</v>
      </c>
      <c r="L224" s="3">
        <f>YEAR(Clean_Data[[#This Row],[OrderDate]])</f>
        <v>2018</v>
      </c>
      <c r="M224" s="3">
        <f>MONTH(Clean_Data[[#This Row],[OrderDate]])</f>
        <v>3</v>
      </c>
      <c r="N224" s="8" t="str">
        <f>TEXT(Clean_Data[[#This Row],[OrderDate]],"mmm")</f>
        <v>Mar</v>
      </c>
      <c r="O224" s="8" t="str">
        <f>TEXT(Clean_Data[[#This Row],[OrderDate]], "yyyy-mm")</f>
        <v>2018-03</v>
      </c>
      <c r="P224" s="7">
        <f>Clean_Data[[#This Row],[Profit]]/Clean_Data[[#This Row],[Revenue ]]</f>
        <v>0.29629629629629628</v>
      </c>
      <c r="Q224" t="str">
        <f>"Q"&amp;ROUNDUP(MONTH(Clean_Data[[#This Row],[OrderDate]])/3,0)</f>
        <v>Q1</v>
      </c>
      <c r="R224" t="str">
        <f>TEXT(Clean_Data[[#This Row],[OrderDate]], "dddd")</f>
        <v>Wednesday</v>
      </c>
    </row>
    <row r="225" spans="1:18" x14ac:dyDescent="0.25">
      <c r="A225" t="s">
        <v>32</v>
      </c>
      <c r="B225" s="4">
        <v>424</v>
      </c>
      <c r="C225" s="4">
        <v>-272</v>
      </c>
      <c r="D225" s="3">
        <v>5</v>
      </c>
      <c r="E225" t="s">
        <v>885</v>
      </c>
      <c r="F225" t="s">
        <v>894</v>
      </c>
      <c r="G225" t="s">
        <v>887</v>
      </c>
      <c r="H225" s="6">
        <f>_xlfn.XLOOKUP(A225,Orders[OrderID],Orders[OrderDate])</f>
        <v>43191</v>
      </c>
      <c r="I225" t="str">
        <f>_xlfn.XLOOKUP(A225,Orders[OrderID],Orders[CustomerName])</f>
        <v>Vrinda</v>
      </c>
      <c r="J225" t="str">
        <f>_xlfn.XLOOKUP(A225,Orders[OrderID],Orders[State])</f>
        <v>Maharashtra</v>
      </c>
      <c r="K225" t="str">
        <f>_xlfn.XLOOKUP(A225,Orders[OrderID],Orders[City])</f>
        <v>Pune</v>
      </c>
      <c r="L225" s="3">
        <f>YEAR(Clean_Data[[#This Row],[OrderDate]])</f>
        <v>2018</v>
      </c>
      <c r="M225" s="3">
        <f>MONTH(Clean_Data[[#This Row],[OrderDate]])</f>
        <v>4</v>
      </c>
      <c r="N225" s="8" t="str">
        <f>TEXT(Clean_Data[[#This Row],[OrderDate]],"mmm")</f>
        <v>Apr</v>
      </c>
      <c r="O225" s="8" t="str">
        <f>TEXT(Clean_Data[[#This Row],[OrderDate]], "yyyy-mm")</f>
        <v>2018-04</v>
      </c>
      <c r="P225" s="7">
        <f>Clean_Data[[#This Row],[Profit]]/Clean_Data[[#This Row],[Revenue ]]</f>
        <v>-0.64150943396226412</v>
      </c>
      <c r="Q225" t="str">
        <f>"Q"&amp;ROUNDUP(MONTH(Clean_Data[[#This Row],[OrderDate]])/3,0)</f>
        <v>Q2</v>
      </c>
      <c r="R225" t="str">
        <f>TEXT(Clean_Data[[#This Row],[OrderDate]], "dddd")</f>
        <v>Sunday</v>
      </c>
    </row>
    <row r="226" spans="1:18" x14ac:dyDescent="0.25">
      <c r="A226" t="s">
        <v>422</v>
      </c>
      <c r="B226" s="4">
        <v>202</v>
      </c>
      <c r="C226" s="4">
        <v>4</v>
      </c>
      <c r="D226" s="3">
        <v>4</v>
      </c>
      <c r="E226" t="s">
        <v>895</v>
      </c>
      <c r="F226" t="s">
        <v>899</v>
      </c>
      <c r="G226" t="s">
        <v>887</v>
      </c>
      <c r="H226" s="6">
        <f>_xlfn.XLOOKUP(A226,Orders[OrderID],Orders[OrderDate])</f>
        <v>43145</v>
      </c>
      <c r="I226" t="str">
        <f>_xlfn.XLOOKUP(A226,Orders[OrderID],Orders[CustomerName])</f>
        <v>Hazel</v>
      </c>
      <c r="J226" t="str">
        <f>_xlfn.XLOOKUP(A226,Orders[OrderID],Orders[State])</f>
        <v>Karnataka</v>
      </c>
      <c r="K226" t="str">
        <f>_xlfn.XLOOKUP(A226,Orders[OrderID],Orders[City])</f>
        <v>Bangalore</v>
      </c>
      <c r="L226" s="3">
        <f>YEAR(Clean_Data[[#This Row],[OrderDate]])</f>
        <v>2018</v>
      </c>
      <c r="M226" s="3">
        <f>MONTH(Clean_Data[[#This Row],[OrderDate]])</f>
        <v>2</v>
      </c>
      <c r="N226" s="8" t="str">
        <f>TEXT(Clean_Data[[#This Row],[OrderDate]],"mmm")</f>
        <v>Feb</v>
      </c>
      <c r="O226" s="8" t="str">
        <f>TEXT(Clean_Data[[#This Row],[OrderDate]], "yyyy-mm")</f>
        <v>2018-02</v>
      </c>
      <c r="P226" s="7">
        <f>Clean_Data[[#This Row],[Profit]]/Clean_Data[[#This Row],[Revenue ]]</f>
        <v>1.9801980198019802E-2</v>
      </c>
      <c r="Q226" t="str">
        <f>"Q"&amp;ROUNDUP(MONTH(Clean_Data[[#This Row],[OrderDate]])/3,0)</f>
        <v>Q1</v>
      </c>
      <c r="R226" t="str">
        <f>TEXT(Clean_Data[[#This Row],[OrderDate]], "dddd")</f>
        <v>Wednesday</v>
      </c>
    </row>
    <row r="227" spans="1:18" x14ac:dyDescent="0.25">
      <c r="A227" t="s">
        <v>160</v>
      </c>
      <c r="B227" s="4">
        <v>1275</v>
      </c>
      <c r="C227" s="4">
        <v>357</v>
      </c>
      <c r="D227" s="3">
        <v>2</v>
      </c>
      <c r="E227" t="s">
        <v>885</v>
      </c>
      <c r="F227" t="s">
        <v>894</v>
      </c>
      <c r="G227" t="s">
        <v>898</v>
      </c>
      <c r="H227" s="6">
        <f>_xlfn.XLOOKUP(A227,Orders[OrderID],Orders[OrderDate])</f>
        <v>43427</v>
      </c>
      <c r="I227" t="str">
        <f>_xlfn.XLOOKUP(A227,Orders[OrderID],Orders[CustomerName])</f>
        <v>Divyeta</v>
      </c>
      <c r="J227" t="str">
        <f>_xlfn.XLOOKUP(A227,Orders[OrderID],Orders[State])</f>
        <v>Madhya Pradesh</v>
      </c>
      <c r="K227" t="str">
        <f>_xlfn.XLOOKUP(A227,Orders[OrderID],Orders[City])</f>
        <v>Indore</v>
      </c>
      <c r="L227" s="3">
        <f>YEAR(Clean_Data[[#This Row],[OrderDate]])</f>
        <v>2018</v>
      </c>
      <c r="M227" s="3">
        <f>MONTH(Clean_Data[[#This Row],[OrderDate]])</f>
        <v>11</v>
      </c>
      <c r="N227" s="8" t="str">
        <f>TEXT(Clean_Data[[#This Row],[OrderDate]],"mmm")</f>
        <v>Nov</v>
      </c>
      <c r="O227" s="8" t="str">
        <f>TEXT(Clean_Data[[#This Row],[OrderDate]], "yyyy-mm")</f>
        <v>2018-11</v>
      </c>
      <c r="P227" s="7">
        <f>Clean_Data[[#This Row],[Profit]]/Clean_Data[[#This Row],[Revenue ]]</f>
        <v>0.28000000000000003</v>
      </c>
      <c r="Q227" t="str">
        <f>"Q"&amp;ROUNDUP(MONTH(Clean_Data[[#This Row],[OrderDate]])/3,0)</f>
        <v>Q4</v>
      </c>
      <c r="R227" t="str">
        <f>TEXT(Clean_Data[[#This Row],[OrderDate]], "dddd")</f>
        <v>Friday</v>
      </c>
    </row>
    <row r="228" spans="1:18" x14ac:dyDescent="0.25">
      <c r="A228" t="s">
        <v>46</v>
      </c>
      <c r="B228" s="4">
        <v>418</v>
      </c>
      <c r="C228" s="4">
        <v>70</v>
      </c>
      <c r="D228" s="3">
        <v>7</v>
      </c>
      <c r="E228" t="s">
        <v>885</v>
      </c>
      <c r="F228" t="s">
        <v>894</v>
      </c>
      <c r="G228" t="s">
        <v>887</v>
      </c>
      <c r="H228" s="6">
        <f>_xlfn.XLOOKUP(A228,Orders[OrderID],Orders[OrderDate])</f>
        <v>43337</v>
      </c>
      <c r="I228" t="str">
        <f>_xlfn.XLOOKUP(A228,Orders[OrderID],Orders[CustomerName])</f>
        <v>Madhav</v>
      </c>
      <c r="J228" t="str">
        <f>_xlfn.XLOOKUP(A228,Orders[OrderID],Orders[State])</f>
        <v>Uttar Pradesh</v>
      </c>
      <c r="K228" t="str">
        <f>_xlfn.XLOOKUP(A228,Orders[OrderID],Orders[City])</f>
        <v>Mathura</v>
      </c>
      <c r="L228" s="3">
        <f>YEAR(Clean_Data[[#This Row],[OrderDate]])</f>
        <v>2018</v>
      </c>
      <c r="M228" s="3">
        <f>MONTH(Clean_Data[[#This Row],[OrderDate]])</f>
        <v>8</v>
      </c>
      <c r="N228" s="8" t="str">
        <f>TEXT(Clean_Data[[#This Row],[OrderDate]],"mmm")</f>
        <v>Aug</v>
      </c>
      <c r="O228" s="8" t="str">
        <f>TEXT(Clean_Data[[#This Row],[OrderDate]], "yyyy-mm")</f>
        <v>2018-08</v>
      </c>
      <c r="P228" s="7">
        <f>Clean_Data[[#This Row],[Profit]]/Clean_Data[[#This Row],[Revenue ]]</f>
        <v>0.1674641148325359</v>
      </c>
      <c r="Q228" t="str">
        <f>"Q"&amp;ROUNDUP(MONTH(Clean_Data[[#This Row],[OrderDate]])/3,0)</f>
        <v>Q3</v>
      </c>
      <c r="R228" t="str">
        <f>TEXT(Clean_Data[[#This Row],[OrderDate]], "dddd")</f>
        <v>Saturday</v>
      </c>
    </row>
    <row r="229" spans="1:18" x14ac:dyDescent="0.25">
      <c r="A229" t="s">
        <v>427</v>
      </c>
      <c r="B229" s="4">
        <v>417</v>
      </c>
      <c r="C229" s="4">
        <v>49</v>
      </c>
      <c r="D229" s="3">
        <v>3</v>
      </c>
      <c r="E229" t="s">
        <v>885</v>
      </c>
      <c r="F229" t="s">
        <v>886</v>
      </c>
      <c r="G229" t="s">
        <v>887</v>
      </c>
      <c r="H229" s="6">
        <f>_xlfn.XLOOKUP(A229,Orders[OrderID],Orders[OrderDate])</f>
        <v>43388</v>
      </c>
      <c r="I229" t="str">
        <f>_xlfn.XLOOKUP(A229,Orders[OrderID],Orders[CustomerName])</f>
        <v>Ankur</v>
      </c>
      <c r="J229" t="str">
        <f>_xlfn.XLOOKUP(A229,Orders[OrderID],Orders[State])</f>
        <v>Madhya Pradesh</v>
      </c>
      <c r="K229" t="str">
        <f>_xlfn.XLOOKUP(A229,Orders[OrderID],Orders[City])</f>
        <v>Bhopal</v>
      </c>
      <c r="L229" s="3">
        <f>YEAR(Clean_Data[[#This Row],[OrderDate]])</f>
        <v>2018</v>
      </c>
      <c r="M229" s="3">
        <f>MONTH(Clean_Data[[#This Row],[OrderDate]])</f>
        <v>10</v>
      </c>
      <c r="N229" s="8" t="str">
        <f>TEXT(Clean_Data[[#This Row],[OrderDate]],"mmm")</f>
        <v>Oct</v>
      </c>
      <c r="O229" s="8" t="str">
        <f>TEXT(Clean_Data[[#This Row],[OrderDate]], "yyyy-mm")</f>
        <v>2018-10</v>
      </c>
      <c r="P229" s="7">
        <f>Clean_Data[[#This Row],[Profit]]/Clean_Data[[#This Row],[Revenue ]]</f>
        <v>0.11750599520383694</v>
      </c>
      <c r="Q229" t="str">
        <f>"Q"&amp;ROUNDUP(MONTH(Clean_Data[[#This Row],[OrderDate]])/3,0)</f>
        <v>Q4</v>
      </c>
      <c r="R229" t="str">
        <f>TEXT(Clean_Data[[#This Row],[OrderDate]], "dddd")</f>
        <v>Monday</v>
      </c>
    </row>
    <row r="230" spans="1:18" x14ac:dyDescent="0.25">
      <c r="A230" t="s">
        <v>50</v>
      </c>
      <c r="B230" s="4">
        <v>199</v>
      </c>
      <c r="C230" s="4">
        <v>48</v>
      </c>
      <c r="D230" s="3">
        <v>4</v>
      </c>
      <c r="E230" t="s">
        <v>895</v>
      </c>
      <c r="F230" t="s">
        <v>903</v>
      </c>
      <c r="G230" t="s">
        <v>898</v>
      </c>
      <c r="H230" s="6">
        <f>_xlfn.XLOOKUP(A230,Orders[OrderID],Orders[OrderDate])</f>
        <v>43412</v>
      </c>
      <c r="I230" t="str">
        <f>_xlfn.XLOOKUP(A230,Orders[OrderID],Orders[CustomerName])</f>
        <v>Gaurav</v>
      </c>
      <c r="J230" t="str">
        <f>_xlfn.XLOOKUP(A230,Orders[OrderID],Orders[State])</f>
        <v>Gujarat</v>
      </c>
      <c r="K230" t="str">
        <f>_xlfn.XLOOKUP(A230,Orders[OrderID],Orders[City])</f>
        <v>Ahmedabad</v>
      </c>
      <c r="L230" s="3">
        <f>YEAR(Clean_Data[[#This Row],[OrderDate]])</f>
        <v>2018</v>
      </c>
      <c r="M230" s="3">
        <f>MONTH(Clean_Data[[#This Row],[OrderDate]])</f>
        <v>11</v>
      </c>
      <c r="N230" s="8" t="str">
        <f>TEXT(Clean_Data[[#This Row],[OrderDate]],"mmm")</f>
        <v>Nov</v>
      </c>
      <c r="O230" s="8" t="str">
        <f>TEXT(Clean_Data[[#This Row],[OrderDate]], "yyyy-mm")</f>
        <v>2018-11</v>
      </c>
      <c r="P230" s="7">
        <f>Clean_Data[[#This Row],[Profit]]/Clean_Data[[#This Row],[Revenue ]]</f>
        <v>0.24120603015075376</v>
      </c>
      <c r="Q230" t="str">
        <f>"Q"&amp;ROUNDUP(MONTH(Clean_Data[[#This Row],[OrderDate]])/3,0)</f>
        <v>Q4</v>
      </c>
      <c r="R230" t="str">
        <f>TEXT(Clean_Data[[#This Row],[OrderDate]], "dddd")</f>
        <v>Thursday</v>
      </c>
    </row>
    <row r="231" spans="1:18" x14ac:dyDescent="0.25">
      <c r="A231" t="s">
        <v>444</v>
      </c>
      <c r="B231" s="4">
        <v>385</v>
      </c>
      <c r="C231" s="4">
        <v>-77</v>
      </c>
      <c r="D231" s="3">
        <v>11</v>
      </c>
      <c r="E231" t="s">
        <v>888</v>
      </c>
      <c r="F231" t="s">
        <v>908</v>
      </c>
      <c r="G231" t="s">
        <v>898</v>
      </c>
      <c r="H231" s="6">
        <f>_xlfn.XLOOKUP(A231,Orders[OrderID],Orders[OrderDate])</f>
        <v>43237</v>
      </c>
      <c r="I231" t="str">
        <f>_xlfn.XLOOKUP(A231,Orders[OrderID],Orders[CustomerName])</f>
        <v>Sweta</v>
      </c>
      <c r="J231" t="str">
        <f>_xlfn.XLOOKUP(A231,Orders[OrderID],Orders[State])</f>
        <v>Maharashtra</v>
      </c>
      <c r="K231" t="str">
        <f>_xlfn.XLOOKUP(A231,Orders[OrderID],Orders[City])</f>
        <v>Mumbai</v>
      </c>
      <c r="L231" s="3">
        <f>YEAR(Clean_Data[[#This Row],[OrderDate]])</f>
        <v>2018</v>
      </c>
      <c r="M231" s="3">
        <f>MONTH(Clean_Data[[#This Row],[OrderDate]])</f>
        <v>5</v>
      </c>
      <c r="N231" s="8" t="str">
        <f>TEXT(Clean_Data[[#This Row],[OrderDate]],"mmm")</f>
        <v>May</v>
      </c>
      <c r="O231" s="8" t="str">
        <f>TEXT(Clean_Data[[#This Row],[OrderDate]], "yyyy-mm")</f>
        <v>2018-05</v>
      </c>
      <c r="P231" s="7">
        <f>Clean_Data[[#This Row],[Profit]]/Clean_Data[[#This Row],[Revenue ]]</f>
        <v>-0.2</v>
      </c>
      <c r="Q231" t="str">
        <f>"Q"&amp;ROUNDUP(MONTH(Clean_Data[[#This Row],[OrderDate]])/3,0)</f>
        <v>Q2</v>
      </c>
      <c r="R231" t="str">
        <f>TEXT(Clean_Data[[#This Row],[OrderDate]], "dddd")</f>
        <v>Thursday</v>
      </c>
    </row>
    <row r="232" spans="1:18" x14ac:dyDescent="0.25">
      <c r="A232" t="s">
        <v>7</v>
      </c>
      <c r="B232" s="4">
        <v>414</v>
      </c>
      <c r="C232" s="4">
        <v>199</v>
      </c>
      <c r="D232" s="3">
        <v>3</v>
      </c>
      <c r="E232" t="s">
        <v>885</v>
      </c>
      <c r="F232" t="s">
        <v>894</v>
      </c>
      <c r="G232" t="s">
        <v>887</v>
      </c>
      <c r="H232" s="6">
        <f>_xlfn.XLOOKUP(A232,Orders[OrderID],Orders[OrderDate])</f>
        <v>43134</v>
      </c>
      <c r="I232" t="str">
        <f>_xlfn.XLOOKUP(A232,Orders[OrderID],Orders[CustomerName])</f>
        <v>Madhav</v>
      </c>
      <c r="J232" t="str">
        <f>_xlfn.XLOOKUP(A232,Orders[OrderID],Orders[State])</f>
        <v>Delhi</v>
      </c>
      <c r="K232" t="str">
        <f>_xlfn.XLOOKUP(A232,Orders[OrderID],Orders[City])</f>
        <v>Delhi</v>
      </c>
      <c r="L232" s="3">
        <f>YEAR(Clean_Data[[#This Row],[OrderDate]])</f>
        <v>2018</v>
      </c>
      <c r="M232" s="3">
        <f>MONTH(Clean_Data[[#This Row],[OrderDate]])</f>
        <v>2</v>
      </c>
      <c r="N232" s="8" t="str">
        <f>TEXT(Clean_Data[[#This Row],[OrderDate]],"mmm")</f>
        <v>Feb</v>
      </c>
      <c r="O232" s="8" t="str">
        <f>TEXT(Clean_Data[[#This Row],[OrderDate]], "yyyy-mm")</f>
        <v>2018-02</v>
      </c>
      <c r="P232" s="7">
        <f>Clean_Data[[#This Row],[Profit]]/Clean_Data[[#This Row],[Revenue ]]</f>
        <v>0.48067632850241548</v>
      </c>
      <c r="Q232" t="str">
        <f>"Q"&amp;ROUNDUP(MONTH(Clean_Data[[#This Row],[OrderDate]])/3,0)</f>
        <v>Q1</v>
      </c>
      <c r="R232" t="str">
        <f>TEXT(Clean_Data[[#This Row],[OrderDate]], "dddd")</f>
        <v>Saturday</v>
      </c>
    </row>
    <row r="233" spans="1:18" x14ac:dyDescent="0.25">
      <c r="A233" t="s">
        <v>537</v>
      </c>
      <c r="B233" s="4">
        <v>97</v>
      </c>
      <c r="C233" s="4">
        <v>-45</v>
      </c>
      <c r="D233" s="3">
        <v>4</v>
      </c>
      <c r="E233" t="s">
        <v>895</v>
      </c>
      <c r="F233" t="s">
        <v>897</v>
      </c>
      <c r="G233" t="s">
        <v>887</v>
      </c>
      <c r="H233" s="6">
        <f>_xlfn.XLOOKUP(A233,Orders[OrderID],Orders[OrderDate])</f>
        <v>43279</v>
      </c>
      <c r="I233" t="str">
        <f>_xlfn.XLOOKUP(A233,Orders[OrderID],Orders[CustomerName])</f>
        <v>Ekta</v>
      </c>
      <c r="J233" t="str">
        <f>_xlfn.XLOOKUP(A233,Orders[OrderID],Orders[State])</f>
        <v>Madhya Pradesh</v>
      </c>
      <c r="K233" t="str">
        <f>_xlfn.XLOOKUP(A233,Orders[OrderID],Orders[City])</f>
        <v>Indore</v>
      </c>
      <c r="L233" s="3">
        <f>YEAR(Clean_Data[[#This Row],[OrderDate]])</f>
        <v>2018</v>
      </c>
      <c r="M233" s="3">
        <f>MONTH(Clean_Data[[#This Row],[OrderDate]])</f>
        <v>6</v>
      </c>
      <c r="N233" s="8" t="str">
        <f>TEXT(Clean_Data[[#This Row],[OrderDate]],"mmm")</f>
        <v>Jun</v>
      </c>
      <c r="O233" s="8" t="str">
        <f>TEXT(Clean_Data[[#This Row],[OrderDate]], "yyyy-mm")</f>
        <v>2018-06</v>
      </c>
      <c r="P233" s="7">
        <f>Clean_Data[[#This Row],[Profit]]/Clean_Data[[#This Row],[Revenue ]]</f>
        <v>-0.46391752577319589</v>
      </c>
      <c r="Q233" t="str">
        <f>"Q"&amp;ROUNDUP(MONTH(Clean_Data[[#This Row],[OrderDate]])/3,0)</f>
        <v>Q2</v>
      </c>
      <c r="R233" t="str">
        <f>TEXT(Clean_Data[[#This Row],[OrderDate]], "dddd")</f>
        <v>Thursday</v>
      </c>
    </row>
    <row r="234" spans="1:18" x14ac:dyDescent="0.25">
      <c r="A234" t="s">
        <v>320</v>
      </c>
      <c r="B234" s="4">
        <v>648</v>
      </c>
      <c r="C234" s="4">
        <v>50</v>
      </c>
      <c r="D234" s="3">
        <v>6</v>
      </c>
      <c r="E234" t="s">
        <v>885</v>
      </c>
      <c r="F234" t="s">
        <v>886</v>
      </c>
      <c r="G234" t="s">
        <v>893</v>
      </c>
      <c r="H234" s="6">
        <f>_xlfn.XLOOKUP(A234,Orders[OrderID],Orders[OrderDate])</f>
        <v>43407</v>
      </c>
      <c r="I234" t="str">
        <f>_xlfn.XLOOKUP(A234,Orders[OrderID],Orders[CustomerName])</f>
        <v>Rohan</v>
      </c>
      <c r="J234" t="str">
        <f>_xlfn.XLOOKUP(A234,Orders[OrderID],Orders[State])</f>
        <v>Himachal Pradesh</v>
      </c>
      <c r="K234" t="str">
        <f>_xlfn.XLOOKUP(A234,Orders[OrderID],Orders[City])</f>
        <v>Simla</v>
      </c>
      <c r="L234" s="3">
        <f>YEAR(Clean_Data[[#This Row],[OrderDate]])</f>
        <v>2018</v>
      </c>
      <c r="M234" s="3">
        <f>MONTH(Clean_Data[[#This Row],[OrderDate]])</f>
        <v>11</v>
      </c>
      <c r="N234" s="8" t="str">
        <f>TEXT(Clean_Data[[#This Row],[OrderDate]],"mmm")</f>
        <v>Nov</v>
      </c>
      <c r="O234" s="8" t="str">
        <f>TEXT(Clean_Data[[#This Row],[OrderDate]], "yyyy-mm")</f>
        <v>2018-11</v>
      </c>
      <c r="P234" s="7">
        <f>Clean_Data[[#This Row],[Profit]]/Clean_Data[[#This Row],[Revenue ]]</f>
        <v>7.716049382716049E-2</v>
      </c>
      <c r="Q234" t="str">
        <f>"Q"&amp;ROUNDUP(MONTH(Clean_Data[[#This Row],[OrderDate]])/3,0)</f>
        <v>Q4</v>
      </c>
      <c r="R234" t="str">
        <f>TEXT(Clean_Data[[#This Row],[OrderDate]], "dddd")</f>
        <v>Saturday</v>
      </c>
    </row>
    <row r="235" spans="1:18" x14ac:dyDescent="0.25">
      <c r="A235" t="s">
        <v>478</v>
      </c>
      <c r="B235" s="4">
        <v>27</v>
      </c>
      <c r="C235" s="4">
        <v>-25</v>
      </c>
      <c r="D235" s="3">
        <v>2</v>
      </c>
      <c r="E235" t="s">
        <v>895</v>
      </c>
      <c r="F235" t="s">
        <v>909</v>
      </c>
      <c r="G235" t="s">
        <v>907</v>
      </c>
      <c r="H235" s="6">
        <f>_xlfn.XLOOKUP(A235,Orders[OrderID],Orders[OrderDate])</f>
        <v>43254</v>
      </c>
      <c r="I235" t="str">
        <f>_xlfn.XLOOKUP(A235,Orders[OrderID],Orders[CustomerName])</f>
        <v>Bathina</v>
      </c>
      <c r="J235" t="str">
        <f>_xlfn.XLOOKUP(A235,Orders[OrderID],Orders[State])</f>
        <v>Karnataka</v>
      </c>
      <c r="K235" t="str">
        <f>_xlfn.XLOOKUP(A235,Orders[OrderID],Orders[City])</f>
        <v>Bangalore</v>
      </c>
      <c r="L235" s="3">
        <f>YEAR(Clean_Data[[#This Row],[OrderDate]])</f>
        <v>2018</v>
      </c>
      <c r="M235" s="3">
        <f>MONTH(Clean_Data[[#This Row],[OrderDate]])</f>
        <v>6</v>
      </c>
      <c r="N235" s="8" t="str">
        <f>TEXT(Clean_Data[[#This Row],[OrderDate]],"mmm")</f>
        <v>Jun</v>
      </c>
      <c r="O235" s="8" t="str">
        <f>TEXT(Clean_Data[[#This Row],[OrderDate]], "yyyy-mm")</f>
        <v>2018-06</v>
      </c>
      <c r="P235" s="7">
        <f>Clean_Data[[#This Row],[Profit]]/Clean_Data[[#This Row],[Revenue ]]</f>
        <v>-0.92592592592592593</v>
      </c>
      <c r="Q235" t="str">
        <f>"Q"&amp;ROUNDUP(MONTH(Clean_Data[[#This Row],[OrderDate]])/3,0)</f>
        <v>Q2</v>
      </c>
      <c r="R235" t="str">
        <f>TEXT(Clean_Data[[#This Row],[OrderDate]], "dddd")</f>
        <v>Sunday</v>
      </c>
    </row>
    <row r="236" spans="1:18" x14ac:dyDescent="0.25">
      <c r="A236" t="s">
        <v>174</v>
      </c>
      <c r="B236" s="4">
        <v>27</v>
      </c>
      <c r="C236" s="4">
        <v>12</v>
      </c>
      <c r="D236" s="3">
        <v>1</v>
      </c>
      <c r="E236" t="s">
        <v>895</v>
      </c>
      <c r="F236" t="s">
        <v>903</v>
      </c>
      <c r="G236" t="s">
        <v>907</v>
      </c>
      <c r="H236" s="6">
        <f>_xlfn.XLOOKUP(A236,Orders[OrderID],Orders[OrderDate])</f>
        <v>43463</v>
      </c>
      <c r="I236" t="str">
        <f>_xlfn.XLOOKUP(A236,Orders[OrderID],Orders[CustomerName])</f>
        <v>Shruti</v>
      </c>
      <c r="J236" t="str">
        <f>_xlfn.XLOOKUP(A236,Orders[OrderID],Orders[State])</f>
        <v>Maharashtra</v>
      </c>
      <c r="K236" t="str">
        <f>_xlfn.XLOOKUP(A236,Orders[OrderID],Orders[City])</f>
        <v>Mumbai</v>
      </c>
      <c r="L236" s="3">
        <f>YEAR(Clean_Data[[#This Row],[OrderDate]])</f>
        <v>2018</v>
      </c>
      <c r="M236" s="3">
        <f>MONTH(Clean_Data[[#This Row],[OrderDate]])</f>
        <v>12</v>
      </c>
      <c r="N236" s="8" t="str">
        <f>TEXT(Clean_Data[[#This Row],[OrderDate]],"mmm")</f>
        <v>Dec</v>
      </c>
      <c r="O236" s="8" t="str">
        <f>TEXT(Clean_Data[[#This Row],[OrderDate]], "yyyy-mm")</f>
        <v>2018-12</v>
      </c>
      <c r="P236" s="7">
        <f>Clean_Data[[#This Row],[Profit]]/Clean_Data[[#This Row],[Revenue ]]</f>
        <v>0.44444444444444442</v>
      </c>
      <c r="Q236" t="str">
        <f>"Q"&amp;ROUNDUP(MONTH(Clean_Data[[#This Row],[OrderDate]])/3,0)</f>
        <v>Q4</v>
      </c>
      <c r="R236" t="str">
        <f>TEXT(Clean_Data[[#This Row],[OrderDate]], "dddd")</f>
        <v>Saturday</v>
      </c>
    </row>
    <row r="237" spans="1:18" x14ac:dyDescent="0.25">
      <c r="A237" t="s">
        <v>579</v>
      </c>
      <c r="B237" s="4">
        <v>27</v>
      </c>
      <c r="C237" s="4">
        <v>1</v>
      </c>
      <c r="D237" s="3">
        <v>1</v>
      </c>
      <c r="E237" t="s">
        <v>895</v>
      </c>
      <c r="F237" t="s">
        <v>903</v>
      </c>
      <c r="G237" t="s">
        <v>898</v>
      </c>
      <c r="H237" s="6">
        <f>_xlfn.XLOOKUP(A237,Orders[OrderID],Orders[OrderDate])</f>
        <v>43127</v>
      </c>
      <c r="I237" t="str">
        <f>_xlfn.XLOOKUP(A237,Orders[OrderID],Orders[CustomerName])</f>
        <v>Aayushi</v>
      </c>
      <c r="J237" t="str">
        <f>_xlfn.XLOOKUP(A237,Orders[OrderID],Orders[State])</f>
        <v>Gujarat</v>
      </c>
      <c r="K237" t="str">
        <f>_xlfn.XLOOKUP(A237,Orders[OrderID],Orders[City])</f>
        <v>Surat</v>
      </c>
      <c r="L237" s="3">
        <f>YEAR(Clean_Data[[#This Row],[OrderDate]])</f>
        <v>2018</v>
      </c>
      <c r="M237" s="3">
        <f>MONTH(Clean_Data[[#This Row],[OrderDate]])</f>
        <v>1</v>
      </c>
      <c r="N237" s="8" t="str">
        <f>TEXT(Clean_Data[[#This Row],[OrderDate]],"mmm")</f>
        <v>Jan</v>
      </c>
      <c r="O237" s="8" t="str">
        <f>TEXT(Clean_Data[[#This Row],[OrderDate]], "yyyy-mm")</f>
        <v>2018-01</v>
      </c>
      <c r="P237" s="7">
        <f>Clean_Data[[#This Row],[Profit]]/Clean_Data[[#This Row],[Revenue ]]</f>
        <v>3.7037037037037035E-2</v>
      </c>
      <c r="Q237" t="str">
        <f>"Q"&amp;ROUNDUP(MONTH(Clean_Data[[#This Row],[OrderDate]])/3,0)</f>
        <v>Q1</v>
      </c>
      <c r="R237" t="str">
        <f>TEXT(Clean_Data[[#This Row],[OrderDate]], "dddd")</f>
        <v>Saturday</v>
      </c>
    </row>
    <row r="238" spans="1:18" x14ac:dyDescent="0.25">
      <c r="A238" t="s">
        <v>81</v>
      </c>
      <c r="B238" s="4">
        <v>413</v>
      </c>
      <c r="C238" s="4">
        <v>-314</v>
      </c>
      <c r="D238" s="3">
        <v>9</v>
      </c>
      <c r="E238" t="s">
        <v>888</v>
      </c>
      <c r="F238" t="s">
        <v>889</v>
      </c>
      <c r="G238" t="s">
        <v>887</v>
      </c>
      <c r="H238" s="6">
        <f>_xlfn.XLOOKUP(A238,Orders[OrderID],Orders[OrderDate])</f>
        <v>43373</v>
      </c>
      <c r="I238" t="str">
        <f>_xlfn.XLOOKUP(A238,Orders[OrderID],Orders[CustomerName])</f>
        <v>Sauptik</v>
      </c>
      <c r="J238" t="str">
        <f>_xlfn.XLOOKUP(A238,Orders[OrderID],Orders[State])</f>
        <v>Madhya Pradesh</v>
      </c>
      <c r="K238" t="str">
        <f>_xlfn.XLOOKUP(A238,Orders[OrderID],Orders[City])</f>
        <v>Indore</v>
      </c>
      <c r="L238" s="3">
        <f>YEAR(Clean_Data[[#This Row],[OrderDate]])</f>
        <v>2018</v>
      </c>
      <c r="M238" s="3">
        <f>MONTH(Clean_Data[[#This Row],[OrderDate]])</f>
        <v>9</v>
      </c>
      <c r="N238" s="8" t="str">
        <f>TEXT(Clean_Data[[#This Row],[OrderDate]],"mmm")</f>
        <v>Sep</v>
      </c>
      <c r="O238" s="8" t="str">
        <f>TEXT(Clean_Data[[#This Row],[OrderDate]], "yyyy-mm")</f>
        <v>2018-09</v>
      </c>
      <c r="P238" s="7">
        <f>Clean_Data[[#This Row],[Profit]]/Clean_Data[[#This Row],[Revenue ]]</f>
        <v>-0.76029055690072644</v>
      </c>
      <c r="Q238" t="str">
        <f>"Q"&amp;ROUNDUP(MONTH(Clean_Data[[#This Row],[OrderDate]])/3,0)</f>
        <v>Q3</v>
      </c>
      <c r="R238" t="str">
        <f>TEXT(Clean_Data[[#This Row],[OrderDate]], "dddd")</f>
        <v>Sunday</v>
      </c>
    </row>
    <row r="239" spans="1:18" x14ac:dyDescent="0.25">
      <c r="A239" t="s">
        <v>185</v>
      </c>
      <c r="B239" s="4">
        <v>53</v>
      </c>
      <c r="C239" s="4">
        <v>2</v>
      </c>
      <c r="D239" s="3">
        <v>4</v>
      </c>
      <c r="E239" t="s">
        <v>895</v>
      </c>
      <c r="F239" t="s">
        <v>899</v>
      </c>
      <c r="G239" t="s">
        <v>887</v>
      </c>
      <c r="H239" s="6">
        <f>_xlfn.XLOOKUP(A239,Orders[OrderID],Orders[OrderDate])</f>
        <v>43175</v>
      </c>
      <c r="I239" t="str">
        <f>_xlfn.XLOOKUP(A239,Orders[OrderID],Orders[CustomerName])</f>
        <v>Tulika</v>
      </c>
      <c r="J239" t="str">
        <f>_xlfn.XLOOKUP(A239,Orders[OrderID],Orders[State])</f>
        <v>Madhya Pradesh</v>
      </c>
      <c r="K239" t="str">
        <f>_xlfn.XLOOKUP(A239,Orders[OrderID],Orders[City])</f>
        <v>Bhopal</v>
      </c>
      <c r="L239" s="3">
        <f>YEAR(Clean_Data[[#This Row],[OrderDate]])</f>
        <v>2018</v>
      </c>
      <c r="M239" s="3">
        <f>MONTH(Clean_Data[[#This Row],[OrderDate]])</f>
        <v>3</v>
      </c>
      <c r="N239" s="8" t="str">
        <f>TEXT(Clean_Data[[#This Row],[OrderDate]],"mmm")</f>
        <v>Mar</v>
      </c>
      <c r="O239" s="8" t="str">
        <f>TEXT(Clean_Data[[#This Row],[OrderDate]], "yyyy-mm")</f>
        <v>2018-03</v>
      </c>
      <c r="P239" s="7">
        <f>Clean_Data[[#This Row],[Profit]]/Clean_Data[[#This Row],[Revenue ]]</f>
        <v>3.7735849056603772E-2</v>
      </c>
      <c r="Q239" t="str">
        <f>"Q"&amp;ROUNDUP(MONTH(Clean_Data[[#This Row],[OrderDate]])/3,0)</f>
        <v>Q1</v>
      </c>
      <c r="R239" t="str">
        <f>TEXT(Clean_Data[[#This Row],[OrderDate]], "dddd")</f>
        <v>Friday</v>
      </c>
    </row>
    <row r="240" spans="1:18" x14ac:dyDescent="0.25">
      <c r="A240" t="s">
        <v>187</v>
      </c>
      <c r="B240" s="4">
        <v>29</v>
      </c>
      <c r="C240" s="4">
        <v>8</v>
      </c>
      <c r="D240" s="3">
        <v>5</v>
      </c>
      <c r="E240" t="s">
        <v>895</v>
      </c>
      <c r="F240" t="s">
        <v>899</v>
      </c>
      <c r="G240" t="s">
        <v>898</v>
      </c>
      <c r="H240" s="6">
        <f>_xlfn.XLOOKUP(A240,Orders[OrderID],Orders[OrderDate])</f>
        <v>43383</v>
      </c>
      <c r="I240" t="str">
        <f>_xlfn.XLOOKUP(A240,Orders[OrderID],Orders[CustomerName])</f>
        <v>Nripraj</v>
      </c>
      <c r="J240" t="str">
        <f>_xlfn.XLOOKUP(A240,Orders[OrderID],Orders[State])</f>
        <v>Punjab</v>
      </c>
      <c r="K240" t="str">
        <f>_xlfn.XLOOKUP(A240,Orders[OrderID],Orders[City])</f>
        <v>Chandigarh</v>
      </c>
      <c r="L240" s="3">
        <f>YEAR(Clean_Data[[#This Row],[OrderDate]])</f>
        <v>2018</v>
      </c>
      <c r="M240" s="3">
        <f>MONTH(Clean_Data[[#This Row],[OrderDate]])</f>
        <v>10</v>
      </c>
      <c r="N240" s="8" t="str">
        <f>TEXT(Clean_Data[[#This Row],[OrderDate]],"mmm")</f>
        <v>Oct</v>
      </c>
      <c r="O240" s="8" t="str">
        <f>TEXT(Clean_Data[[#This Row],[OrderDate]], "yyyy-mm")</f>
        <v>2018-10</v>
      </c>
      <c r="P240" s="7">
        <f>Clean_Data[[#This Row],[Profit]]/Clean_Data[[#This Row],[Revenue ]]</f>
        <v>0.27586206896551724</v>
      </c>
      <c r="Q240" t="str">
        <f>"Q"&amp;ROUNDUP(MONTH(Clean_Data[[#This Row],[OrderDate]])/3,0)</f>
        <v>Q4</v>
      </c>
      <c r="R240" t="str">
        <f>TEXT(Clean_Data[[#This Row],[OrderDate]], "dddd")</f>
        <v>Wednesday</v>
      </c>
    </row>
    <row r="241" spans="1:18" x14ac:dyDescent="0.25">
      <c r="A241" t="s">
        <v>659</v>
      </c>
      <c r="B241" s="4">
        <v>30</v>
      </c>
      <c r="C241" s="4">
        <v>13</v>
      </c>
      <c r="D241" s="3">
        <v>1</v>
      </c>
      <c r="E241" t="s">
        <v>895</v>
      </c>
      <c r="F241" t="s">
        <v>906</v>
      </c>
      <c r="G241" t="s">
        <v>898</v>
      </c>
      <c r="H241" s="6">
        <f>_xlfn.XLOOKUP(A241,Orders[OrderID],Orders[OrderDate])</f>
        <v>43224</v>
      </c>
      <c r="I241" t="str">
        <f>_xlfn.XLOOKUP(A241,Orders[OrderID],Orders[CustomerName])</f>
        <v>Aditya</v>
      </c>
      <c r="J241" t="str">
        <f>_xlfn.XLOOKUP(A241,Orders[OrderID],Orders[State])</f>
        <v>Punjab</v>
      </c>
      <c r="K241" t="str">
        <f>_xlfn.XLOOKUP(A241,Orders[OrderID],Orders[City])</f>
        <v>Chandigarh</v>
      </c>
      <c r="L241" s="3">
        <f>YEAR(Clean_Data[[#This Row],[OrderDate]])</f>
        <v>2018</v>
      </c>
      <c r="M241" s="3">
        <f>MONTH(Clean_Data[[#This Row],[OrderDate]])</f>
        <v>5</v>
      </c>
      <c r="N241" s="8" t="str">
        <f>TEXT(Clean_Data[[#This Row],[OrderDate]],"mmm")</f>
        <v>May</v>
      </c>
      <c r="O241" s="8" t="str">
        <f>TEXT(Clean_Data[[#This Row],[OrderDate]], "yyyy-mm")</f>
        <v>2018-05</v>
      </c>
      <c r="P241" s="7">
        <f>Clean_Data[[#This Row],[Profit]]/Clean_Data[[#This Row],[Revenue ]]</f>
        <v>0.43333333333333335</v>
      </c>
      <c r="Q241" t="str">
        <f>"Q"&amp;ROUNDUP(MONTH(Clean_Data[[#This Row],[OrderDate]])/3,0)</f>
        <v>Q2</v>
      </c>
      <c r="R241" t="str">
        <f>TEXT(Clean_Data[[#This Row],[OrderDate]], "dddd")</f>
        <v>Friday</v>
      </c>
    </row>
    <row r="242" spans="1:18" x14ac:dyDescent="0.25">
      <c r="A242" t="s">
        <v>430</v>
      </c>
      <c r="B242" s="4">
        <v>412</v>
      </c>
      <c r="C242" s="4">
        <v>412</v>
      </c>
      <c r="D242" s="3">
        <v>6</v>
      </c>
      <c r="E242" t="s">
        <v>895</v>
      </c>
      <c r="F242" t="s">
        <v>897</v>
      </c>
      <c r="G242" t="s">
        <v>887</v>
      </c>
      <c r="H242" s="6">
        <f>_xlfn.XLOOKUP(A242,Orders[OrderID],Orders[OrderDate])</f>
        <v>43104</v>
      </c>
      <c r="I242" t="str">
        <f>_xlfn.XLOOKUP(A242,Orders[OrderID],Orders[CustomerName])</f>
        <v>Shikhar</v>
      </c>
      <c r="J242" t="str">
        <f>_xlfn.XLOOKUP(A242,Orders[OrderID],Orders[State])</f>
        <v>Maharashtra</v>
      </c>
      <c r="K242" t="str">
        <f>_xlfn.XLOOKUP(A242,Orders[OrderID],Orders[City])</f>
        <v>Mumbai</v>
      </c>
      <c r="L242" s="3">
        <f>YEAR(Clean_Data[[#This Row],[OrderDate]])</f>
        <v>2018</v>
      </c>
      <c r="M242" s="3">
        <f>MONTH(Clean_Data[[#This Row],[OrderDate]])</f>
        <v>1</v>
      </c>
      <c r="N242" s="8" t="str">
        <f>TEXT(Clean_Data[[#This Row],[OrderDate]],"mmm")</f>
        <v>Jan</v>
      </c>
      <c r="O242" s="8" t="str">
        <f>TEXT(Clean_Data[[#This Row],[OrderDate]], "yyyy-mm")</f>
        <v>2018-01</v>
      </c>
      <c r="P242" s="7">
        <f>Clean_Data[[#This Row],[Profit]]/Clean_Data[[#This Row],[Revenue ]]</f>
        <v>1</v>
      </c>
      <c r="Q242" t="str">
        <f>"Q"&amp;ROUNDUP(MONTH(Clean_Data[[#This Row],[OrderDate]])/3,0)</f>
        <v>Q1</v>
      </c>
      <c r="R242" t="str">
        <f>TEXT(Clean_Data[[#This Row],[OrderDate]], "dddd")</f>
        <v>Thursday</v>
      </c>
    </row>
    <row r="243" spans="1:18" x14ac:dyDescent="0.25">
      <c r="A243" t="s">
        <v>322</v>
      </c>
      <c r="B243" s="4">
        <v>646</v>
      </c>
      <c r="C243" s="4">
        <v>-23</v>
      </c>
      <c r="D243" s="3">
        <v>2</v>
      </c>
      <c r="E243" t="s">
        <v>885</v>
      </c>
      <c r="F243" t="s">
        <v>892</v>
      </c>
      <c r="G243" t="s">
        <v>893</v>
      </c>
      <c r="H243" s="6">
        <f>_xlfn.XLOOKUP(A243,Orders[OrderID],Orders[OrderDate])</f>
        <v>43108</v>
      </c>
      <c r="I243" t="str">
        <f>_xlfn.XLOOKUP(A243,Orders[OrderID],Orders[CustomerName])</f>
        <v>Ankur</v>
      </c>
      <c r="J243" t="str">
        <f>_xlfn.XLOOKUP(A243,Orders[OrderID],Orders[State])</f>
        <v>Andhra Pradesh</v>
      </c>
      <c r="K243" t="str">
        <f>_xlfn.XLOOKUP(A243,Orders[OrderID],Orders[City])</f>
        <v>Hyderabad</v>
      </c>
      <c r="L243" s="3">
        <f>YEAR(Clean_Data[[#This Row],[OrderDate]])</f>
        <v>2018</v>
      </c>
      <c r="M243" s="3">
        <f>MONTH(Clean_Data[[#This Row],[OrderDate]])</f>
        <v>1</v>
      </c>
      <c r="N243" s="8" t="str">
        <f>TEXT(Clean_Data[[#This Row],[OrderDate]],"mmm")</f>
        <v>Jan</v>
      </c>
      <c r="O243" s="8" t="str">
        <f>TEXT(Clean_Data[[#This Row],[OrderDate]], "yyyy-mm")</f>
        <v>2018-01</v>
      </c>
      <c r="P243" s="7">
        <f>Clean_Data[[#This Row],[Profit]]/Clean_Data[[#This Row],[Revenue ]]</f>
        <v>-3.5603715170278639E-2</v>
      </c>
      <c r="Q243" t="str">
        <f>"Q"&amp;ROUNDUP(MONTH(Clean_Data[[#This Row],[OrderDate]])/3,0)</f>
        <v>Q1</v>
      </c>
      <c r="R243" t="str">
        <f>TEXT(Clean_Data[[#This Row],[OrderDate]], "dddd")</f>
        <v>Monday</v>
      </c>
    </row>
    <row r="244" spans="1:18" x14ac:dyDescent="0.25">
      <c r="A244" t="s">
        <v>124</v>
      </c>
      <c r="B244" s="4">
        <v>30</v>
      </c>
      <c r="C244" s="4">
        <v>-5</v>
      </c>
      <c r="D244" s="3">
        <v>5</v>
      </c>
      <c r="E244" t="s">
        <v>895</v>
      </c>
      <c r="F244" t="s">
        <v>903</v>
      </c>
      <c r="G244" t="s">
        <v>898</v>
      </c>
      <c r="H244" s="6">
        <f>_xlfn.XLOOKUP(A244,Orders[OrderID],Orders[OrderDate])</f>
        <v>43231</v>
      </c>
      <c r="I244" t="str">
        <f>_xlfn.XLOOKUP(A244,Orders[OrderID],Orders[CustomerName])</f>
        <v>Priyanka</v>
      </c>
      <c r="J244" t="str">
        <f>_xlfn.XLOOKUP(A244,Orders[OrderID],Orders[State])</f>
        <v>Maharashtra</v>
      </c>
      <c r="K244" t="str">
        <f>_xlfn.XLOOKUP(A244,Orders[OrderID],Orders[City])</f>
        <v>Pune</v>
      </c>
      <c r="L244" s="3">
        <f>YEAR(Clean_Data[[#This Row],[OrderDate]])</f>
        <v>2018</v>
      </c>
      <c r="M244" s="3">
        <f>MONTH(Clean_Data[[#This Row],[OrderDate]])</f>
        <v>5</v>
      </c>
      <c r="N244" s="8" t="str">
        <f>TEXT(Clean_Data[[#This Row],[OrderDate]],"mmm")</f>
        <v>May</v>
      </c>
      <c r="O244" s="8" t="str">
        <f>TEXT(Clean_Data[[#This Row],[OrderDate]], "yyyy-mm")</f>
        <v>2018-05</v>
      </c>
      <c r="P244" s="7">
        <f>Clean_Data[[#This Row],[Profit]]/Clean_Data[[#This Row],[Revenue ]]</f>
        <v>-0.16666666666666666</v>
      </c>
      <c r="Q244" t="str">
        <f>"Q"&amp;ROUNDUP(MONTH(Clean_Data[[#This Row],[OrderDate]])/3,0)</f>
        <v>Q2</v>
      </c>
      <c r="R244" t="str">
        <f>TEXT(Clean_Data[[#This Row],[OrderDate]], "dddd")</f>
        <v>Friday</v>
      </c>
    </row>
    <row r="245" spans="1:18" x14ac:dyDescent="0.25">
      <c r="A245" t="s">
        <v>185</v>
      </c>
      <c r="B245" s="4">
        <v>618</v>
      </c>
      <c r="C245" s="4">
        <v>27</v>
      </c>
      <c r="D245" s="3">
        <v>4</v>
      </c>
      <c r="E245" t="s">
        <v>888</v>
      </c>
      <c r="F245" t="s">
        <v>891</v>
      </c>
      <c r="G245" t="s">
        <v>893</v>
      </c>
      <c r="H245" s="6">
        <f>_xlfn.XLOOKUP(A245,Orders[OrderID],Orders[OrderDate])</f>
        <v>43175</v>
      </c>
      <c r="I245" t="str">
        <f>_xlfn.XLOOKUP(A245,Orders[OrderID],Orders[CustomerName])</f>
        <v>Tulika</v>
      </c>
      <c r="J245" t="str">
        <f>_xlfn.XLOOKUP(A245,Orders[OrderID],Orders[State])</f>
        <v>Madhya Pradesh</v>
      </c>
      <c r="K245" t="str">
        <f>_xlfn.XLOOKUP(A245,Orders[OrderID],Orders[City])</f>
        <v>Bhopal</v>
      </c>
      <c r="L245" s="3">
        <f>YEAR(Clean_Data[[#This Row],[OrderDate]])</f>
        <v>2018</v>
      </c>
      <c r="M245" s="3">
        <f>MONTH(Clean_Data[[#This Row],[OrderDate]])</f>
        <v>3</v>
      </c>
      <c r="N245" s="8" t="str">
        <f>TEXT(Clean_Data[[#This Row],[OrderDate]],"mmm")</f>
        <v>Mar</v>
      </c>
      <c r="O245" s="8" t="str">
        <f>TEXT(Clean_Data[[#This Row],[OrderDate]], "yyyy-mm")</f>
        <v>2018-03</v>
      </c>
      <c r="P245" s="7">
        <f>Clean_Data[[#This Row],[Profit]]/Clean_Data[[#This Row],[Revenue ]]</f>
        <v>4.3689320388349516E-2</v>
      </c>
      <c r="Q245" t="str">
        <f>"Q"&amp;ROUNDUP(MONTH(Clean_Data[[#This Row],[OrderDate]])/3,0)</f>
        <v>Q1</v>
      </c>
      <c r="R245" t="str">
        <f>TEXT(Clean_Data[[#This Row],[OrderDate]], "dddd")</f>
        <v>Friday</v>
      </c>
    </row>
    <row r="246" spans="1:18" x14ac:dyDescent="0.25">
      <c r="A246" t="s">
        <v>642</v>
      </c>
      <c r="B246" s="4">
        <v>143</v>
      </c>
      <c r="C246" s="4">
        <v>-124</v>
      </c>
      <c r="D246" s="3">
        <v>5</v>
      </c>
      <c r="E246" t="s">
        <v>895</v>
      </c>
      <c r="F246" t="s">
        <v>897</v>
      </c>
      <c r="G246" t="s">
        <v>898</v>
      </c>
      <c r="H246" s="6">
        <f>_xlfn.XLOOKUP(A246,Orders[OrderID],Orders[OrderDate])</f>
        <v>43248</v>
      </c>
      <c r="I246" t="str">
        <f>_xlfn.XLOOKUP(A246,Orders[OrderID],Orders[CustomerName])</f>
        <v>Arsheen</v>
      </c>
      <c r="J246" t="str">
        <f>_xlfn.XLOOKUP(A246,Orders[OrderID],Orders[State])</f>
        <v>Gujarat</v>
      </c>
      <c r="K246" t="str">
        <f>_xlfn.XLOOKUP(A246,Orders[OrderID],Orders[City])</f>
        <v>Ahmedabad</v>
      </c>
      <c r="L246" s="3">
        <f>YEAR(Clean_Data[[#This Row],[OrderDate]])</f>
        <v>2018</v>
      </c>
      <c r="M246" s="3">
        <f>MONTH(Clean_Data[[#This Row],[OrderDate]])</f>
        <v>5</v>
      </c>
      <c r="N246" s="8" t="str">
        <f>TEXT(Clean_Data[[#This Row],[OrderDate]],"mmm")</f>
        <v>May</v>
      </c>
      <c r="O246" s="8" t="str">
        <f>TEXT(Clean_Data[[#This Row],[OrderDate]], "yyyy-mm")</f>
        <v>2018-05</v>
      </c>
      <c r="P246" s="7">
        <f>Clean_Data[[#This Row],[Profit]]/Clean_Data[[#This Row],[Revenue ]]</f>
        <v>-0.86713286713286708</v>
      </c>
      <c r="Q246" t="str">
        <f>"Q"&amp;ROUNDUP(MONTH(Clean_Data[[#This Row],[OrderDate]])/3,0)</f>
        <v>Q2</v>
      </c>
      <c r="R246" t="str">
        <f>TEXT(Clean_Data[[#This Row],[OrderDate]], "dddd")</f>
        <v>Monday</v>
      </c>
    </row>
    <row r="247" spans="1:18" x14ac:dyDescent="0.25">
      <c r="A247" t="s">
        <v>81</v>
      </c>
      <c r="B247" s="4">
        <v>31</v>
      </c>
      <c r="C247" s="4">
        <v>1</v>
      </c>
      <c r="D247" s="3">
        <v>2</v>
      </c>
      <c r="E247" t="s">
        <v>895</v>
      </c>
      <c r="F247" t="s">
        <v>899</v>
      </c>
      <c r="G247" t="s">
        <v>898</v>
      </c>
      <c r="H247" s="6">
        <f>_xlfn.XLOOKUP(A247,Orders[OrderID],Orders[OrderDate])</f>
        <v>43373</v>
      </c>
      <c r="I247" t="str">
        <f>_xlfn.XLOOKUP(A247,Orders[OrderID],Orders[CustomerName])</f>
        <v>Sauptik</v>
      </c>
      <c r="J247" t="str">
        <f>_xlfn.XLOOKUP(A247,Orders[OrderID],Orders[State])</f>
        <v>Madhya Pradesh</v>
      </c>
      <c r="K247" t="str">
        <f>_xlfn.XLOOKUP(A247,Orders[OrderID],Orders[City])</f>
        <v>Indore</v>
      </c>
      <c r="L247" s="3">
        <f>YEAR(Clean_Data[[#This Row],[OrderDate]])</f>
        <v>2018</v>
      </c>
      <c r="M247" s="3">
        <f>MONTH(Clean_Data[[#This Row],[OrderDate]])</f>
        <v>9</v>
      </c>
      <c r="N247" s="8" t="str">
        <f>TEXT(Clean_Data[[#This Row],[OrderDate]],"mmm")</f>
        <v>Sep</v>
      </c>
      <c r="O247" s="8" t="str">
        <f>TEXT(Clean_Data[[#This Row],[OrderDate]], "yyyy-mm")</f>
        <v>2018-09</v>
      </c>
      <c r="P247" s="7">
        <f>Clean_Data[[#This Row],[Profit]]/Clean_Data[[#This Row],[Revenue ]]</f>
        <v>3.2258064516129031E-2</v>
      </c>
      <c r="Q247" t="str">
        <f>"Q"&amp;ROUNDUP(MONTH(Clean_Data[[#This Row],[OrderDate]])/3,0)</f>
        <v>Q3</v>
      </c>
      <c r="R247" t="str">
        <f>TEXT(Clean_Data[[#This Row],[OrderDate]], "dddd")</f>
        <v>Sunday</v>
      </c>
    </row>
    <row r="248" spans="1:18" x14ac:dyDescent="0.25">
      <c r="A248" t="s">
        <v>390</v>
      </c>
      <c r="B248" s="4">
        <v>409</v>
      </c>
      <c r="C248" s="4">
        <v>86</v>
      </c>
      <c r="D248" s="3">
        <v>3</v>
      </c>
      <c r="E248" t="s">
        <v>895</v>
      </c>
      <c r="F248" t="s">
        <v>897</v>
      </c>
      <c r="G248" t="s">
        <v>887</v>
      </c>
      <c r="H248" s="6">
        <f>_xlfn.XLOOKUP(A248,Orders[OrderID],Orders[OrderDate])</f>
        <v>43188</v>
      </c>
      <c r="I248" t="str">
        <f>_xlfn.XLOOKUP(A248,Orders[OrderID],Orders[CustomerName])</f>
        <v>Pinky</v>
      </c>
      <c r="J248" t="str">
        <f>_xlfn.XLOOKUP(A248,Orders[OrderID],Orders[State])</f>
        <v>Jammu and Kashmir</v>
      </c>
      <c r="K248" t="str">
        <f>_xlfn.XLOOKUP(A248,Orders[OrderID],Orders[City])</f>
        <v>Kashmir</v>
      </c>
      <c r="L248" s="3">
        <f>YEAR(Clean_Data[[#This Row],[OrderDate]])</f>
        <v>2018</v>
      </c>
      <c r="M248" s="3">
        <f>MONTH(Clean_Data[[#This Row],[OrderDate]])</f>
        <v>3</v>
      </c>
      <c r="N248" s="8" t="str">
        <f>TEXT(Clean_Data[[#This Row],[OrderDate]],"mmm")</f>
        <v>Mar</v>
      </c>
      <c r="O248" s="8" t="str">
        <f>TEXT(Clean_Data[[#This Row],[OrderDate]], "yyyy-mm")</f>
        <v>2018-03</v>
      </c>
      <c r="P248" s="7">
        <f>Clean_Data[[#This Row],[Profit]]/Clean_Data[[#This Row],[Revenue ]]</f>
        <v>0.21026894865525672</v>
      </c>
      <c r="Q248" t="str">
        <f>"Q"&amp;ROUNDUP(MONTH(Clean_Data[[#This Row],[OrderDate]])/3,0)</f>
        <v>Q1</v>
      </c>
      <c r="R248" t="str">
        <f>TEXT(Clean_Data[[#This Row],[OrderDate]], "dddd")</f>
        <v>Thursday</v>
      </c>
    </row>
    <row r="249" spans="1:18" x14ac:dyDescent="0.25">
      <c r="A249" t="s">
        <v>124</v>
      </c>
      <c r="B249" s="4">
        <v>406</v>
      </c>
      <c r="C249" s="4">
        <v>126</v>
      </c>
      <c r="D249" s="3">
        <v>2</v>
      </c>
      <c r="E249" t="s">
        <v>895</v>
      </c>
      <c r="F249" t="s">
        <v>897</v>
      </c>
      <c r="G249" t="s">
        <v>887</v>
      </c>
      <c r="H249" s="6">
        <f>_xlfn.XLOOKUP(A249,Orders[OrderID],Orders[OrderDate])</f>
        <v>43231</v>
      </c>
      <c r="I249" t="str">
        <f>_xlfn.XLOOKUP(A249,Orders[OrderID],Orders[CustomerName])</f>
        <v>Priyanka</v>
      </c>
      <c r="J249" t="str">
        <f>_xlfn.XLOOKUP(A249,Orders[OrderID],Orders[State])</f>
        <v>Maharashtra</v>
      </c>
      <c r="K249" t="str">
        <f>_xlfn.XLOOKUP(A249,Orders[OrderID],Orders[City])</f>
        <v>Pune</v>
      </c>
      <c r="L249" s="3">
        <f>YEAR(Clean_Data[[#This Row],[OrderDate]])</f>
        <v>2018</v>
      </c>
      <c r="M249" s="3">
        <f>MONTH(Clean_Data[[#This Row],[OrderDate]])</f>
        <v>5</v>
      </c>
      <c r="N249" s="8" t="str">
        <f>TEXT(Clean_Data[[#This Row],[OrderDate]],"mmm")</f>
        <v>May</v>
      </c>
      <c r="O249" s="8" t="str">
        <f>TEXT(Clean_Data[[#This Row],[OrderDate]], "yyyy-mm")</f>
        <v>2018-05</v>
      </c>
      <c r="P249" s="7">
        <f>Clean_Data[[#This Row],[Profit]]/Clean_Data[[#This Row],[Revenue ]]</f>
        <v>0.31034482758620691</v>
      </c>
      <c r="Q249" t="str">
        <f>"Q"&amp;ROUNDUP(MONTH(Clean_Data[[#This Row],[OrderDate]])/3,0)</f>
        <v>Q2</v>
      </c>
      <c r="R249" t="str">
        <f>TEXT(Clean_Data[[#This Row],[OrderDate]], "dddd")</f>
        <v>Friday</v>
      </c>
    </row>
    <row r="250" spans="1:18" x14ac:dyDescent="0.25">
      <c r="A250" t="s">
        <v>352</v>
      </c>
      <c r="B250" s="4">
        <v>565</v>
      </c>
      <c r="C250" s="4">
        <v>66</v>
      </c>
      <c r="D250" s="3">
        <v>7</v>
      </c>
      <c r="E250" t="s">
        <v>895</v>
      </c>
      <c r="F250" t="s">
        <v>897</v>
      </c>
      <c r="G250" t="s">
        <v>893</v>
      </c>
      <c r="H250" s="6">
        <f>_xlfn.XLOOKUP(A250,Orders[OrderID],Orders[OrderDate])</f>
        <v>43367</v>
      </c>
      <c r="I250" t="str">
        <f>_xlfn.XLOOKUP(A250,Orders[OrderID],Orders[CustomerName])</f>
        <v>Avish</v>
      </c>
      <c r="J250" t="str">
        <f>_xlfn.XLOOKUP(A250,Orders[OrderID],Orders[State])</f>
        <v xml:space="preserve">Kerala </v>
      </c>
      <c r="K250" t="str">
        <f>_xlfn.XLOOKUP(A250,Orders[OrderID],Orders[City])</f>
        <v>Thiruvananthapuram</v>
      </c>
      <c r="L250" s="3">
        <f>YEAR(Clean_Data[[#This Row],[OrderDate]])</f>
        <v>2018</v>
      </c>
      <c r="M250" s="3">
        <f>MONTH(Clean_Data[[#This Row],[OrderDate]])</f>
        <v>9</v>
      </c>
      <c r="N250" s="8" t="str">
        <f>TEXT(Clean_Data[[#This Row],[OrderDate]],"mmm")</f>
        <v>Sep</v>
      </c>
      <c r="O250" s="8" t="str">
        <f>TEXT(Clean_Data[[#This Row],[OrderDate]], "yyyy-mm")</f>
        <v>2018-09</v>
      </c>
      <c r="P250" s="7">
        <f>Clean_Data[[#This Row],[Profit]]/Clean_Data[[#This Row],[Revenue ]]</f>
        <v>0.1168141592920354</v>
      </c>
      <c r="Q250" t="str">
        <f>"Q"&amp;ROUNDUP(MONTH(Clean_Data[[#This Row],[OrderDate]])/3,0)</f>
        <v>Q3</v>
      </c>
      <c r="R250" t="str">
        <f>TEXT(Clean_Data[[#This Row],[OrderDate]], "dddd")</f>
        <v>Monday</v>
      </c>
    </row>
    <row r="251" spans="1:18" x14ac:dyDescent="0.25">
      <c r="A251" t="s">
        <v>350</v>
      </c>
      <c r="B251" s="4">
        <v>85</v>
      </c>
      <c r="C251" s="4">
        <v>2</v>
      </c>
      <c r="D251" s="3">
        <v>6</v>
      </c>
      <c r="E251" t="s">
        <v>895</v>
      </c>
      <c r="F251" t="s">
        <v>903</v>
      </c>
      <c r="G251" t="s">
        <v>887</v>
      </c>
      <c r="H251" s="6">
        <f>_xlfn.XLOOKUP(A251,Orders[OrderID],Orders[OrderDate])</f>
        <v>43168</v>
      </c>
      <c r="I251" t="str">
        <f>_xlfn.XLOOKUP(A251,Orders[OrderID],Orders[CustomerName])</f>
        <v>Kirti</v>
      </c>
      <c r="J251" t="str">
        <f>_xlfn.XLOOKUP(A251,Orders[OrderID],Orders[State])</f>
        <v>Jammu and Kashmir</v>
      </c>
      <c r="K251" t="str">
        <f>_xlfn.XLOOKUP(A251,Orders[OrderID],Orders[City])</f>
        <v>Kashmir</v>
      </c>
      <c r="L251" s="3">
        <f>YEAR(Clean_Data[[#This Row],[OrderDate]])</f>
        <v>2018</v>
      </c>
      <c r="M251" s="3">
        <f>MONTH(Clean_Data[[#This Row],[OrderDate]])</f>
        <v>3</v>
      </c>
      <c r="N251" s="8" t="str">
        <f>TEXT(Clean_Data[[#This Row],[OrderDate]],"mmm")</f>
        <v>Mar</v>
      </c>
      <c r="O251" s="8" t="str">
        <f>TEXT(Clean_Data[[#This Row],[OrderDate]], "yyyy-mm")</f>
        <v>2018-03</v>
      </c>
      <c r="P251" s="7">
        <f>Clean_Data[[#This Row],[Profit]]/Clean_Data[[#This Row],[Revenue ]]</f>
        <v>2.3529411764705882E-2</v>
      </c>
      <c r="Q251" t="str">
        <f>"Q"&amp;ROUNDUP(MONTH(Clean_Data[[#This Row],[OrderDate]])/3,0)</f>
        <v>Q1</v>
      </c>
      <c r="R251" t="str">
        <f>TEXT(Clean_Data[[#This Row],[OrderDate]], "dddd")</f>
        <v>Friday</v>
      </c>
    </row>
    <row r="252" spans="1:18" x14ac:dyDescent="0.25">
      <c r="A252" t="s">
        <v>354</v>
      </c>
      <c r="B252" s="4">
        <v>561</v>
      </c>
      <c r="C252" s="4">
        <v>118</v>
      </c>
      <c r="D252" s="3">
        <v>5</v>
      </c>
      <c r="E252" t="s">
        <v>888</v>
      </c>
      <c r="F252" t="s">
        <v>891</v>
      </c>
      <c r="G252" t="s">
        <v>893</v>
      </c>
      <c r="H252" s="6">
        <f>_xlfn.XLOOKUP(A252,Orders[OrderID],Orders[OrderDate])</f>
        <v>43130</v>
      </c>
      <c r="I252" t="str">
        <f>_xlfn.XLOOKUP(A252,Orders[OrderID],Orders[CustomerName])</f>
        <v>Atul</v>
      </c>
      <c r="J252" t="str">
        <f>_xlfn.XLOOKUP(A252,Orders[OrderID],Orders[State])</f>
        <v>Delhi</v>
      </c>
      <c r="K252" t="str">
        <f>_xlfn.XLOOKUP(A252,Orders[OrderID],Orders[City])</f>
        <v>Delhi</v>
      </c>
      <c r="L252" s="3">
        <f>YEAR(Clean_Data[[#This Row],[OrderDate]])</f>
        <v>2018</v>
      </c>
      <c r="M252" s="3">
        <f>MONTH(Clean_Data[[#This Row],[OrderDate]])</f>
        <v>1</v>
      </c>
      <c r="N252" s="8" t="str">
        <f>TEXT(Clean_Data[[#This Row],[OrderDate]],"mmm")</f>
        <v>Jan</v>
      </c>
      <c r="O252" s="8" t="str">
        <f>TEXT(Clean_Data[[#This Row],[OrderDate]], "yyyy-mm")</f>
        <v>2018-01</v>
      </c>
      <c r="P252" s="7">
        <f>Clean_Data[[#This Row],[Profit]]/Clean_Data[[#This Row],[Revenue ]]</f>
        <v>0.21033868092691621</v>
      </c>
      <c r="Q252" t="str">
        <f>"Q"&amp;ROUNDUP(MONTH(Clean_Data[[#This Row],[OrderDate]])/3,0)</f>
        <v>Q1</v>
      </c>
      <c r="R252" t="str">
        <f>TEXT(Clean_Data[[#This Row],[OrderDate]], "dddd")</f>
        <v>Tuesday</v>
      </c>
    </row>
    <row r="253" spans="1:18" x14ac:dyDescent="0.25">
      <c r="A253" t="s">
        <v>385</v>
      </c>
      <c r="B253" s="4">
        <v>503</v>
      </c>
      <c r="C253" s="4">
        <v>-56</v>
      </c>
      <c r="D253" s="3">
        <v>2</v>
      </c>
      <c r="E253" t="s">
        <v>895</v>
      </c>
      <c r="F253" t="s">
        <v>896</v>
      </c>
      <c r="G253" t="s">
        <v>887</v>
      </c>
      <c r="H253" s="6">
        <f>_xlfn.XLOOKUP(A253,Orders[OrderID],Orders[OrderDate])</f>
        <v>43319</v>
      </c>
      <c r="I253" t="str">
        <f>_xlfn.XLOOKUP(A253,Orders[OrderID],Orders[CustomerName])</f>
        <v>Aman</v>
      </c>
      <c r="J253" t="str">
        <f>_xlfn.XLOOKUP(A253,Orders[OrderID],Orders[State])</f>
        <v>Nagaland</v>
      </c>
      <c r="K253" t="str">
        <f>_xlfn.XLOOKUP(A253,Orders[OrderID],Orders[City])</f>
        <v>Kohima</v>
      </c>
      <c r="L253" s="3">
        <f>YEAR(Clean_Data[[#This Row],[OrderDate]])</f>
        <v>2018</v>
      </c>
      <c r="M253" s="3">
        <f>MONTH(Clean_Data[[#This Row],[OrderDate]])</f>
        <v>8</v>
      </c>
      <c r="N253" s="8" t="str">
        <f>TEXT(Clean_Data[[#This Row],[OrderDate]],"mmm")</f>
        <v>Aug</v>
      </c>
      <c r="O253" s="8" t="str">
        <f>TEXT(Clean_Data[[#This Row],[OrderDate]], "yyyy-mm")</f>
        <v>2018-08</v>
      </c>
      <c r="P253" s="7">
        <f>Clean_Data[[#This Row],[Profit]]/Clean_Data[[#This Row],[Revenue ]]</f>
        <v>-0.11133200795228629</v>
      </c>
      <c r="Q253" t="str">
        <f>"Q"&amp;ROUNDUP(MONTH(Clean_Data[[#This Row],[OrderDate]])/3,0)</f>
        <v>Q3</v>
      </c>
      <c r="R253" t="str">
        <f>TEXT(Clean_Data[[#This Row],[OrderDate]], "dddd")</f>
        <v>Tuesday</v>
      </c>
    </row>
    <row r="254" spans="1:18" x14ac:dyDescent="0.25">
      <c r="A254" t="s">
        <v>536</v>
      </c>
      <c r="B254" s="4">
        <v>31</v>
      </c>
      <c r="C254" s="4">
        <v>14</v>
      </c>
      <c r="D254" s="3">
        <v>3</v>
      </c>
      <c r="E254" t="s">
        <v>895</v>
      </c>
      <c r="F254" t="s">
        <v>903</v>
      </c>
      <c r="G254" t="s">
        <v>898</v>
      </c>
      <c r="H254" s="6">
        <f>_xlfn.XLOOKUP(A254,Orders[OrderID],Orders[OrderDate])</f>
        <v>43421</v>
      </c>
      <c r="I254" t="str">
        <f>_xlfn.XLOOKUP(A254,Orders[OrderID],Orders[CustomerName])</f>
        <v>Ankit</v>
      </c>
      <c r="J254" t="str">
        <f>_xlfn.XLOOKUP(A254,Orders[OrderID],Orders[State])</f>
        <v>Sikkim</v>
      </c>
      <c r="K254" t="str">
        <f>_xlfn.XLOOKUP(A254,Orders[OrderID],Orders[City])</f>
        <v>Gangtok</v>
      </c>
      <c r="L254" s="3">
        <f>YEAR(Clean_Data[[#This Row],[OrderDate]])</f>
        <v>2018</v>
      </c>
      <c r="M254" s="3">
        <f>MONTH(Clean_Data[[#This Row],[OrderDate]])</f>
        <v>11</v>
      </c>
      <c r="N254" s="8" t="str">
        <f>TEXT(Clean_Data[[#This Row],[OrderDate]],"mmm")</f>
        <v>Nov</v>
      </c>
      <c r="O254" s="8" t="str">
        <f>TEXT(Clean_Data[[#This Row],[OrderDate]], "yyyy-mm")</f>
        <v>2018-11</v>
      </c>
      <c r="P254" s="7">
        <f>Clean_Data[[#This Row],[Profit]]/Clean_Data[[#This Row],[Revenue ]]</f>
        <v>0.45161290322580644</v>
      </c>
      <c r="Q254" t="str">
        <f>"Q"&amp;ROUNDUP(MONTH(Clean_Data[[#This Row],[OrderDate]])/3,0)</f>
        <v>Q4</v>
      </c>
      <c r="R254" t="str">
        <f>TEXT(Clean_Data[[#This Row],[OrderDate]], "dddd")</f>
        <v>Saturday</v>
      </c>
    </row>
    <row r="255" spans="1:18" x14ac:dyDescent="0.25">
      <c r="A255" t="s">
        <v>10</v>
      </c>
      <c r="B255" s="4">
        <v>398</v>
      </c>
      <c r="C255" s="4">
        <v>111</v>
      </c>
      <c r="D255" s="3">
        <v>8</v>
      </c>
      <c r="E255" t="s">
        <v>895</v>
      </c>
      <c r="F255" t="s">
        <v>899</v>
      </c>
      <c r="G255" t="s">
        <v>887</v>
      </c>
      <c r="H255" s="6">
        <f>_xlfn.XLOOKUP(A255,Orders[OrderID],Orders[OrderDate])</f>
        <v>43124</v>
      </c>
      <c r="I255" t="str">
        <f>_xlfn.XLOOKUP(A255,Orders[OrderID],Orders[CustomerName])</f>
        <v>Madan Mohan</v>
      </c>
      <c r="J255" t="str">
        <f>_xlfn.XLOOKUP(A255,Orders[OrderID],Orders[State])</f>
        <v>Uttar Pradesh</v>
      </c>
      <c r="K255" t="str">
        <f>_xlfn.XLOOKUP(A255,Orders[OrderID],Orders[City])</f>
        <v>Mathura</v>
      </c>
      <c r="L255" s="3">
        <f>YEAR(Clean_Data[[#This Row],[OrderDate]])</f>
        <v>2018</v>
      </c>
      <c r="M255" s="3">
        <f>MONTH(Clean_Data[[#This Row],[OrderDate]])</f>
        <v>1</v>
      </c>
      <c r="N255" s="8" t="str">
        <f>TEXT(Clean_Data[[#This Row],[OrderDate]],"mmm")</f>
        <v>Jan</v>
      </c>
      <c r="O255" s="8" t="str">
        <f>TEXT(Clean_Data[[#This Row],[OrderDate]], "yyyy-mm")</f>
        <v>2018-01</v>
      </c>
      <c r="P255" s="7">
        <f>Clean_Data[[#This Row],[Profit]]/Clean_Data[[#This Row],[Revenue ]]</f>
        <v>0.27889447236180903</v>
      </c>
      <c r="Q255" t="str">
        <f>"Q"&amp;ROUNDUP(MONTH(Clean_Data[[#This Row],[OrderDate]])/3,0)</f>
        <v>Q1</v>
      </c>
      <c r="R255" t="str">
        <f>TEXT(Clean_Data[[#This Row],[OrderDate]], "dddd")</f>
        <v>Wednesday</v>
      </c>
    </row>
    <row r="256" spans="1:18" x14ac:dyDescent="0.25">
      <c r="A256" t="s">
        <v>440</v>
      </c>
      <c r="B256" s="4">
        <v>388</v>
      </c>
      <c r="C256" s="4">
        <v>93</v>
      </c>
      <c r="D256" s="3">
        <v>2</v>
      </c>
      <c r="E256" t="s">
        <v>888</v>
      </c>
      <c r="F256" t="s">
        <v>891</v>
      </c>
      <c r="G256" t="s">
        <v>887</v>
      </c>
      <c r="H256" s="6">
        <f>_xlfn.XLOOKUP(A256,Orders[OrderID],Orders[OrderDate])</f>
        <v>43438</v>
      </c>
      <c r="I256" t="str">
        <f>_xlfn.XLOOKUP(A256,Orders[OrderID],Orders[CustomerName])</f>
        <v>Sathya</v>
      </c>
      <c r="J256" t="str">
        <f>_xlfn.XLOOKUP(A256,Orders[OrderID],Orders[State])</f>
        <v>Gujarat</v>
      </c>
      <c r="K256" t="str">
        <f>_xlfn.XLOOKUP(A256,Orders[OrderID],Orders[City])</f>
        <v>Surat</v>
      </c>
      <c r="L256" s="3">
        <f>YEAR(Clean_Data[[#This Row],[OrderDate]])</f>
        <v>2018</v>
      </c>
      <c r="M256" s="3">
        <f>MONTH(Clean_Data[[#This Row],[OrderDate]])</f>
        <v>12</v>
      </c>
      <c r="N256" s="8" t="str">
        <f>TEXT(Clean_Data[[#This Row],[OrderDate]],"mmm")</f>
        <v>Dec</v>
      </c>
      <c r="O256" s="8" t="str">
        <f>TEXT(Clean_Data[[#This Row],[OrderDate]], "yyyy-mm")</f>
        <v>2018-12</v>
      </c>
      <c r="P256" s="7">
        <f>Clean_Data[[#This Row],[Profit]]/Clean_Data[[#This Row],[Revenue ]]</f>
        <v>0.23969072164948454</v>
      </c>
      <c r="Q256" t="str">
        <f>"Q"&amp;ROUNDUP(MONTH(Clean_Data[[#This Row],[OrderDate]])/3,0)</f>
        <v>Q4</v>
      </c>
      <c r="R256" t="str">
        <f>TEXT(Clean_Data[[#This Row],[OrderDate]], "dddd")</f>
        <v>Tuesday</v>
      </c>
    </row>
    <row r="257" spans="1:18" x14ac:dyDescent="0.25">
      <c r="A257" t="s">
        <v>68</v>
      </c>
      <c r="B257" s="4">
        <v>498</v>
      </c>
      <c r="C257" s="4">
        <v>-116</v>
      </c>
      <c r="D257" s="3">
        <v>4</v>
      </c>
      <c r="E257" t="s">
        <v>895</v>
      </c>
      <c r="F257" t="s">
        <v>897</v>
      </c>
      <c r="G257" t="s">
        <v>898</v>
      </c>
      <c r="H257" s="6">
        <f>_xlfn.XLOOKUP(A257,Orders[OrderID],Orders[OrderDate])</f>
        <v>43139</v>
      </c>
      <c r="I257" t="str">
        <f>_xlfn.XLOOKUP(A257,Orders[OrderID],Orders[CustomerName])</f>
        <v>Hitesh</v>
      </c>
      <c r="J257" t="str">
        <f>_xlfn.XLOOKUP(A257,Orders[OrderID],Orders[State])</f>
        <v>Madhya Pradesh</v>
      </c>
      <c r="K257" t="str">
        <f>_xlfn.XLOOKUP(A257,Orders[OrderID],Orders[City])</f>
        <v>Bhopal</v>
      </c>
      <c r="L257" s="3">
        <f>YEAR(Clean_Data[[#This Row],[OrderDate]])</f>
        <v>2018</v>
      </c>
      <c r="M257" s="3">
        <f>MONTH(Clean_Data[[#This Row],[OrderDate]])</f>
        <v>2</v>
      </c>
      <c r="N257" s="8" t="str">
        <f>TEXT(Clean_Data[[#This Row],[OrderDate]],"mmm")</f>
        <v>Feb</v>
      </c>
      <c r="O257" s="8" t="str">
        <f>TEXT(Clean_Data[[#This Row],[OrderDate]], "yyyy-mm")</f>
        <v>2018-02</v>
      </c>
      <c r="P257" s="7">
        <f>Clean_Data[[#This Row],[Profit]]/Clean_Data[[#This Row],[Revenue ]]</f>
        <v>-0.23293172690763053</v>
      </c>
      <c r="Q257" t="str">
        <f>"Q"&amp;ROUNDUP(MONTH(Clean_Data[[#This Row],[OrderDate]])/3,0)</f>
        <v>Q1</v>
      </c>
      <c r="R257" t="str">
        <f>TEXT(Clean_Data[[#This Row],[OrderDate]], "dddd")</f>
        <v>Thursday</v>
      </c>
    </row>
    <row r="258" spans="1:18" x14ac:dyDescent="0.25">
      <c r="A258" t="s">
        <v>116</v>
      </c>
      <c r="B258" s="4">
        <v>561</v>
      </c>
      <c r="C258" s="4">
        <v>212</v>
      </c>
      <c r="D258" s="3">
        <v>3</v>
      </c>
      <c r="E258" t="s">
        <v>895</v>
      </c>
      <c r="F258" t="s">
        <v>897</v>
      </c>
      <c r="G258" t="s">
        <v>893</v>
      </c>
      <c r="H258" s="6">
        <f>_xlfn.XLOOKUP(A258,Orders[OrderID],Orders[OrderDate])</f>
        <v>43293</v>
      </c>
      <c r="I258" t="str">
        <f>_xlfn.XLOOKUP(A258,Orders[OrderID],Orders[CustomerName])</f>
        <v>Manshul</v>
      </c>
      <c r="J258" t="str">
        <f>_xlfn.XLOOKUP(A258,Orders[OrderID],Orders[State])</f>
        <v>Uttar Pradesh</v>
      </c>
      <c r="K258" t="str">
        <f>_xlfn.XLOOKUP(A258,Orders[OrderID],Orders[City])</f>
        <v>Lucknow</v>
      </c>
      <c r="L258" s="3">
        <f>YEAR(Clean_Data[[#This Row],[OrderDate]])</f>
        <v>2018</v>
      </c>
      <c r="M258" s="3">
        <f>MONTH(Clean_Data[[#This Row],[OrderDate]])</f>
        <v>7</v>
      </c>
      <c r="N258" s="8" t="str">
        <f>TEXT(Clean_Data[[#This Row],[OrderDate]],"mmm")</f>
        <v>Jul</v>
      </c>
      <c r="O258" s="8" t="str">
        <f>TEXT(Clean_Data[[#This Row],[OrderDate]], "yyyy-mm")</f>
        <v>2018-07</v>
      </c>
      <c r="P258" s="7">
        <f>Clean_Data[[#This Row],[Profit]]/Clean_Data[[#This Row],[Revenue ]]</f>
        <v>0.37789661319073081</v>
      </c>
      <c r="Q258" t="str">
        <f>"Q"&amp;ROUNDUP(MONTH(Clean_Data[[#This Row],[OrderDate]])/3,0)</f>
        <v>Q3</v>
      </c>
      <c r="R258" t="str">
        <f>TEXT(Clean_Data[[#This Row],[OrderDate]], "dddd")</f>
        <v>Thursday</v>
      </c>
    </row>
    <row r="259" spans="1:18" x14ac:dyDescent="0.25">
      <c r="A259" t="s">
        <v>676</v>
      </c>
      <c r="B259" s="4">
        <v>61</v>
      </c>
      <c r="C259" s="4">
        <v>3</v>
      </c>
      <c r="D259" s="3">
        <v>4</v>
      </c>
      <c r="E259" t="s">
        <v>895</v>
      </c>
      <c r="F259" t="s">
        <v>899</v>
      </c>
      <c r="G259" t="s">
        <v>887</v>
      </c>
      <c r="H259" s="6">
        <f>_xlfn.XLOOKUP(A259,Orders[OrderID],Orders[OrderDate])</f>
        <v>43175</v>
      </c>
      <c r="I259" t="str">
        <f>_xlfn.XLOOKUP(A259,Orders[OrderID],Orders[CustomerName])</f>
        <v>Ankita</v>
      </c>
      <c r="J259" t="str">
        <f>_xlfn.XLOOKUP(A259,Orders[OrderID],Orders[State])</f>
        <v>Maharashtra</v>
      </c>
      <c r="K259" t="str">
        <f>_xlfn.XLOOKUP(A259,Orders[OrderID],Orders[City])</f>
        <v>Mumbai</v>
      </c>
      <c r="L259" s="3">
        <f>YEAR(Clean_Data[[#This Row],[OrderDate]])</f>
        <v>2018</v>
      </c>
      <c r="M259" s="3">
        <f>MONTH(Clean_Data[[#This Row],[OrderDate]])</f>
        <v>3</v>
      </c>
      <c r="N259" s="8" t="str">
        <f>TEXT(Clean_Data[[#This Row],[OrderDate]],"mmm")</f>
        <v>Mar</v>
      </c>
      <c r="O259" s="8" t="str">
        <f>TEXT(Clean_Data[[#This Row],[OrderDate]], "yyyy-mm")</f>
        <v>2018-03</v>
      </c>
      <c r="P259" s="7">
        <f>Clean_Data[[#This Row],[Profit]]/Clean_Data[[#This Row],[Revenue ]]</f>
        <v>4.9180327868852458E-2</v>
      </c>
      <c r="Q259" t="str">
        <f>"Q"&amp;ROUNDUP(MONTH(Clean_Data[[#This Row],[OrderDate]])/3,0)</f>
        <v>Q1</v>
      </c>
      <c r="R259" t="str">
        <f>TEXT(Clean_Data[[#This Row],[OrderDate]], "dddd")</f>
        <v>Friday</v>
      </c>
    </row>
    <row r="260" spans="1:18" x14ac:dyDescent="0.25">
      <c r="A260" t="s">
        <v>641</v>
      </c>
      <c r="B260" s="4">
        <v>34</v>
      </c>
      <c r="C260" s="4">
        <v>-22</v>
      </c>
      <c r="D260" s="3">
        <v>4</v>
      </c>
      <c r="E260" t="s">
        <v>895</v>
      </c>
      <c r="F260" t="s">
        <v>906</v>
      </c>
      <c r="G260" t="s">
        <v>887</v>
      </c>
      <c r="H260" s="6">
        <f>_xlfn.XLOOKUP(A260,Orders[OrderID],Orders[OrderDate])</f>
        <v>43214</v>
      </c>
      <c r="I260" t="str">
        <f>_xlfn.XLOOKUP(A260,Orders[OrderID],Orders[CustomerName])</f>
        <v>Sahil</v>
      </c>
      <c r="J260" t="str">
        <f>_xlfn.XLOOKUP(A260,Orders[OrderID],Orders[State])</f>
        <v>Punjab</v>
      </c>
      <c r="K260" t="str">
        <f>_xlfn.XLOOKUP(A260,Orders[OrderID],Orders[City])</f>
        <v>Chandigarh</v>
      </c>
      <c r="L260" s="3">
        <f>YEAR(Clean_Data[[#This Row],[OrderDate]])</f>
        <v>2018</v>
      </c>
      <c r="M260" s="3">
        <f>MONTH(Clean_Data[[#This Row],[OrderDate]])</f>
        <v>4</v>
      </c>
      <c r="N260" s="8" t="str">
        <f>TEXT(Clean_Data[[#This Row],[OrderDate]],"mmm")</f>
        <v>Apr</v>
      </c>
      <c r="O260" s="8" t="str">
        <f>TEXT(Clean_Data[[#This Row],[OrderDate]], "yyyy-mm")</f>
        <v>2018-04</v>
      </c>
      <c r="P260" s="7">
        <f>Clean_Data[[#This Row],[Profit]]/Clean_Data[[#This Row],[Revenue ]]</f>
        <v>-0.6470588235294118</v>
      </c>
      <c r="Q260" t="str">
        <f>"Q"&amp;ROUNDUP(MONTH(Clean_Data[[#This Row],[OrderDate]])/3,0)</f>
        <v>Q2</v>
      </c>
      <c r="R260" t="str">
        <f>TEXT(Clean_Data[[#This Row],[OrderDate]], "dddd")</f>
        <v>Tuesday</v>
      </c>
    </row>
    <row r="261" spans="1:18" x14ac:dyDescent="0.25">
      <c r="A261" t="s">
        <v>395</v>
      </c>
      <c r="B261" s="4">
        <v>32</v>
      </c>
      <c r="C261" s="4">
        <v>6</v>
      </c>
      <c r="D261" s="3">
        <v>3</v>
      </c>
      <c r="E261" t="s">
        <v>895</v>
      </c>
      <c r="F261" t="s">
        <v>909</v>
      </c>
      <c r="G261" t="s">
        <v>898</v>
      </c>
      <c r="H261" s="6">
        <f>_xlfn.XLOOKUP(A261,Orders[OrderID],Orders[OrderDate])</f>
        <v>43165</v>
      </c>
      <c r="I261" t="str">
        <f>_xlfn.XLOOKUP(A261,Orders[OrderID],Orders[CustomerName])</f>
        <v>Paridhi</v>
      </c>
      <c r="J261" t="str">
        <f>_xlfn.XLOOKUP(A261,Orders[OrderID],Orders[State])</f>
        <v>Rajasthan</v>
      </c>
      <c r="K261" t="str">
        <f>_xlfn.XLOOKUP(A261,Orders[OrderID],Orders[City])</f>
        <v>Jaipur</v>
      </c>
      <c r="L261" s="3">
        <f>YEAR(Clean_Data[[#This Row],[OrderDate]])</f>
        <v>2018</v>
      </c>
      <c r="M261" s="3">
        <f>MONTH(Clean_Data[[#This Row],[OrderDate]])</f>
        <v>3</v>
      </c>
      <c r="N261" s="8" t="str">
        <f>TEXT(Clean_Data[[#This Row],[OrderDate]],"mmm")</f>
        <v>Mar</v>
      </c>
      <c r="O261" s="8" t="str">
        <f>TEXT(Clean_Data[[#This Row],[OrderDate]], "yyyy-mm")</f>
        <v>2018-03</v>
      </c>
      <c r="P261" s="7">
        <f>Clean_Data[[#This Row],[Profit]]/Clean_Data[[#This Row],[Revenue ]]</f>
        <v>0.1875</v>
      </c>
      <c r="Q261" t="str">
        <f>"Q"&amp;ROUNDUP(MONTH(Clean_Data[[#This Row],[OrderDate]])/3,0)</f>
        <v>Q1</v>
      </c>
      <c r="R261" t="str">
        <f>TEXT(Clean_Data[[#This Row],[OrderDate]], "dddd")</f>
        <v>Tuesday</v>
      </c>
    </row>
    <row r="262" spans="1:18" x14ac:dyDescent="0.25">
      <c r="A262" t="s">
        <v>61</v>
      </c>
      <c r="B262" s="4">
        <v>623</v>
      </c>
      <c r="C262" s="4">
        <v>-192</v>
      </c>
      <c r="D262" s="3">
        <v>3</v>
      </c>
      <c r="E262" t="s">
        <v>888</v>
      </c>
      <c r="F262" t="s">
        <v>902</v>
      </c>
      <c r="G262" t="s">
        <v>898</v>
      </c>
      <c r="H262" s="6">
        <f>_xlfn.XLOOKUP(A262,Orders[OrderID],Orders[OrderDate])</f>
        <v>43362</v>
      </c>
      <c r="I262" t="str">
        <f>_xlfn.XLOOKUP(A262,Orders[OrderID],Orders[CustomerName])</f>
        <v>Madan Mohan</v>
      </c>
      <c r="J262" t="str">
        <f>_xlfn.XLOOKUP(A262,Orders[OrderID],Orders[State])</f>
        <v>Uttar Pradesh</v>
      </c>
      <c r="K262" t="str">
        <f>_xlfn.XLOOKUP(A262,Orders[OrderID],Orders[City])</f>
        <v>Mathura</v>
      </c>
      <c r="L262" s="3">
        <f>YEAR(Clean_Data[[#This Row],[OrderDate]])</f>
        <v>2018</v>
      </c>
      <c r="M262" s="3">
        <f>MONTH(Clean_Data[[#This Row],[OrderDate]])</f>
        <v>9</v>
      </c>
      <c r="N262" s="8" t="str">
        <f>TEXT(Clean_Data[[#This Row],[OrderDate]],"mmm")</f>
        <v>Sep</v>
      </c>
      <c r="O262" s="8" t="str">
        <f>TEXT(Clean_Data[[#This Row],[OrderDate]], "yyyy-mm")</f>
        <v>2018-09</v>
      </c>
      <c r="P262" s="7">
        <f>Clean_Data[[#This Row],[Profit]]/Clean_Data[[#This Row],[Revenue ]]</f>
        <v>-0.30818619582664525</v>
      </c>
      <c r="Q262" t="str">
        <f>"Q"&amp;ROUNDUP(MONTH(Clean_Data[[#This Row],[OrderDate]])/3,0)</f>
        <v>Q3</v>
      </c>
      <c r="R262" t="str">
        <f>TEXT(Clean_Data[[#This Row],[OrderDate]], "dddd")</f>
        <v>Wednesday</v>
      </c>
    </row>
    <row r="263" spans="1:18" x14ac:dyDescent="0.25">
      <c r="A263" t="s">
        <v>378</v>
      </c>
      <c r="B263" s="4">
        <v>520</v>
      </c>
      <c r="C263" s="4">
        <v>151</v>
      </c>
      <c r="D263" s="3">
        <v>3</v>
      </c>
      <c r="E263" t="s">
        <v>885</v>
      </c>
      <c r="F263" t="s">
        <v>894</v>
      </c>
      <c r="G263" t="s">
        <v>893</v>
      </c>
      <c r="H263" s="6">
        <f>_xlfn.XLOOKUP(A263,Orders[OrderID],Orders[OrderDate])</f>
        <v>43154</v>
      </c>
      <c r="I263" t="str">
        <f>_xlfn.XLOOKUP(A263,Orders[OrderID],Orders[CustomerName])</f>
        <v>Pinky</v>
      </c>
      <c r="J263" t="str">
        <f>_xlfn.XLOOKUP(A263,Orders[OrderID],Orders[State])</f>
        <v>Jammu and Kashmir</v>
      </c>
      <c r="K263" t="str">
        <f>_xlfn.XLOOKUP(A263,Orders[OrderID],Orders[City])</f>
        <v>Kashmir</v>
      </c>
      <c r="L263" s="3">
        <f>YEAR(Clean_Data[[#This Row],[OrderDate]])</f>
        <v>2018</v>
      </c>
      <c r="M263" s="3">
        <f>MONTH(Clean_Data[[#This Row],[OrderDate]])</f>
        <v>2</v>
      </c>
      <c r="N263" s="8" t="str">
        <f>TEXT(Clean_Data[[#This Row],[OrderDate]],"mmm")</f>
        <v>Feb</v>
      </c>
      <c r="O263" s="8" t="str">
        <f>TEXT(Clean_Data[[#This Row],[OrderDate]], "yyyy-mm")</f>
        <v>2018-02</v>
      </c>
      <c r="P263" s="7">
        <f>Clean_Data[[#This Row],[Profit]]/Clean_Data[[#This Row],[Revenue ]]</f>
        <v>0.29038461538461541</v>
      </c>
      <c r="Q263" t="str">
        <f>"Q"&amp;ROUNDUP(MONTH(Clean_Data[[#This Row],[OrderDate]])/3,0)</f>
        <v>Q1</v>
      </c>
      <c r="R263" t="str">
        <f>TEXT(Clean_Data[[#This Row],[OrderDate]], "dddd")</f>
        <v>Friday</v>
      </c>
    </row>
    <row r="264" spans="1:18" x14ac:dyDescent="0.25">
      <c r="A264" t="s">
        <v>335</v>
      </c>
      <c r="B264" s="4">
        <v>32</v>
      </c>
      <c r="C264" s="4">
        <v>-16</v>
      </c>
      <c r="D264" s="3">
        <v>6</v>
      </c>
      <c r="E264" t="s">
        <v>895</v>
      </c>
      <c r="F264" t="s">
        <v>897</v>
      </c>
      <c r="G264" t="s">
        <v>898</v>
      </c>
      <c r="H264" s="6">
        <f>_xlfn.XLOOKUP(A264,Orders[OrderID],Orders[OrderDate])</f>
        <v>43269</v>
      </c>
      <c r="I264" t="str">
        <f>_xlfn.XLOOKUP(A264,Orders[OrderID],Orders[CustomerName])</f>
        <v>Parna</v>
      </c>
      <c r="J264" t="str">
        <f>_xlfn.XLOOKUP(A264,Orders[OrderID],Orders[State])</f>
        <v>Madhya Pradesh</v>
      </c>
      <c r="K264" t="str">
        <f>_xlfn.XLOOKUP(A264,Orders[OrderID],Orders[City])</f>
        <v>Bhopal</v>
      </c>
      <c r="L264" s="3">
        <f>YEAR(Clean_Data[[#This Row],[OrderDate]])</f>
        <v>2018</v>
      </c>
      <c r="M264" s="3">
        <f>MONTH(Clean_Data[[#This Row],[OrderDate]])</f>
        <v>6</v>
      </c>
      <c r="N264" s="8" t="str">
        <f>TEXT(Clean_Data[[#This Row],[OrderDate]],"mmm")</f>
        <v>Jun</v>
      </c>
      <c r="O264" s="8" t="str">
        <f>TEXT(Clean_Data[[#This Row],[OrderDate]], "yyyy-mm")</f>
        <v>2018-06</v>
      </c>
      <c r="P264" s="7">
        <f>Clean_Data[[#This Row],[Profit]]/Clean_Data[[#This Row],[Revenue ]]</f>
        <v>-0.5</v>
      </c>
      <c r="Q264" t="str">
        <f>"Q"&amp;ROUNDUP(MONTH(Clean_Data[[#This Row],[OrderDate]])/3,0)</f>
        <v>Q2</v>
      </c>
      <c r="R264" t="str">
        <f>TEXT(Clean_Data[[#This Row],[OrderDate]], "dddd")</f>
        <v>Monday</v>
      </c>
    </row>
    <row r="265" spans="1:18" x14ac:dyDescent="0.25">
      <c r="A265" t="s">
        <v>537</v>
      </c>
      <c r="B265" s="4">
        <v>32</v>
      </c>
      <c r="C265" s="4">
        <v>-5</v>
      </c>
      <c r="D265" s="3">
        <v>5</v>
      </c>
      <c r="E265" t="s">
        <v>895</v>
      </c>
      <c r="F265" t="s">
        <v>899</v>
      </c>
      <c r="G265" t="s">
        <v>898</v>
      </c>
      <c r="H265" s="6">
        <f>_xlfn.XLOOKUP(A265,Orders[OrderID],Orders[OrderDate])</f>
        <v>43279</v>
      </c>
      <c r="I265" t="str">
        <f>_xlfn.XLOOKUP(A265,Orders[OrderID],Orders[CustomerName])</f>
        <v>Ekta</v>
      </c>
      <c r="J265" t="str">
        <f>_xlfn.XLOOKUP(A265,Orders[OrderID],Orders[State])</f>
        <v>Madhya Pradesh</v>
      </c>
      <c r="K265" t="str">
        <f>_xlfn.XLOOKUP(A265,Orders[OrderID],Orders[City])</f>
        <v>Indore</v>
      </c>
      <c r="L265" s="3">
        <f>YEAR(Clean_Data[[#This Row],[OrderDate]])</f>
        <v>2018</v>
      </c>
      <c r="M265" s="3">
        <f>MONTH(Clean_Data[[#This Row],[OrderDate]])</f>
        <v>6</v>
      </c>
      <c r="N265" s="8" t="str">
        <f>TEXT(Clean_Data[[#This Row],[OrderDate]],"mmm")</f>
        <v>Jun</v>
      </c>
      <c r="O265" s="8" t="str">
        <f>TEXT(Clean_Data[[#This Row],[OrderDate]], "yyyy-mm")</f>
        <v>2018-06</v>
      </c>
      <c r="P265" s="7">
        <f>Clean_Data[[#This Row],[Profit]]/Clean_Data[[#This Row],[Revenue ]]</f>
        <v>-0.15625</v>
      </c>
      <c r="Q265" t="str">
        <f>"Q"&amp;ROUNDUP(MONTH(Clean_Data[[#This Row],[OrderDate]])/3,0)</f>
        <v>Q2</v>
      </c>
      <c r="R265" t="str">
        <f>TEXT(Clean_Data[[#This Row],[OrderDate]], "dddd")</f>
        <v>Thursday</v>
      </c>
    </row>
    <row r="266" spans="1:18" x14ac:dyDescent="0.25">
      <c r="A266" t="s">
        <v>381</v>
      </c>
      <c r="B266" s="4">
        <v>510</v>
      </c>
      <c r="C266" s="4">
        <v>234</v>
      </c>
      <c r="D266" s="3">
        <v>6</v>
      </c>
      <c r="E266" t="s">
        <v>885</v>
      </c>
      <c r="F266" t="s">
        <v>886</v>
      </c>
      <c r="G266" t="s">
        <v>890</v>
      </c>
      <c r="H266" s="6">
        <f>_xlfn.XLOOKUP(A266,Orders[OrderID],Orders[OrderDate])</f>
        <v>43121</v>
      </c>
      <c r="I266" t="str">
        <f>_xlfn.XLOOKUP(A266,Orders[OrderID],Orders[CustomerName])</f>
        <v>Soumya</v>
      </c>
      <c r="J266" t="str">
        <f>_xlfn.XLOOKUP(A266,Orders[OrderID],Orders[State])</f>
        <v>Rajasthan</v>
      </c>
      <c r="K266" t="str">
        <f>_xlfn.XLOOKUP(A266,Orders[OrderID],Orders[City])</f>
        <v>Udaipur</v>
      </c>
      <c r="L266" s="3">
        <f>YEAR(Clean_Data[[#This Row],[OrderDate]])</f>
        <v>2018</v>
      </c>
      <c r="M266" s="3">
        <f>MONTH(Clean_Data[[#This Row],[OrderDate]])</f>
        <v>1</v>
      </c>
      <c r="N266" s="8" t="str">
        <f>TEXT(Clean_Data[[#This Row],[OrderDate]],"mmm")</f>
        <v>Jan</v>
      </c>
      <c r="O266" s="8" t="str">
        <f>TEXT(Clean_Data[[#This Row],[OrderDate]], "yyyy-mm")</f>
        <v>2018-01</v>
      </c>
      <c r="P266" s="7">
        <f>Clean_Data[[#This Row],[Profit]]/Clean_Data[[#This Row],[Revenue ]]</f>
        <v>0.45882352941176469</v>
      </c>
      <c r="Q266" t="str">
        <f>"Q"&amp;ROUNDUP(MONTH(Clean_Data[[#This Row],[OrderDate]])/3,0)</f>
        <v>Q1</v>
      </c>
      <c r="R266" t="str">
        <f>TEXT(Clean_Data[[#This Row],[OrderDate]], "dddd")</f>
        <v>Sunday</v>
      </c>
    </row>
    <row r="267" spans="1:18" x14ac:dyDescent="0.25">
      <c r="A267" t="s">
        <v>448</v>
      </c>
      <c r="B267" s="4">
        <v>382</v>
      </c>
      <c r="C267" s="4">
        <v>68</v>
      </c>
      <c r="D267" s="3">
        <v>3</v>
      </c>
      <c r="E267" t="s">
        <v>895</v>
      </c>
      <c r="F267" t="s">
        <v>897</v>
      </c>
      <c r="G267" t="s">
        <v>887</v>
      </c>
      <c r="H267" s="6">
        <f>_xlfn.XLOOKUP(A267,Orders[OrderID],Orders[OrderDate])</f>
        <v>43172</v>
      </c>
      <c r="I267" t="str">
        <f>_xlfn.XLOOKUP(A267,Orders[OrderID],Orders[CustomerName])</f>
        <v>Chirag</v>
      </c>
      <c r="J267" t="str">
        <f>_xlfn.XLOOKUP(A267,Orders[OrderID],Orders[State])</f>
        <v>Maharashtra</v>
      </c>
      <c r="K267" t="str">
        <f>_xlfn.XLOOKUP(A267,Orders[OrderID],Orders[City])</f>
        <v>Mumbai</v>
      </c>
      <c r="L267" s="3">
        <f>YEAR(Clean_Data[[#This Row],[OrderDate]])</f>
        <v>2018</v>
      </c>
      <c r="M267" s="3">
        <f>MONTH(Clean_Data[[#This Row],[OrderDate]])</f>
        <v>3</v>
      </c>
      <c r="N267" s="8" t="str">
        <f>TEXT(Clean_Data[[#This Row],[OrderDate]],"mmm")</f>
        <v>Mar</v>
      </c>
      <c r="O267" s="8" t="str">
        <f>TEXT(Clean_Data[[#This Row],[OrderDate]], "yyyy-mm")</f>
        <v>2018-03</v>
      </c>
      <c r="P267" s="7">
        <f>Clean_Data[[#This Row],[Profit]]/Clean_Data[[#This Row],[Revenue ]]</f>
        <v>0.17801047120418848</v>
      </c>
      <c r="Q267" t="str">
        <f>"Q"&amp;ROUNDUP(MONTH(Clean_Data[[#This Row],[OrderDate]])/3,0)</f>
        <v>Q1</v>
      </c>
      <c r="R267" t="str">
        <f>TEXT(Clean_Data[[#This Row],[OrderDate]], "dddd")</f>
        <v>Tuesday</v>
      </c>
    </row>
    <row r="268" spans="1:18" x14ac:dyDescent="0.25">
      <c r="A268" t="s">
        <v>230</v>
      </c>
      <c r="B268" s="4">
        <v>33</v>
      </c>
      <c r="C268" s="4">
        <v>13</v>
      </c>
      <c r="D268" s="3">
        <v>3</v>
      </c>
      <c r="E268" t="s">
        <v>895</v>
      </c>
      <c r="F268" t="s">
        <v>904</v>
      </c>
      <c r="G268" t="s">
        <v>898</v>
      </c>
      <c r="H268" s="6">
        <f>_xlfn.XLOOKUP(A268,Orders[OrderID],Orders[OrderDate])</f>
        <v>43441</v>
      </c>
      <c r="I268" t="str">
        <f>_xlfn.XLOOKUP(A268,Orders[OrderID],Orders[CustomerName])</f>
        <v>Abhishek</v>
      </c>
      <c r="J268" t="str">
        <f>_xlfn.XLOOKUP(A268,Orders[OrderID],Orders[State])</f>
        <v>Rajasthan</v>
      </c>
      <c r="K268" t="str">
        <f>_xlfn.XLOOKUP(A268,Orders[OrderID],Orders[City])</f>
        <v>Udaipur</v>
      </c>
      <c r="L268" s="3">
        <f>YEAR(Clean_Data[[#This Row],[OrderDate]])</f>
        <v>2018</v>
      </c>
      <c r="M268" s="3">
        <f>MONTH(Clean_Data[[#This Row],[OrderDate]])</f>
        <v>12</v>
      </c>
      <c r="N268" s="8" t="str">
        <f>TEXT(Clean_Data[[#This Row],[OrderDate]],"mmm")</f>
        <v>Dec</v>
      </c>
      <c r="O268" s="8" t="str">
        <f>TEXT(Clean_Data[[#This Row],[OrderDate]], "yyyy-mm")</f>
        <v>2018-12</v>
      </c>
      <c r="P268" s="7">
        <f>Clean_Data[[#This Row],[Profit]]/Clean_Data[[#This Row],[Revenue ]]</f>
        <v>0.39393939393939392</v>
      </c>
      <c r="Q268" t="str">
        <f>"Q"&amp;ROUNDUP(MONTH(Clean_Data[[#This Row],[OrderDate]])/3,0)</f>
        <v>Q4</v>
      </c>
      <c r="R268" t="str">
        <f>TEXT(Clean_Data[[#This Row],[OrderDate]], "dddd")</f>
        <v>Friday</v>
      </c>
    </row>
    <row r="269" spans="1:18" x14ac:dyDescent="0.25">
      <c r="A269" t="s">
        <v>62</v>
      </c>
      <c r="B269" s="4">
        <v>381</v>
      </c>
      <c r="C269" s="4">
        <v>-13</v>
      </c>
      <c r="D269" s="3">
        <v>2</v>
      </c>
      <c r="E269" t="s">
        <v>895</v>
      </c>
      <c r="F269" t="s">
        <v>897</v>
      </c>
      <c r="G269" t="s">
        <v>887</v>
      </c>
      <c r="H269" s="6">
        <f>_xlfn.XLOOKUP(A269,Orders[OrderID],Orders[OrderDate])</f>
        <v>43262</v>
      </c>
      <c r="I269" t="str">
        <f>_xlfn.XLOOKUP(A269,Orders[OrderID],Orders[CustomerName])</f>
        <v>Pooja</v>
      </c>
      <c r="J269" t="str">
        <f>_xlfn.XLOOKUP(A269,Orders[OrderID],Orders[State])</f>
        <v>Himachal Pradesh</v>
      </c>
      <c r="K269" t="str">
        <f>_xlfn.XLOOKUP(A269,Orders[OrderID],Orders[City])</f>
        <v>Simla</v>
      </c>
      <c r="L269" s="3">
        <f>YEAR(Clean_Data[[#This Row],[OrderDate]])</f>
        <v>2018</v>
      </c>
      <c r="M269" s="3">
        <f>MONTH(Clean_Data[[#This Row],[OrderDate]])</f>
        <v>6</v>
      </c>
      <c r="N269" s="8" t="str">
        <f>TEXT(Clean_Data[[#This Row],[OrderDate]],"mmm")</f>
        <v>Jun</v>
      </c>
      <c r="O269" s="8" t="str">
        <f>TEXT(Clean_Data[[#This Row],[OrderDate]], "yyyy-mm")</f>
        <v>2018-06</v>
      </c>
      <c r="P269" s="7">
        <f>Clean_Data[[#This Row],[Profit]]/Clean_Data[[#This Row],[Revenue ]]</f>
        <v>-3.4120734908136482E-2</v>
      </c>
      <c r="Q269" t="str">
        <f>"Q"&amp;ROUNDUP(MONTH(Clean_Data[[#This Row],[OrderDate]])/3,0)</f>
        <v>Q2</v>
      </c>
      <c r="R269" t="str">
        <f>TEXT(Clean_Data[[#This Row],[OrderDate]], "dddd")</f>
        <v>Monday</v>
      </c>
    </row>
    <row r="270" spans="1:18" x14ac:dyDescent="0.25">
      <c r="A270" t="s">
        <v>136</v>
      </c>
      <c r="B270" s="4">
        <v>490</v>
      </c>
      <c r="C270" s="4">
        <v>88</v>
      </c>
      <c r="D270" s="3">
        <v>2</v>
      </c>
      <c r="E270" t="s">
        <v>885</v>
      </c>
      <c r="F270" t="s">
        <v>905</v>
      </c>
      <c r="G270" t="s">
        <v>890</v>
      </c>
      <c r="H270" s="6">
        <f>_xlfn.XLOOKUP(A270,Orders[OrderID],Orders[OrderDate])</f>
        <v>43166</v>
      </c>
      <c r="I270" t="str">
        <f>_xlfn.XLOOKUP(A270,Orders[OrderID],Orders[CustomerName])</f>
        <v>Parishi</v>
      </c>
      <c r="J270" t="str">
        <f>_xlfn.XLOOKUP(A270,Orders[OrderID],Orders[State])</f>
        <v>West Bengal</v>
      </c>
      <c r="K270" t="str">
        <f>_xlfn.XLOOKUP(A270,Orders[OrderID],Orders[City])</f>
        <v>Kolkata</v>
      </c>
      <c r="L270" s="3">
        <f>YEAR(Clean_Data[[#This Row],[OrderDate]])</f>
        <v>2018</v>
      </c>
      <c r="M270" s="3">
        <f>MONTH(Clean_Data[[#This Row],[OrderDate]])</f>
        <v>3</v>
      </c>
      <c r="N270" s="8" t="str">
        <f>TEXT(Clean_Data[[#This Row],[OrderDate]],"mmm")</f>
        <v>Mar</v>
      </c>
      <c r="O270" s="8" t="str">
        <f>TEXT(Clean_Data[[#This Row],[OrderDate]], "yyyy-mm")</f>
        <v>2018-03</v>
      </c>
      <c r="P270" s="7">
        <f>Clean_Data[[#This Row],[Profit]]/Clean_Data[[#This Row],[Revenue ]]</f>
        <v>0.17959183673469387</v>
      </c>
      <c r="Q270" t="str">
        <f>"Q"&amp;ROUNDUP(MONTH(Clean_Data[[#This Row],[OrderDate]])/3,0)</f>
        <v>Q1</v>
      </c>
      <c r="R270" t="str">
        <f>TEXT(Clean_Data[[#This Row],[OrderDate]], "dddd")</f>
        <v>Wednesday</v>
      </c>
    </row>
    <row r="271" spans="1:18" x14ac:dyDescent="0.25">
      <c r="A271" t="s">
        <v>419</v>
      </c>
      <c r="B271" s="4">
        <v>381</v>
      </c>
      <c r="C271" s="4">
        <v>144</v>
      </c>
      <c r="D271" s="3">
        <v>2</v>
      </c>
      <c r="E271" t="s">
        <v>895</v>
      </c>
      <c r="F271" t="s">
        <v>897</v>
      </c>
      <c r="G271" t="s">
        <v>887</v>
      </c>
      <c r="H271" s="6">
        <f>_xlfn.XLOOKUP(A271,Orders[OrderID],Orders[OrderDate])</f>
        <v>43412</v>
      </c>
      <c r="I271" t="str">
        <f>_xlfn.XLOOKUP(A271,Orders[OrderID],Orders[CustomerName])</f>
        <v>Shubham</v>
      </c>
      <c r="J271" t="str">
        <f>_xlfn.XLOOKUP(A271,Orders[OrderID],Orders[State])</f>
        <v>Maharashtra</v>
      </c>
      <c r="K271" t="str">
        <f>_xlfn.XLOOKUP(A271,Orders[OrderID],Orders[City])</f>
        <v>Pune</v>
      </c>
      <c r="L271" s="3">
        <f>YEAR(Clean_Data[[#This Row],[OrderDate]])</f>
        <v>2018</v>
      </c>
      <c r="M271" s="3">
        <f>MONTH(Clean_Data[[#This Row],[OrderDate]])</f>
        <v>11</v>
      </c>
      <c r="N271" s="8" t="str">
        <f>TEXT(Clean_Data[[#This Row],[OrderDate]],"mmm")</f>
        <v>Nov</v>
      </c>
      <c r="O271" s="8" t="str">
        <f>TEXT(Clean_Data[[#This Row],[OrderDate]], "yyyy-mm")</f>
        <v>2018-11</v>
      </c>
      <c r="P271" s="7">
        <f>Clean_Data[[#This Row],[Profit]]/Clean_Data[[#This Row],[Revenue ]]</f>
        <v>0.37795275590551181</v>
      </c>
      <c r="Q271" t="str">
        <f>"Q"&amp;ROUNDUP(MONTH(Clean_Data[[#This Row],[OrderDate]])/3,0)</f>
        <v>Q4</v>
      </c>
      <c r="R271" t="str">
        <f>TEXT(Clean_Data[[#This Row],[OrderDate]], "dddd")</f>
        <v>Thursday</v>
      </c>
    </row>
    <row r="272" spans="1:18" x14ac:dyDescent="0.25">
      <c r="A272" t="s">
        <v>395</v>
      </c>
      <c r="B272" s="4">
        <v>487</v>
      </c>
      <c r="C272" s="4">
        <v>143</v>
      </c>
      <c r="D272" s="3">
        <v>4</v>
      </c>
      <c r="E272" t="s">
        <v>885</v>
      </c>
      <c r="F272" t="s">
        <v>894</v>
      </c>
      <c r="G272" t="s">
        <v>890</v>
      </c>
      <c r="H272" s="6">
        <f>_xlfn.XLOOKUP(A272,Orders[OrderID],Orders[OrderDate])</f>
        <v>43165</v>
      </c>
      <c r="I272" t="str">
        <f>_xlfn.XLOOKUP(A272,Orders[OrderID],Orders[CustomerName])</f>
        <v>Paridhi</v>
      </c>
      <c r="J272" t="str">
        <f>_xlfn.XLOOKUP(A272,Orders[OrderID],Orders[State])</f>
        <v>Rajasthan</v>
      </c>
      <c r="K272" t="str">
        <f>_xlfn.XLOOKUP(A272,Orders[OrderID],Orders[City])</f>
        <v>Jaipur</v>
      </c>
      <c r="L272" s="3">
        <f>YEAR(Clean_Data[[#This Row],[OrderDate]])</f>
        <v>2018</v>
      </c>
      <c r="M272" s="3">
        <f>MONTH(Clean_Data[[#This Row],[OrderDate]])</f>
        <v>3</v>
      </c>
      <c r="N272" s="8" t="str">
        <f>TEXT(Clean_Data[[#This Row],[OrderDate]],"mmm")</f>
        <v>Mar</v>
      </c>
      <c r="O272" s="8" t="str">
        <f>TEXT(Clean_Data[[#This Row],[OrderDate]], "yyyy-mm")</f>
        <v>2018-03</v>
      </c>
      <c r="P272" s="7">
        <f>Clean_Data[[#This Row],[Profit]]/Clean_Data[[#This Row],[Revenue ]]</f>
        <v>0.29363449691991789</v>
      </c>
      <c r="Q272" t="str">
        <f>"Q"&amp;ROUNDUP(MONTH(Clean_Data[[#This Row],[OrderDate]])/3,0)</f>
        <v>Q1</v>
      </c>
      <c r="R272" t="str">
        <f>TEXT(Clean_Data[[#This Row],[OrderDate]], "dddd")</f>
        <v>Tuesday</v>
      </c>
    </row>
    <row r="273" spans="1:18" x14ac:dyDescent="0.25">
      <c r="A273" t="s">
        <v>417</v>
      </c>
      <c r="B273" s="4">
        <v>366</v>
      </c>
      <c r="C273" s="4">
        <v>84</v>
      </c>
      <c r="D273" s="3">
        <v>3</v>
      </c>
      <c r="E273" t="s">
        <v>888</v>
      </c>
      <c r="F273" t="s">
        <v>891</v>
      </c>
      <c r="G273" t="s">
        <v>887</v>
      </c>
      <c r="H273" s="6">
        <f>_xlfn.XLOOKUP(A273,Orders[OrderID],Orders[OrderDate])</f>
        <v>43118</v>
      </c>
      <c r="I273" t="str">
        <f>_xlfn.XLOOKUP(A273,Orders[OrderID],Orders[CustomerName])</f>
        <v>Surbhi</v>
      </c>
      <c r="J273" t="str">
        <f>_xlfn.XLOOKUP(A273,Orders[OrderID],Orders[State])</f>
        <v>Gujarat</v>
      </c>
      <c r="K273" t="str">
        <f>_xlfn.XLOOKUP(A273,Orders[OrderID],Orders[City])</f>
        <v>Ahmedabad</v>
      </c>
      <c r="L273" s="3">
        <f>YEAR(Clean_Data[[#This Row],[OrderDate]])</f>
        <v>2018</v>
      </c>
      <c r="M273" s="3">
        <f>MONTH(Clean_Data[[#This Row],[OrderDate]])</f>
        <v>1</v>
      </c>
      <c r="N273" s="8" t="str">
        <f>TEXT(Clean_Data[[#This Row],[OrderDate]],"mmm")</f>
        <v>Jan</v>
      </c>
      <c r="O273" s="8" t="str">
        <f>TEXT(Clean_Data[[#This Row],[OrderDate]], "yyyy-mm")</f>
        <v>2018-01</v>
      </c>
      <c r="P273" s="7">
        <f>Clean_Data[[#This Row],[Profit]]/Clean_Data[[#This Row],[Revenue ]]</f>
        <v>0.22950819672131148</v>
      </c>
      <c r="Q273" t="str">
        <f>"Q"&amp;ROUNDUP(MONTH(Clean_Data[[#This Row],[OrderDate]])/3,0)</f>
        <v>Q1</v>
      </c>
      <c r="R273" t="str">
        <f>TEXT(Clean_Data[[#This Row],[OrderDate]], "dddd")</f>
        <v>Thursday</v>
      </c>
    </row>
    <row r="274" spans="1:18" x14ac:dyDescent="0.25">
      <c r="A274" t="s">
        <v>720</v>
      </c>
      <c r="B274" s="4">
        <v>33</v>
      </c>
      <c r="C274" s="4">
        <v>-29</v>
      </c>
      <c r="D274" s="3">
        <v>3</v>
      </c>
      <c r="E274" t="s">
        <v>895</v>
      </c>
      <c r="F274" t="s">
        <v>909</v>
      </c>
      <c r="G274" t="s">
        <v>898</v>
      </c>
      <c r="H274" s="6">
        <f>_xlfn.XLOOKUP(A274,Orders[OrderID],Orders[OrderDate])</f>
        <v>43277</v>
      </c>
      <c r="I274" t="str">
        <f>_xlfn.XLOOKUP(A274,Orders[OrderID],Orders[CustomerName])</f>
        <v>Maithilee</v>
      </c>
      <c r="J274" t="str">
        <f>_xlfn.XLOOKUP(A274,Orders[OrderID],Orders[State])</f>
        <v>Madhya Pradesh</v>
      </c>
      <c r="K274" t="str">
        <f>_xlfn.XLOOKUP(A274,Orders[OrderID],Orders[City])</f>
        <v>Indore</v>
      </c>
      <c r="L274" s="3">
        <f>YEAR(Clean_Data[[#This Row],[OrderDate]])</f>
        <v>2018</v>
      </c>
      <c r="M274" s="3">
        <f>MONTH(Clean_Data[[#This Row],[OrderDate]])</f>
        <v>6</v>
      </c>
      <c r="N274" s="8" t="str">
        <f>TEXT(Clean_Data[[#This Row],[OrderDate]],"mmm")</f>
        <v>Jun</v>
      </c>
      <c r="O274" s="8" t="str">
        <f>TEXT(Clean_Data[[#This Row],[OrderDate]], "yyyy-mm")</f>
        <v>2018-06</v>
      </c>
      <c r="P274" s="7">
        <f>Clean_Data[[#This Row],[Profit]]/Clean_Data[[#This Row],[Revenue ]]</f>
        <v>-0.87878787878787878</v>
      </c>
      <c r="Q274" t="str">
        <f>"Q"&amp;ROUNDUP(MONTH(Clean_Data[[#This Row],[OrderDate]])/3,0)</f>
        <v>Q2</v>
      </c>
      <c r="R274" t="str">
        <f>TEXT(Clean_Data[[#This Row],[OrderDate]], "dddd")</f>
        <v>Tuesday</v>
      </c>
    </row>
    <row r="275" spans="1:18" x14ac:dyDescent="0.25">
      <c r="A275" t="s">
        <v>286</v>
      </c>
      <c r="B275" s="4">
        <v>365</v>
      </c>
      <c r="C275" s="4">
        <v>107</v>
      </c>
      <c r="D275" s="3">
        <v>3</v>
      </c>
      <c r="E275" t="s">
        <v>885</v>
      </c>
      <c r="F275" t="s">
        <v>894</v>
      </c>
      <c r="G275" t="s">
        <v>887</v>
      </c>
      <c r="H275" s="6">
        <f>_xlfn.XLOOKUP(A275,Orders[OrderID],Orders[OrderDate])</f>
        <v>43122</v>
      </c>
      <c r="I275" t="str">
        <f>_xlfn.XLOOKUP(A275,Orders[OrderID],Orders[CustomerName])</f>
        <v>Rhea</v>
      </c>
      <c r="J275" t="str">
        <f>_xlfn.XLOOKUP(A275,Orders[OrderID],Orders[State])</f>
        <v>Maharashtra</v>
      </c>
      <c r="K275" t="str">
        <f>_xlfn.XLOOKUP(A275,Orders[OrderID],Orders[City])</f>
        <v>Mumbai</v>
      </c>
      <c r="L275" s="3">
        <f>YEAR(Clean_Data[[#This Row],[OrderDate]])</f>
        <v>2018</v>
      </c>
      <c r="M275" s="3">
        <f>MONTH(Clean_Data[[#This Row],[OrderDate]])</f>
        <v>1</v>
      </c>
      <c r="N275" s="8" t="str">
        <f>TEXT(Clean_Data[[#This Row],[OrderDate]],"mmm")</f>
        <v>Jan</v>
      </c>
      <c r="O275" s="8" t="str">
        <f>TEXT(Clean_Data[[#This Row],[OrderDate]], "yyyy-mm")</f>
        <v>2018-01</v>
      </c>
      <c r="P275" s="7">
        <f>Clean_Data[[#This Row],[Profit]]/Clean_Data[[#This Row],[Revenue ]]</f>
        <v>0.29315068493150687</v>
      </c>
      <c r="Q275" t="str">
        <f>"Q"&amp;ROUNDUP(MONTH(Clean_Data[[#This Row],[OrderDate]])/3,0)</f>
        <v>Q1</v>
      </c>
      <c r="R275" t="str">
        <f>TEXT(Clean_Data[[#This Row],[OrderDate]], "dddd")</f>
        <v>Monday</v>
      </c>
    </row>
    <row r="276" spans="1:18" x14ac:dyDescent="0.25">
      <c r="A276" t="s">
        <v>430</v>
      </c>
      <c r="B276" s="4">
        <v>207</v>
      </c>
      <c r="C276" s="4">
        <v>-100</v>
      </c>
      <c r="D276" s="3">
        <v>2</v>
      </c>
      <c r="E276" t="s">
        <v>895</v>
      </c>
      <c r="F276" t="s">
        <v>897</v>
      </c>
      <c r="G276" t="s">
        <v>898</v>
      </c>
      <c r="H276" s="6">
        <f>_xlfn.XLOOKUP(A276,Orders[OrderID],Orders[OrderDate])</f>
        <v>43104</v>
      </c>
      <c r="I276" t="str">
        <f>_xlfn.XLOOKUP(A276,Orders[OrderID],Orders[CustomerName])</f>
        <v>Shikhar</v>
      </c>
      <c r="J276" t="str">
        <f>_xlfn.XLOOKUP(A276,Orders[OrderID],Orders[State])</f>
        <v>Maharashtra</v>
      </c>
      <c r="K276" t="str">
        <f>_xlfn.XLOOKUP(A276,Orders[OrderID],Orders[City])</f>
        <v>Mumbai</v>
      </c>
      <c r="L276" s="3">
        <f>YEAR(Clean_Data[[#This Row],[OrderDate]])</f>
        <v>2018</v>
      </c>
      <c r="M276" s="3">
        <f>MONTH(Clean_Data[[#This Row],[OrderDate]])</f>
        <v>1</v>
      </c>
      <c r="N276" s="8" t="str">
        <f>TEXT(Clean_Data[[#This Row],[OrderDate]],"mmm")</f>
        <v>Jan</v>
      </c>
      <c r="O276" s="8" t="str">
        <f>TEXT(Clean_Data[[#This Row],[OrderDate]], "yyyy-mm")</f>
        <v>2018-01</v>
      </c>
      <c r="P276" s="7">
        <f>Clean_Data[[#This Row],[Profit]]/Clean_Data[[#This Row],[Revenue ]]</f>
        <v>-0.48309178743961351</v>
      </c>
      <c r="Q276" t="str">
        <f>"Q"&amp;ROUNDUP(MONTH(Clean_Data[[#This Row],[OrderDate]])/3,0)</f>
        <v>Q1</v>
      </c>
      <c r="R276" t="str">
        <f>TEXT(Clean_Data[[#This Row],[OrderDate]], "dddd")</f>
        <v>Thursday</v>
      </c>
    </row>
    <row r="277" spans="1:18" x14ac:dyDescent="0.25">
      <c r="A277" t="s">
        <v>330</v>
      </c>
      <c r="B277" s="4">
        <v>359</v>
      </c>
      <c r="C277" s="4">
        <v>-338</v>
      </c>
      <c r="D277" s="3">
        <v>5</v>
      </c>
      <c r="E277" t="s">
        <v>888</v>
      </c>
      <c r="F277" t="s">
        <v>891</v>
      </c>
      <c r="G277" t="s">
        <v>887</v>
      </c>
      <c r="H277" s="6">
        <f>_xlfn.XLOOKUP(A277,Orders[OrderID],Orders[OrderDate])</f>
        <v>43181</v>
      </c>
      <c r="I277" t="str">
        <f>_xlfn.XLOOKUP(A277,Orders[OrderID],Orders[CustomerName])</f>
        <v>Aarushi</v>
      </c>
      <c r="J277" t="str">
        <f>_xlfn.XLOOKUP(A277,Orders[OrderID],Orders[State])</f>
        <v>Tamil Nadu</v>
      </c>
      <c r="K277" t="str">
        <f>_xlfn.XLOOKUP(A277,Orders[OrderID],Orders[City])</f>
        <v>Chennai</v>
      </c>
      <c r="L277" s="3">
        <f>YEAR(Clean_Data[[#This Row],[OrderDate]])</f>
        <v>2018</v>
      </c>
      <c r="M277" s="3">
        <f>MONTH(Clean_Data[[#This Row],[OrderDate]])</f>
        <v>3</v>
      </c>
      <c r="N277" s="8" t="str">
        <f>TEXT(Clean_Data[[#This Row],[OrderDate]],"mmm")</f>
        <v>Mar</v>
      </c>
      <c r="O277" s="8" t="str">
        <f>TEXT(Clean_Data[[#This Row],[OrderDate]], "yyyy-mm")</f>
        <v>2018-03</v>
      </c>
      <c r="P277" s="7">
        <f>Clean_Data[[#This Row],[Profit]]/Clean_Data[[#This Row],[Revenue ]]</f>
        <v>-0.9415041782729805</v>
      </c>
      <c r="Q277" t="str">
        <f>"Q"&amp;ROUNDUP(MONTH(Clean_Data[[#This Row],[OrderDate]])/3,0)</f>
        <v>Q1</v>
      </c>
      <c r="R277" t="str">
        <f>TEXT(Clean_Data[[#This Row],[OrderDate]], "dddd")</f>
        <v>Thursday</v>
      </c>
    </row>
    <row r="278" spans="1:18" x14ac:dyDescent="0.25">
      <c r="A278" t="s">
        <v>224</v>
      </c>
      <c r="B278" s="4">
        <v>351</v>
      </c>
      <c r="C278" s="4">
        <v>-47</v>
      </c>
      <c r="D278" s="3">
        <v>8</v>
      </c>
      <c r="E278" t="s">
        <v>885</v>
      </c>
      <c r="F278" t="s">
        <v>894</v>
      </c>
      <c r="G278" t="s">
        <v>887</v>
      </c>
      <c r="H278" s="6">
        <f>_xlfn.XLOOKUP(A278,Orders[OrderID],Orders[OrderDate])</f>
        <v>43226</v>
      </c>
      <c r="I278" t="str">
        <f>_xlfn.XLOOKUP(A278,Orders[OrderID],Orders[CustomerName])</f>
        <v>Chirag</v>
      </c>
      <c r="J278" t="str">
        <f>_xlfn.XLOOKUP(A278,Orders[OrderID],Orders[State])</f>
        <v>Maharashtra</v>
      </c>
      <c r="K278" t="str">
        <f>_xlfn.XLOOKUP(A278,Orders[OrderID],Orders[City])</f>
        <v>Mumbai</v>
      </c>
      <c r="L278" s="3">
        <f>YEAR(Clean_Data[[#This Row],[OrderDate]])</f>
        <v>2018</v>
      </c>
      <c r="M278" s="3">
        <f>MONTH(Clean_Data[[#This Row],[OrderDate]])</f>
        <v>5</v>
      </c>
      <c r="N278" s="8" t="str">
        <f>TEXT(Clean_Data[[#This Row],[OrderDate]],"mmm")</f>
        <v>May</v>
      </c>
      <c r="O278" s="8" t="str">
        <f>TEXT(Clean_Data[[#This Row],[OrderDate]], "yyyy-mm")</f>
        <v>2018-05</v>
      </c>
      <c r="P278" s="7">
        <f>Clean_Data[[#This Row],[Profit]]/Clean_Data[[#This Row],[Revenue ]]</f>
        <v>-0.13390313390313391</v>
      </c>
      <c r="Q278" t="str">
        <f>"Q"&amp;ROUNDUP(MONTH(Clean_Data[[#This Row],[OrderDate]])/3,0)</f>
        <v>Q2</v>
      </c>
      <c r="R278" t="str">
        <f>TEXT(Clean_Data[[#This Row],[OrderDate]], "dddd")</f>
        <v>Sunday</v>
      </c>
    </row>
    <row r="279" spans="1:18" x14ac:dyDescent="0.25">
      <c r="A279" t="s">
        <v>228</v>
      </c>
      <c r="B279" s="4">
        <v>485</v>
      </c>
      <c r="C279" s="4">
        <v>199</v>
      </c>
      <c r="D279" s="3">
        <v>4</v>
      </c>
      <c r="E279" t="s">
        <v>895</v>
      </c>
      <c r="F279" t="s">
        <v>897</v>
      </c>
      <c r="G279" t="s">
        <v>890</v>
      </c>
      <c r="H279" s="6">
        <f>_xlfn.XLOOKUP(A279,Orders[OrderID],Orders[OrderDate])</f>
        <v>43409</v>
      </c>
      <c r="I279" t="str">
        <f>_xlfn.XLOOKUP(A279,Orders[OrderID],Orders[CustomerName])</f>
        <v>Abhishek</v>
      </c>
      <c r="J279" t="str">
        <f>_xlfn.XLOOKUP(A279,Orders[OrderID],Orders[State])</f>
        <v>Goa</v>
      </c>
      <c r="K279" t="str">
        <f>_xlfn.XLOOKUP(A279,Orders[OrderID],Orders[City])</f>
        <v>Goa</v>
      </c>
      <c r="L279" s="3">
        <f>YEAR(Clean_Data[[#This Row],[OrderDate]])</f>
        <v>2018</v>
      </c>
      <c r="M279" s="3">
        <f>MONTH(Clean_Data[[#This Row],[OrderDate]])</f>
        <v>11</v>
      </c>
      <c r="N279" s="8" t="str">
        <f>TEXT(Clean_Data[[#This Row],[OrderDate]],"mmm")</f>
        <v>Nov</v>
      </c>
      <c r="O279" s="8" t="str">
        <f>TEXT(Clean_Data[[#This Row],[OrderDate]], "yyyy-mm")</f>
        <v>2018-11</v>
      </c>
      <c r="P279" s="7">
        <f>Clean_Data[[#This Row],[Profit]]/Clean_Data[[#This Row],[Revenue ]]</f>
        <v>0.41030927835051545</v>
      </c>
      <c r="Q279" t="str">
        <f>"Q"&amp;ROUNDUP(MONTH(Clean_Data[[#This Row],[OrderDate]])/3,0)</f>
        <v>Q4</v>
      </c>
      <c r="R279" t="str">
        <f>TEXT(Clean_Data[[#This Row],[OrderDate]], "dddd")</f>
        <v>Monday</v>
      </c>
    </row>
    <row r="280" spans="1:18" x14ac:dyDescent="0.25">
      <c r="A280" t="s">
        <v>204</v>
      </c>
      <c r="B280" s="4">
        <v>37</v>
      </c>
      <c r="C280" s="4">
        <v>-23</v>
      </c>
      <c r="D280" s="3">
        <v>4</v>
      </c>
      <c r="E280" t="s">
        <v>895</v>
      </c>
      <c r="F280" t="s">
        <v>909</v>
      </c>
      <c r="G280" t="s">
        <v>898</v>
      </c>
      <c r="H280" s="6">
        <f>_xlfn.XLOOKUP(A280,Orders[OrderID],Orders[OrderDate])</f>
        <v>43219</v>
      </c>
      <c r="I280" t="str">
        <f>_xlfn.XLOOKUP(A280,Orders[OrderID],Orders[CustomerName])</f>
        <v>Kirti</v>
      </c>
      <c r="J280" t="str">
        <f>_xlfn.XLOOKUP(A280,Orders[OrderID],Orders[State])</f>
        <v>Jammu and Kashmir</v>
      </c>
      <c r="K280" t="str">
        <f>_xlfn.XLOOKUP(A280,Orders[OrderID],Orders[City])</f>
        <v>Kashmir</v>
      </c>
      <c r="L280" s="3">
        <f>YEAR(Clean_Data[[#This Row],[OrderDate]])</f>
        <v>2018</v>
      </c>
      <c r="M280" s="3">
        <f>MONTH(Clean_Data[[#This Row],[OrderDate]])</f>
        <v>4</v>
      </c>
      <c r="N280" s="8" t="str">
        <f>TEXT(Clean_Data[[#This Row],[OrderDate]],"mmm")</f>
        <v>Apr</v>
      </c>
      <c r="O280" s="8" t="str">
        <f>TEXT(Clean_Data[[#This Row],[OrderDate]], "yyyy-mm")</f>
        <v>2018-04</v>
      </c>
      <c r="P280" s="7">
        <f>Clean_Data[[#This Row],[Profit]]/Clean_Data[[#This Row],[Revenue ]]</f>
        <v>-0.6216216216216216</v>
      </c>
      <c r="Q280" t="str">
        <f>"Q"&amp;ROUNDUP(MONTH(Clean_Data[[#This Row],[OrderDate]])/3,0)</f>
        <v>Q2</v>
      </c>
      <c r="R280" t="str">
        <f>TEXT(Clean_Data[[#This Row],[OrderDate]], "dddd")</f>
        <v>Sunday</v>
      </c>
    </row>
    <row r="281" spans="1:18" x14ac:dyDescent="0.25">
      <c r="A281" t="s">
        <v>256</v>
      </c>
      <c r="B281" s="4">
        <v>34</v>
      </c>
      <c r="C281" s="4">
        <v>10</v>
      </c>
      <c r="D281" s="3">
        <v>2</v>
      </c>
      <c r="E281" t="s">
        <v>895</v>
      </c>
      <c r="F281" t="s">
        <v>906</v>
      </c>
      <c r="G281" t="s">
        <v>907</v>
      </c>
      <c r="H281" s="6">
        <f>_xlfn.XLOOKUP(A281,Orders[OrderID],Orders[OrderDate])</f>
        <v>43190</v>
      </c>
      <c r="I281" t="str">
        <f>_xlfn.XLOOKUP(A281,Orders[OrderID],Orders[CustomerName])</f>
        <v>Hitika</v>
      </c>
      <c r="J281" t="str">
        <f>_xlfn.XLOOKUP(A281,Orders[OrderID],Orders[State])</f>
        <v>Madhya Pradesh</v>
      </c>
      <c r="K281" t="str">
        <f>_xlfn.XLOOKUP(A281,Orders[OrderID],Orders[City])</f>
        <v>Indore</v>
      </c>
      <c r="L281" s="3">
        <f>YEAR(Clean_Data[[#This Row],[OrderDate]])</f>
        <v>2018</v>
      </c>
      <c r="M281" s="3">
        <f>MONTH(Clean_Data[[#This Row],[OrderDate]])</f>
        <v>3</v>
      </c>
      <c r="N281" s="8" t="str">
        <f>TEXT(Clean_Data[[#This Row],[OrderDate]],"mmm")</f>
        <v>Mar</v>
      </c>
      <c r="O281" s="8" t="str">
        <f>TEXT(Clean_Data[[#This Row],[OrderDate]], "yyyy-mm")</f>
        <v>2018-03</v>
      </c>
      <c r="P281" s="7">
        <f>Clean_Data[[#This Row],[Profit]]/Clean_Data[[#This Row],[Revenue ]]</f>
        <v>0.29411764705882354</v>
      </c>
      <c r="Q281" t="str">
        <f>"Q"&amp;ROUNDUP(MONTH(Clean_Data[[#This Row],[OrderDate]])/3,0)</f>
        <v>Q1</v>
      </c>
      <c r="R281" t="str">
        <f>TEXT(Clean_Data[[#This Row],[OrderDate]], "dddd")</f>
        <v>Saturday</v>
      </c>
    </row>
    <row r="282" spans="1:18" x14ac:dyDescent="0.25">
      <c r="A282" t="s">
        <v>164</v>
      </c>
      <c r="B282" s="4">
        <v>346</v>
      </c>
      <c r="C282" s="4">
        <v>108</v>
      </c>
      <c r="D282" s="3">
        <v>3</v>
      </c>
      <c r="E282" t="s">
        <v>888</v>
      </c>
      <c r="F282" t="s">
        <v>889</v>
      </c>
      <c r="G282" t="s">
        <v>887</v>
      </c>
      <c r="H282" s="6">
        <f>_xlfn.XLOOKUP(A282,Orders[OrderID],Orders[OrderDate])</f>
        <v>43120</v>
      </c>
      <c r="I282" t="str">
        <f>_xlfn.XLOOKUP(A282,Orders[OrderID],Orders[CustomerName])</f>
        <v>Oshin</v>
      </c>
      <c r="J282" t="str">
        <f>_xlfn.XLOOKUP(A282,Orders[OrderID],Orders[State])</f>
        <v>Maharashtra</v>
      </c>
      <c r="K282" t="str">
        <f>_xlfn.XLOOKUP(A282,Orders[OrderID],Orders[City])</f>
        <v>Pune</v>
      </c>
      <c r="L282" s="3">
        <f>YEAR(Clean_Data[[#This Row],[OrderDate]])</f>
        <v>2018</v>
      </c>
      <c r="M282" s="3">
        <f>MONTH(Clean_Data[[#This Row],[OrderDate]])</f>
        <v>1</v>
      </c>
      <c r="N282" s="8" t="str">
        <f>TEXT(Clean_Data[[#This Row],[OrderDate]],"mmm")</f>
        <v>Jan</v>
      </c>
      <c r="O282" s="8" t="str">
        <f>TEXT(Clean_Data[[#This Row],[OrderDate]], "yyyy-mm")</f>
        <v>2018-01</v>
      </c>
      <c r="P282" s="7">
        <f>Clean_Data[[#This Row],[Profit]]/Clean_Data[[#This Row],[Revenue ]]</f>
        <v>0.31213872832369943</v>
      </c>
      <c r="Q282" t="str">
        <f>"Q"&amp;ROUNDUP(MONTH(Clean_Data[[#This Row],[OrderDate]])/3,0)</f>
        <v>Q1</v>
      </c>
      <c r="R282" t="str">
        <f>TEXT(Clean_Data[[#This Row],[OrderDate]], "dddd")</f>
        <v>Saturday</v>
      </c>
    </row>
    <row r="283" spans="1:18" x14ac:dyDescent="0.25">
      <c r="A283" t="s">
        <v>166</v>
      </c>
      <c r="B283" s="4">
        <v>342</v>
      </c>
      <c r="C283" s="4">
        <v>-103</v>
      </c>
      <c r="D283" s="3">
        <v>4</v>
      </c>
      <c r="E283" t="s">
        <v>885</v>
      </c>
      <c r="F283" t="s">
        <v>886</v>
      </c>
      <c r="G283" t="s">
        <v>887</v>
      </c>
      <c r="H283" s="6">
        <f>_xlfn.XLOOKUP(A283,Orders[OrderID],Orders[OrderDate])</f>
        <v>43252</v>
      </c>
      <c r="I283" t="str">
        <f>_xlfn.XLOOKUP(A283,Orders[OrderID],Orders[CustomerName])</f>
        <v>Chandni</v>
      </c>
      <c r="J283" t="str">
        <f>_xlfn.XLOOKUP(A283,Orders[OrderID],Orders[State])</f>
        <v>Rajasthan</v>
      </c>
      <c r="K283" t="str">
        <f>_xlfn.XLOOKUP(A283,Orders[OrderID],Orders[City])</f>
        <v>Jaipur</v>
      </c>
      <c r="L283" s="3">
        <f>YEAR(Clean_Data[[#This Row],[OrderDate]])</f>
        <v>2018</v>
      </c>
      <c r="M283" s="3">
        <f>MONTH(Clean_Data[[#This Row],[OrderDate]])</f>
        <v>6</v>
      </c>
      <c r="N283" s="8" t="str">
        <f>TEXT(Clean_Data[[#This Row],[OrderDate]],"mmm")</f>
        <v>Jun</v>
      </c>
      <c r="O283" s="8" t="str">
        <f>TEXT(Clean_Data[[#This Row],[OrderDate]], "yyyy-mm")</f>
        <v>2018-06</v>
      </c>
      <c r="P283" s="7">
        <f>Clean_Data[[#This Row],[Profit]]/Clean_Data[[#This Row],[Revenue ]]</f>
        <v>-0.30116959064327486</v>
      </c>
      <c r="Q283" t="str">
        <f>"Q"&amp;ROUNDUP(MONTH(Clean_Data[[#This Row],[OrderDate]])/3,0)</f>
        <v>Q2</v>
      </c>
      <c r="R283" t="str">
        <f>TEXT(Clean_Data[[#This Row],[OrderDate]], "dddd")</f>
        <v>Friday</v>
      </c>
    </row>
    <row r="284" spans="1:18" x14ac:dyDescent="0.25">
      <c r="A284" t="s">
        <v>807</v>
      </c>
      <c r="B284" s="4">
        <v>35</v>
      </c>
      <c r="C284" s="4">
        <v>-8</v>
      </c>
      <c r="D284" s="3">
        <v>2</v>
      </c>
      <c r="E284" t="s">
        <v>888</v>
      </c>
      <c r="F284" t="s">
        <v>908</v>
      </c>
      <c r="G284" t="s">
        <v>907</v>
      </c>
      <c r="H284" s="6">
        <f>_xlfn.XLOOKUP(A284,Orders[OrderID],Orders[OrderDate])</f>
        <v>43214</v>
      </c>
      <c r="I284" t="str">
        <f>_xlfn.XLOOKUP(A284,Orders[OrderID],Orders[CustomerName])</f>
        <v>Pooja</v>
      </c>
      <c r="J284" t="str">
        <f>_xlfn.XLOOKUP(A284,Orders[OrderID],Orders[State])</f>
        <v>Bihar</v>
      </c>
      <c r="K284" t="str">
        <f>_xlfn.XLOOKUP(A284,Orders[OrderID],Orders[City])</f>
        <v>Patna</v>
      </c>
      <c r="L284" s="3">
        <f>YEAR(Clean_Data[[#This Row],[OrderDate]])</f>
        <v>2018</v>
      </c>
      <c r="M284" s="3">
        <f>MONTH(Clean_Data[[#This Row],[OrderDate]])</f>
        <v>4</v>
      </c>
      <c r="N284" s="8" t="str">
        <f>TEXT(Clean_Data[[#This Row],[OrderDate]],"mmm")</f>
        <v>Apr</v>
      </c>
      <c r="O284" s="8" t="str">
        <f>TEXT(Clean_Data[[#This Row],[OrderDate]], "yyyy-mm")</f>
        <v>2018-04</v>
      </c>
      <c r="P284" s="7">
        <f>Clean_Data[[#This Row],[Profit]]/Clean_Data[[#This Row],[Revenue ]]</f>
        <v>-0.22857142857142856</v>
      </c>
      <c r="Q284" t="str">
        <f>"Q"&amp;ROUNDUP(MONTH(Clean_Data[[#This Row],[OrderDate]])/3,0)</f>
        <v>Q2</v>
      </c>
      <c r="R284" t="str">
        <f>TEXT(Clean_Data[[#This Row],[OrderDate]], "dddd")</f>
        <v>Tuesday</v>
      </c>
    </row>
    <row r="285" spans="1:18" x14ac:dyDescent="0.25">
      <c r="A285" t="s">
        <v>680</v>
      </c>
      <c r="B285" s="4">
        <v>121</v>
      </c>
      <c r="C285" s="4">
        <v>41</v>
      </c>
      <c r="D285" s="3">
        <v>4</v>
      </c>
      <c r="E285" t="s">
        <v>895</v>
      </c>
      <c r="F285" t="s">
        <v>903</v>
      </c>
      <c r="G285" t="s">
        <v>898</v>
      </c>
      <c r="H285" s="6">
        <f>_xlfn.XLOOKUP(A285,Orders[OrderID],Orders[OrderDate])</f>
        <v>43438</v>
      </c>
      <c r="I285" t="str">
        <f>_xlfn.XLOOKUP(A285,Orders[OrderID],Orders[CustomerName])</f>
        <v>Shivani</v>
      </c>
      <c r="J285" t="str">
        <f>_xlfn.XLOOKUP(A285,Orders[OrderID],Orders[State])</f>
        <v>Madhya Pradesh</v>
      </c>
      <c r="K285" t="str">
        <f>_xlfn.XLOOKUP(A285,Orders[OrderID],Orders[City])</f>
        <v>Indore</v>
      </c>
      <c r="L285" s="3">
        <f>YEAR(Clean_Data[[#This Row],[OrderDate]])</f>
        <v>2018</v>
      </c>
      <c r="M285" s="3">
        <f>MONTH(Clean_Data[[#This Row],[OrderDate]])</f>
        <v>12</v>
      </c>
      <c r="N285" s="8" t="str">
        <f>TEXT(Clean_Data[[#This Row],[OrderDate]],"mmm")</f>
        <v>Dec</v>
      </c>
      <c r="O285" s="8" t="str">
        <f>TEXT(Clean_Data[[#This Row],[OrderDate]], "yyyy-mm")</f>
        <v>2018-12</v>
      </c>
      <c r="P285" s="7">
        <f>Clean_Data[[#This Row],[Profit]]/Clean_Data[[#This Row],[Revenue ]]</f>
        <v>0.33884297520661155</v>
      </c>
      <c r="Q285" t="str">
        <f>"Q"&amp;ROUNDUP(MONTH(Clean_Data[[#This Row],[OrderDate]])/3,0)</f>
        <v>Q4</v>
      </c>
      <c r="R285" t="str">
        <f>TEXT(Clean_Data[[#This Row],[OrderDate]], "dddd")</f>
        <v>Tuesday</v>
      </c>
    </row>
    <row r="286" spans="1:18" x14ac:dyDescent="0.25">
      <c r="A286" t="s">
        <v>411</v>
      </c>
      <c r="B286" s="4">
        <v>336</v>
      </c>
      <c r="C286" s="4">
        <v>57</v>
      </c>
      <c r="D286" s="3">
        <v>2</v>
      </c>
      <c r="E286" t="s">
        <v>885</v>
      </c>
      <c r="F286" t="s">
        <v>894</v>
      </c>
      <c r="G286" t="s">
        <v>887</v>
      </c>
      <c r="H286" s="6">
        <f>_xlfn.XLOOKUP(A286,Orders[OrderID],Orders[OrderDate])</f>
        <v>43444</v>
      </c>
      <c r="I286" t="str">
        <f>_xlfn.XLOOKUP(A286,Orders[OrderID],Orders[CustomerName])</f>
        <v>Amlan</v>
      </c>
      <c r="J286" t="str">
        <f>_xlfn.XLOOKUP(A286,Orders[OrderID],Orders[State])</f>
        <v>Madhya Pradesh</v>
      </c>
      <c r="K286" t="str">
        <f>_xlfn.XLOOKUP(A286,Orders[OrderID],Orders[City])</f>
        <v>Indore</v>
      </c>
      <c r="L286" s="3">
        <f>YEAR(Clean_Data[[#This Row],[OrderDate]])</f>
        <v>2018</v>
      </c>
      <c r="M286" s="3">
        <f>MONTH(Clean_Data[[#This Row],[OrderDate]])</f>
        <v>12</v>
      </c>
      <c r="N286" s="8" t="str">
        <f>TEXT(Clean_Data[[#This Row],[OrderDate]],"mmm")</f>
        <v>Dec</v>
      </c>
      <c r="O286" s="8" t="str">
        <f>TEXT(Clean_Data[[#This Row],[OrderDate]], "yyyy-mm")</f>
        <v>2018-12</v>
      </c>
      <c r="P286" s="7">
        <f>Clean_Data[[#This Row],[Profit]]/Clean_Data[[#This Row],[Revenue ]]</f>
        <v>0.16964285714285715</v>
      </c>
      <c r="Q286" t="str">
        <f>"Q"&amp;ROUNDUP(MONTH(Clean_Data[[#This Row],[OrderDate]])/3,0)</f>
        <v>Q4</v>
      </c>
      <c r="R286" t="str">
        <f>TEXT(Clean_Data[[#This Row],[OrderDate]], "dddd")</f>
        <v>Monday</v>
      </c>
    </row>
    <row r="287" spans="1:18" x14ac:dyDescent="0.25">
      <c r="A287" t="s">
        <v>470</v>
      </c>
      <c r="B287" s="4">
        <v>336</v>
      </c>
      <c r="C287" s="4">
        <v>71</v>
      </c>
      <c r="D287" s="3">
        <v>3</v>
      </c>
      <c r="E287" t="s">
        <v>888</v>
      </c>
      <c r="F287" t="s">
        <v>891</v>
      </c>
      <c r="G287" t="s">
        <v>887</v>
      </c>
      <c r="H287" s="6">
        <f>_xlfn.XLOOKUP(A287,Orders[OrderID],Orders[OrderDate])</f>
        <v>43410</v>
      </c>
      <c r="I287" t="str">
        <f>_xlfn.XLOOKUP(A287,Orders[OrderID],Orders[CustomerName])</f>
        <v>Kushal</v>
      </c>
      <c r="J287" t="str">
        <f>_xlfn.XLOOKUP(A287,Orders[OrderID],Orders[State])</f>
        <v>Nagaland</v>
      </c>
      <c r="K287" t="str">
        <f>_xlfn.XLOOKUP(A287,Orders[OrderID],Orders[City])</f>
        <v>Kohima</v>
      </c>
      <c r="L287" s="3">
        <f>YEAR(Clean_Data[[#This Row],[OrderDate]])</f>
        <v>2018</v>
      </c>
      <c r="M287" s="3">
        <f>MONTH(Clean_Data[[#This Row],[OrderDate]])</f>
        <v>11</v>
      </c>
      <c r="N287" s="8" t="str">
        <f>TEXT(Clean_Data[[#This Row],[OrderDate]],"mmm")</f>
        <v>Nov</v>
      </c>
      <c r="O287" s="8" t="str">
        <f>TEXT(Clean_Data[[#This Row],[OrderDate]], "yyyy-mm")</f>
        <v>2018-11</v>
      </c>
      <c r="P287" s="7">
        <f>Clean_Data[[#This Row],[Profit]]/Clean_Data[[#This Row],[Revenue ]]</f>
        <v>0.21130952380952381</v>
      </c>
      <c r="Q287" t="str">
        <f>"Q"&amp;ROUNDUP(MONTH(Clean_Data[[#This Row],[OrderDate]])/3,0)</f>
        <v>Q4</v>
      </c>
      <c r="R287" t="str">
        <f>TEXT(Clean_Data[[#This Row],[OrderDate]], "dddd")</f>
        <v>Tuesday</v>
      </c>
    </row>
    <row r="288" spans="1:18" x14ac:dyDescent="0.25">
      <c r="A288" t="s">
        <v>650</v>
      </c>
      <c r="B288" s="4">
        <v>27</v>
      </c>
      <c r="C288" s="4">
        <v>4</v>
      </c>
      <c r="D288" s="3">
        <v>1</v>
      </c>
      <c r="E288" t="s">
        <v>895</v>
      </c>
      <c r="F288" t="s">
        <v>899</v>
      </c>
      <c r="G288" t="s">
        <v>887</v>
      </c>
      <c r="H288" s="6">
        <f>_xlfn.XLOOKUP(A288,Orders[OrderID],Orders[OrderDate])</f>
        <v>43185</v>
      </c>
      <c r="I288" t="str">
        <f>_xlfn.XLOOKUP(A288,Orders[OrderID],Orders[CustomerName])</f>
        <v>Kanak</v>
      </c>
      <c r="J288" t="str">
        <f>_xlfn.XLOOKUP(A288,Orders[OrderID],Orders[State])</f>
        <v>Goa</v>
      </c>
      <c r="K288" t="str">
        <f>_xlfn.XLOOKUP(A288,Orders[OrderID],Orders[City])</f>
        <v>Goa</v>
      </c>
      <c r="L288" s="3">
        <f>YEAR(Clean_Data[[#This Row],[OrderDate]])</f>
        <v>2018</v>
      </c>
      <c r="M288" s="3">
        <f>MONTH(Clean_Data[[#This Row],[OrderDate]])</f>
        <v>3</v>
      </c>
      <c r="N288" s="8" t="str">
        <f>TEXT(Clean_Data[[#This Row],[OrderDate]],"mmm")</f>
        <v>Mar</v>
      </c>
      <c r="O288" s="8" t="str">
        <f>TEXT(Clean_Data[[#This Row],[OrderDate]], "yyyy-mm")</f>
        <v>2018-03</v>
      </c>
      <c r="P288" s="7">
        <f>Clean_Data[[#This Row],[Profit]]/Clean_Data[[#This Row],[Revenue ]]</f>
        <v>0.14814814814814814</v>
      </c>
      <c r="Q288" t="str">
        <f>"Q"&amp;ROUNDUP(MONTH(Clean_Data[[#This Row],[OrderDate]])/3,0)</f>
        <v>Q1</v>
      </c>
      <c r="R288" t="str">
        <f>TEXT(Clean_Data[[#This Row],[OrderDate]], "dddd")</f>
        <v>Monday</v>
      </c>
    </row>
    <row r="289" spans="1:18" x14ac:dyDescent="0.25">
      <c r="A289" t="s">
        <v>476</v>
      </c>
      <c r="B289" s="4">
        <v>333</v>
      </c>
      <c r="C289" s="4">
        <v>50</v>
      </c>
      <c r="D289" s="3">
        <v>2</v>
      </c>
      <c r="E289" t="s">
        <v>885</v>
      </c>
      <c r="F289" t="s">
        <v>894</v>
      </c>
      <c r="G289" t="s">
        <v>887</v>
      </c>
      <c r="H289" s="6">
        <f>_xlfn.XLOOKUP(A289,Orders[OrderID],Orders[OrderDate])</f>
        <v>43135</v>
      </c>
      <c r="I289" t="str">
        <f>_xlfn.XLOOKUP(A289,Orders[OrderID],Orders[CustomerName])</f>
        <v>Prashant</v>
      </c>
      <c r="J289" t="str">
        <f>_xlfn.XLOOKUP(A289,Orders[OrderID],Orders[State])</f>
        <v>Delhi</v>
      </c>
      <c r="K289" t="str">
        <f>_xlfn.XLOOKUP(A289,Orders[OrderID],Orders[City])</f>
        <v>Delhi</v>
      </c>
      <c r="L289" s="3">
        <f>YEAR(Clean_Data[[#This Row],[OrderDate]])</f>
        <v>2018</v>
      </c>
      <c r="M289" s="3">
        <f>MONTH(Clean_Data[[#This Row],[OrderDate]])</f>
        <v>2</v>
      </c>
      <c r="N289" s="8" t="str">
        <f>TEXT(Clean_Data[[#This Row],[OrderDate]],"mmm")</f>
        <v>Feb</v>
      </c>
      <c r="O289" s="8" t="str">
        <f>TEXT(Clean_Data[[#This Row],[OrderDate]], "yyyy-mm")</f>
        <v>2018-02</v>
      </c>
      <c r="P289" s="7">
        <f>Clean_Data[[#This Row],[Profit]]/Clean_Data[[#This Row],[Revenue ]]</f>
        <v>0.15015015015015015</v>
      </c>
      <c r="Q289" t="str">
        <f>"Q"&amp;ROUNDUP(MONTH(Clean_Data[[#This Row],[OrderDate]])/3,0)</f>
        <v>Q1</v>
      </c>
      <c r="R289" t="str">
        <f>TEXT(Clean_Data[[#This Row],[OrderDate]], "dddd")</f>
        <v>Sunday</v>
      </c>
    </row>
    <row r="290" spans="1:18" x14ac:dyDescent="0.25">
      <c r="A290" t="s">
        <v>44</v>
      </c>
      <c r="B290" s="4">
        <v>36</v>
      </c>
      <c r="C290" s="4">
        <v>7</v>
      </c>
      <c r="D290" s="3">
        <v>3</v>
      </c>
      <c r="E290" t="s">
        <v>895</v>
      </c>
      <c r="F290" t="s">
        <v>904</v>
      </c>
      <c r="G290" t="s">
        <v>907</v>
      </c>
      <c r="H290" s="6">
        <f>_xlfn.XLOOKUP(A290,Orders[OrderID],Orders[OrderDate])</f>
        <v>43429</v>
      </c>
      <c r="I290" t="str">
        <f>_xlfn.XLOOKUP(A290,Orders[OrderID],Orders[CustomerName])</f>
        <v>Lalita</v>
      </c>
      <c r="J290" t="str">
        <f>_xlfn.XLOOKUP(A290,Orders[OrderID],Orders[State])</f>
        <v>Uttar Pradesh</v>
      </c>
      <c r="K290" t="str">
        <f>_xlfn.XLOOKUP(A290,Orders[OrderID],Orders[City])</f>
        <v>Mathura</v>
      </c>
      <c r="L290" s="3">
        <f>YEAR(Clean_Data[[#This Row],[OrderDate]])</f>
        <v>2018</v>
      </c>
      <c r="M290" s="3">
        <f>MONTH(Clean_Data[[#This Row],[OrderDate]])</f>
        <v>11</v>
      </c>
      <c r="N290" s="8" t="str">
        <f>TEXT(Clean_Data[[#This Row],[OrderDate]],"mmm")</f>
        <v>Nov</v>
      </c>
      <c r="O290" s="8" t="str">
        <f>TEXT(Clean_Data[[#This Row],[OrderDate]], "yyyy-mm")</f>
        <v>2018-11</v>
      </c>
      <c r="P290" s="7">
        <f>Clean_Data[[#This Row],[Profit]]/Clean_Data[[#This Row],[Revenue ]]</f>
        <v>0.19444444444444445</v>
      </c>
      <c r="Q290" t="str">
        <f>"Q"&amp;ROUNDUP(MONTH(Clean_Data[[#This Row],[OrderDate]])/3,0)</f>
        <v>Q4</v>
      </c>
      <c r="R290" t="str">
        <f>TEXT(Clean_Data[[#This Row],[OrderDate]], "dddd")</f>
        <v>Sunday</v>
      </c>
    </row>
    <row r="291" spans="1:18" x14ac:dyDescent="0.25">
      <c r="A291" t="s">
        <v>474</v>
      </c>
      <c r="B291" s="4">
        <v>333</v>
      </c>
      <c r="C291" s="4">
        <v>-15</v>
      </c>
      <c r="D291" s="3">
        <v>3</v>
      </c>
      <c r="E291" t="s">
        <v>885</v>
      </c>
      <c r="F291" t="s">
        <v>894</v>
      </c>
      <c r="G291" t="s">
        <v>887</v>
      </c>
      <c r="H291" s="6">
        <f>_xlfn.XLOOKUP(A291,Orders[OrderID],Orders[OrderDate])</f>
        <v>43210</v>
      </c>
      <c r="I291" t="str">
        <f>_xlfn.XLOOKUP(A291,Orders[OrderID],Orders[CustomerName])</f>
        <v>Deepak</v>
      </c>
      <c r="J291" t="str">
        <f>_xlfn.XLOOKUP(A291,Orders[OrderID],Orders[State])</f>
        <v>Madhya Pradesh</v>
      </c>
      <c r="K291" t="str">
        <f>_xlfn.XLOOKUP(A291,Orders[OrderID],Orders[City])</f>
        <v>Bhopal</v>
      </c>
      <c r="L291" s="3">
        <f>YEAR(Clean_Data[[#This Row],[OrderDate]])</f>
        <v>2018</v>
      </c>
      <c r="M291" s="3">
        <f>MONTH(Clean_Data[[#This Row],[OrderDate]])</f>
        <v>4</v>
      </c>
      <c r="N291" s="8" t="str">
        <f>TEXT(Clean_Data[[#This Row],[OrderDate]],"mmm")</f>
        <v>Apr</v>
      </c>
      <c r="O291" s="8" t="str">
        <f>TEXT(Clean_Data[[#This Row],[OrderDate]], "yyyy-mm")</f>
        <v>2018-04</v>
      </c>
      <c r="P291" s="7">
        <f>Clean_Data[[#This Row],[Profit]]/Clean_Data[[#This Row],[Revenue ]]</f>
        <v>-4.5045045045045043E-2</v>
      </c>
      <c r="Q291" t="str">
        <f>"Q"&amp;ROUNDUP(MONTH(Clean_Data[[#This Row],[OrderDate]])/3,0)</f>
        <v>Q2</v>
      </c>
      <c r="R291" t="str">
        <f>TEXT(Clean_Data[[#This Row],[OrderDate]], "dddd")</f>
        <v>Friday</v>
      </c>
    </row>
    <row r="292" spans="1:18" x14ac:dyDescent="0.25">
      <c r="A292" t="s">
        <v>480</v>
      </c>
      <c r="B292" s="4">
        <v>327</v>
      </c>
      <c r="C292" s="4">
        <v>114</v>
      </c>
      <c r="D292" s="3">
        <v>4</v>
      </c>
      <c r="E292" t="s">
        <v>895</v>
      </c>
      <c r="F292" t="s">
        <v>896</v>
      </c>
      <c r="G292" t="s">
        <v>887</v>
      </c>
      <c r="H292" s="6">
        <f>_xlfn.XLOOKUP(A292,Orders[OrderID],Orders[OrderDate])</f>
        <v>43303</v>
      </c>
      <c r="I292" t="str">
        <f>_xlfn.XLOOKUP(A292,Orders[OrderID],Orders[CustomerName])</f>
        <v>Turumella</v>
      </c>
      <c r="J292" t="str">
        <f>_xlfn.XLOOKUP(A292,Orders[OrderID],Orders[State])</f>
        <v>Madhya Pradesh</v>
      </c>
      <c r="K292" t="str">
        <f>_xlfn.XLOOKUP(A292,Orders[OrderID],Orders[City])</f>
        <v>Indore</v>
      </c>
      <c r="L292" s="3">
        <f>YEAR(Clean_Data[[#This Row],[OrderDate]])</f>
        <v>2018</v>
      </c>
      <c r="M292" s="3">
        <f>MONTH(Clean_Data[[#This Row],[OrderDate]])</f>
        <v>7</v>
      </c>
      <c r="N292" s="8" t="str">
        <f>TEXT(Clean_Data[[#This Row],[OrderDate]],"mmm")</f>
        <v>Jul</v>
      </c>
      <c r="O292" s="8" t="str">
        <f>TEXT(Clean_Data[[#This Row],[OrderDate]], "yyyy-mm")</f>
        <v>2018-07</v>
      </c>
      <c r="P292" s="7">
        <f>Clean_Data[[#This Row],[Profit]]/Clean_Data[[#This Row],[Revenue ]]</f>
        <v>0.34862385321100919</v>
      </c>
      <c r="Q292" t="str">
        <f>"Q"&amp;ROUNDUP(MONTH(Clean_Data[[#This Row],[OrderDate]])/3,0)</f>
        <v>Q3</v>
      </c>
      <c r="R292" t="str">
        <f>TEXT(Clean_Data[[#This Row],[OrderDate]], "dddd")</f>
        <v>Sunday</v>
      </c>
    </row>
    <row r="293" spans="1:18" x14ac:dyDescent="0.25">
      <c r="A293" t="s">
        <v>524</v>
      </c>
      <c r="B293" s="4">
        <v>18</v>
      </c>
      <c r="C293" s="4">
        <v>6</v>
      </c>
      <c r="D293" s="3">
        <v>3</v>
      </c>
      <c r="E293" t="s">
        <v>895</v>
      </c>
      <c r="F293" t="s">
        <v>899</v>
      </c>
      <c r="G293" t="s">
        <v>898</v>
      </c>
      <c r="H293" s="6">
        <f>_xlfn.XLOOKUP(A293,Orders[OrderID],Orders[OrderDate])</f>
        <v>43407</v>
      </c>
      <c r="I293" t="str">
        <f>_xlfn.XLOOKUP(A293,Orders[OrderID],Orders[CustomerName])</f>
        <v>Mrunal</v>
      </c>
      <c r="J293" t="str">
        <f>_xlfn.XLOOKUP(A293,Orders[OrderID],Orders[State])</f>
        <v>Maharashtra</v>
      </c>
      <c r="K293" t="str">
        <f>_xlfn.XLOOKUP(A293,Orders[OrderID],Orders[City])</f>
        <v>Mumbai</v>
      </c>
      <c r="L293" s="3">
        <f>YEAR(Clean_Data[[#This Row],[OrderDate]])</f>
        <v>2018</v>
      </c>
      <c r="M293" s="3">
        <f>MONTH(Clean_Data[[#This Row],[OrderDate]])</f>
        <v>11</v>
      </c>
      <c r="N293" s="8" t="str">
        <f>TEXT(Clean_Data[[#This Row],[OrderDate]],"mmm")</f>
        <v>Nov</v>
      </c>
      <c r="O293" s="8" t="str">
        <f>TEXT(Clean_Data[[#This Row],[OrderDate]], "yyyy-mm")</f>
        <v>2018-11</v>
      </c>
      <c r="P293" s="7">
        <f>Clean_Data[[#This Row],[Profit]]/Clean_Data[[#This Row],[Revenue ]]</f>
        <v>0.33333333333333331</v>
      </c>
      <c r="Q293" t="str">
        <f>"Q"&amp;ROUNDUP(MONTH(Clean_Data[[#This Row],[OrderDate]])/3,0)</f>
        <v>Q4</v>
      </c>
      <c r="R293" t="str">
        <f>TEXT(Clean_Data[[#This Row],[OrderDate]], "dddd")</f>
        <v>Saturday</v>
      </c>
    </row>
    <row r="294" spans="1:18" x14ac:dyDescent="0.25">
      <c r="A294" t="s">
        <v>395</v>
      </c>
      <c r="B294" s="4">
        <v>325</v>
      </c>
      <c r="C294" s="4">
        <v>32</v>
      </c>
      <c r="D294" s="3">
        <v>7</v>
      </c>
      <c r="E294" t="s">
        <v>895</v>
      </c>
      <c r="F294" t="s">
        <v>906</v>
      </c>
      <c r="G294" t="s">
        <v>887</v>
      </c>
      <c r="H294" s="6">
        <f>_xlfn.XLOOKUP(A294,Orders[OrderID],Orders[OrderDate])</f>
        <v>43165</v>
      </c>
      <c r="I294" t="str">
        <f>_xlfn.XLOOKUP(A294,Orders[OrderID],Orders[CustomerName])</f>
        <v>Paridhi</v>
      </c>
      <c r="J294" t="str">
        <f>_xlfn.XLOOKUP(A294,Orders[OrderID],Orders[State])</f>
        <v>Rajasthan</v>
      </c>
      <c r="K294" t="str">
        <f>_xlfn.XLOOKUP(A294,Orders[OrderID],Orders[City])</f>
        <v>Jaipur</v>
      </c>
      <c r="L294" s="3">
        <f>YEAR(Clean_Data[[#This Row],[OrderDate]])</f>
        <v>2018</v>
      </c>
      <c r="M294" s="3">
        <f>MONTH(Clean_Data[[#This Row],[OrderDate]])</f>
        <v>3</v>
      </c>
      <c r="N294" s="8" t="str">
        <f>TEXT(Clean_Data[[#This Row],[OrderDate]],"mmm")</f>
        <v>Mar</v>
      </c>
      <c r="O294" s="8" t="str">
        <f>TEXT(Clean_Data[[#This Row],[OrderDate]], "yyyy-mm")</f>
        <v>2018-03</v>
      </c>
      <c r="P294" s="7">
        <f>Clean_Data[[#This Row],[Profit]]/Clean_Data[[#This Row],[Revenue ]]</f>
        <v>9.8461538461538461E-2</v>
      </c>
      <c r="Q294" t="str">
        <f>"Q"&amp;ROUNDUP(MONTH(Clean_Data[[#This Row],[OrderDate]])/3,0)</f>
        <v>Q1</v>
      </c>
      <c r="R294" t="str">
        <f>TEXT(Clean_Data[[#This Row],[OrderDate]], "dddd")</f>
        <v>Tuesday</v>
      </c>
    </row>
    <row r="295" spans="1:18" x14ac:dyDescent="0.25">
      <c r="A295" t="s">
        <v>398</v>
      </c>
      <c r="B295" s="4">
        <v>482</v>
      </c>
      <c r="C295" s="4">
        <v>-6</v>
      </c>
      <c r="D295" s="3">
        <v>7</v>
      </c>
      <c r="E295" t="s">
        <v>885</v>
      </c>
      <c r="F295" t="s">
        <v>886</v>
      </c>
      <c r="G295" t="s">
        <v>890</v>
      </c>
      <c r="H295" s="6">
        <f>_xlfn.XLOOKUP(A295,Orders[OrderID],Orders[OrderDate])</f>
        <v>43315</v>
      </c>
      <c r="I295" t="str">
        <f>_xlfn.XLOOKUP(A295,Orders[OrderID],Orders[CustomerName])</f>
        <v>Navdeep</v>
      </c>
      <c r="J295" t="str">
        <f>_xlfn.XLOOKUP(A295,Orders[OrderID],Orders[State])</f>
        <v>Madhya Pradesh</v>
      </c>
      <c r="K295" t="str">
        <f>_xlfn.XLOOKUP(A295,Orders[OrderID],Orders[City])</f>
        <v>Indore</v>
      </c>
      <c r="L295" s="3">
        <f>YEAR(Clean_Data[[#This Row],[OrderDate]])</f>
        <v>2018</v>
      </c>
      <c r="M295" s="3">
        <f>MONTH(Clean_Data[[#This Row],[OrderDate]])</f>
        <v>8</v>
      </c>
      <c r="N295" s="8" t="str">
        <f>TEXT(Clean_Data[[#This Row],[OrderDate]],"mmm")</f>
        <v>Aug</v>
      </c>
      <c r="O295" s="8" t="str">
        <f>TEXT(Clean_Data[[#This Row],[OrderDate]], "yyyy-mm")</f>
        <v>2018-08</v>
      </c>
      <c r="P295" s="7">
        <f>Clean_Data[[#This Row],[Profit]]/Clean_Data[[#This Row],[Revenue ]]</f>
        <v>-1.2448132780082987E-2</v>
      </c>
      <c r="Q295" t="str">
        <f>"Q"&amp;ROUNDUP(MONTH(Clean_Data[[#This Row],[OrderDate]])/3,0)</f>
        <v>Q3</v>
      </c>
      <c r="R295" t="str">
        <f>TEXT(Clean_Data[[#This Row],[OrderDate]], "dddd")</f>
        <v>Friday</v>
      </c>
    </row>
    <row r="296" spans="1:18" x14ac:dyDescent="0.25">
      <c r="A296" t="s">
        <v>295</v>
      </c>
      <c r="B296" s="4">
        <v>465</v>
      </c>
      <c r="C296" s="4">
        <v>-33</v>
      </c>
      <c r="D296" s="3">
        <v>4</v>
      </c>
      <c r="E296" t="s">
        <v>885</v>
      </c>
      <c r="F296" t="s">
        <v>894</v>
      </c>
      <c r="G296" t="s">
        <v>890</v>
      </c>
      <c r="H296" s="6">
        <f>_xlfn.XLOOKUP(A296,Orders[OrderID],Orders[OrderDate])</f>
        <v>43332</v>
      </c>
      <c r="I296" t="str">
        <f>_xlfn.XLOOKUP(A296,Orders[OrderID],Orders[CustomerName])</f>
        <v>Mohan</v>
      </c>
      <c r="J296" t="str">
        <f>_xlfn.XLOOKUP(A296,Orders[OrderID],Orders[State])</f>
        <v>Maharashtra</v>
      </c>
      <c r="K296" t="str">
        <f>_xlfn.XLOOKUP(A296,Orders[OrderID],Orders[City])</f>
        <v>Mumbai</v>
      </c>
      <c r="L296" s="3">
        <f>YEAR(Clean_Data[[#This Row],[OrderDate]])</f>
        <v>2018</v>
      </c>
      <c r="M296" s="3">
        <f>MONTH(Clean_Data[[#This Row],[OrderDate]])</f>
        <v>8</v>
      </c>
      <c r="N296" s="8" t="str">
        <f>TEXT(Clean_Data[[#This Row],[OrderDate]],"mmm")</f>
        <v>Aug</v>
      </c>
      <c r="O296" s="8" t="str">
        <f>TEXT(Clean_Data[[#This Row],[OrderDate]], "yyyy-mm")</f>
        <v>2018-08</v>
      </c>
      <c r="P296" s="7">
        <f>Clean_Data[[#This Row],[Profit]]/Clean_Data[[#This Row],[Revenue ]]</f>
        <v>-7.0967741935483872E-2</v>
      </c>
      <c r="Q296" t="str">
        <f>"Q"&amp;ROUNDUP(MONTH(Clean_Data[[#This Row],[OrderDate]])/3,0)</f>
        <v>Q3</v>
      </c>
      <c r="R296" t="str">
        <f>TEXT(Clean_Data[[#This Row],[OrderDate]], "dddd")</f>
        <v>Monday</v>
      </c>
    </row>
    <row r="297" spans="1:18" x14ac:dyDescent="0.25">
      <c r="A297" t="s">
        <v>362</v>
      </c>
      <c r="B297" s="4">
        <v>40</v>
      </c>
      <c r="C297" s="4">
        <v>-12</v>
      </c>
      <c r="D297" s="3">
        <v>3</v>
      </c>
      <c r="E297" t="s">
        <v>895</v>
      </c>
      <c r="F297" t="s">
        <v>909</v>
      </c>
      <c r="G297" t="s">
        <v>887</v>
      </c>
      <c r="H297" s="6">
        <f>_xlfn.XLOOKUP(A297,Orders[OrderID],Orders[OrderDate])</f>
        <v>43363</v>
      </c>
      <c r="I297" t="str">
        <f>_xlfn.XLOOKUP(A297,Orders[OrderID],Orders[CustomerName])</f>
        <v>Asish</v>
      </c>
      <c r="J297" t="str">
        <f>_xlfn.XLOOKUP(A297,Orders[OrderID],Orders[State])</f>
        <v>Jammu and Kashmir</v>
      </c>
      <c r="K297" t="str">
        <f>_xlfn.XLOOKUP(A297,Orders[OrderID],Orders[City])</f>
        <v>Kashmir</v>
      </c>
      <c r="L297" s="3">
        <f>YEAR(Clean_Data[[#This Row],[OrderDate]])</f>
        <v>2018</v>
      </c>
      <c r="M297" s="3">
        <f>MONTH(Clean_Data[[#This Row],[OrderDate]])</f>
        <v>9</v>
      </c>
      <c r="N297" s="8" t="str">
        <f>TEXT(Clean_Data[[#This Row],[OrderDate]],"mmm")</f>
        <v>Sep</v>
      </c>
      <c r="O297" s="8" t="str">
        <f>TEXT(Clean_Data[[#This Row],[OrderDate]], "yyyy-mm")</f>
        <v>2018-09</v>
      </c>
      <c r="P297" s="7">
        <f>Clean_Data[[#This Row],[Profit]]/Clean_Data[[#This Row],[Revenue ]]</f>
        <v>-0.3</v>
      </c>
      <c r="Q297" t="str">
        <f>"Q"&amp;ROUNDUP(MONTH(Clean_Data[[#This Row],[OrderDate]])/3,0)</f>
        <v>Q3</v>
      </c>
      <c r="R297" t="str">
        <f>TEXT(Clean_Data[[#This Row],[OrderDate]], "dddd")</f>
        <v>Thursday</v>
      </c>
    </row>
    <row r="298" spans="1:18" x14ac:dyDescent="0.25">
      <c r="A298" t="s">
        <v>134</v>
      </c>
      <c r="B298" s="4">
        <v>107</v>
      </c>
      <c r="C298" s="4">
        <v>36</v>
      </c>
      <c r="D298" s="3">
        <v>6</v>
      </c>
      <c r="E298" t="s">
        <v>895</v>
      </c>
      <c r="F298" t="s">
        <v>903</v>
      </c>
      <c r="G298" t="s">
        <v>887</v>
      </c>
      <c r="H298" s="6">
        <f>_xlfn.XLOOKUP(A298,Orders[OrderID],Orders[OrderDate])</f>
        <v>43193</v>
      </c>
      <c r="I298" t="str">
        <f>_xlfn.XLOOKUP(A298,Orders[OrderID],Orders[CustomerName])</f>
        <v>Jahan</v>
      </c>
      <c r="J298" t="str">
        <f>_xlfn.XLOOKUP(A298,Orders[OrderID],Orders[State])</f>
        <v>Madhya Pradesh</v>
      </c>
      <c r="K298" t="str">
        <f>_xlfn.XLOOKUP(A298,Orders[OrderID],Orders[City])</f>
        <v>Bhopal</v>
      </c>
      <c r="L298" s="3">
        <f>YEAR(Clean_Data[[#This Row],[OrderDate]])</f>
        <v>2018</v>
      </c>
      <c r="M298" s="3">
        <f>MONTH(Clean_Data[[#This Row],[OrderDate]])</f>
        <v>4</v>
      </c>
      <c r="N298" s="8" t="str">
        <f>TEXT(Clean_Data[[#This Row],[OrderDate]],"mmm")</f>
        <v>Apr</v>
      </c>
      <c r="O298" s="8" t="str">
        <f>TEXT(Clean_Data[[#This Row],[OrderDate]], "yyyy-mm")</f>
        <v>2018-04</v>
      </c>
      <c r="P298" s="7">
        <f>Clean_Data[[#This Row],[Profit]]/Clean_Data[[#This Row],[Revenue ]]</f>
        <v>0.3364485981308411</v>
      </c>
      <c r="Q298" t="str">
        <f>"Q"&amp;ROUNDUP(MONTH(Clean_Data[[#This Row],[OrderDate]])/3,0)</f>
        <v>Q2</v>
      </c>
      <c r="R298" t="str">
        <f>TEXT(Clean_Data[[#This Row],[OrderDate]], "dddd")</f>
        <v>Tuesday</v>
      </c>
    </row>
    <row r="299" spans="1:18" x14ac:dyDescent="0.25">
      <c r="A299" t="s">
        <v>434</v>
      </c>
      <c r="B299" s="4">
        <v>312</v>
      </c>
      <c r="C299" s="4">
        <v>-312</v>
      </c>
      <c r="D299" s="3">
        <v>7</v>
      </c>
      <c r="E299" t="s">
        <v>888</v>
      </c>
      <c r="F299" t="s">
        <v>889</v>
      </c>
      <c r="G299" t="s">
        <v>887</v>
      </c>
      <c r="H299" s="6">
        <f>_xlfn.XLOOKUP(A299,Orders[OrderID],Orders[OrderDate])</f>
        <v>43231</v>
      </c>
      <c r="I299" t="str">
        <f>_xlfn.XLOOKUP(A299,Orders[OrderID],Orders[CustomerName])</f>
        <v>Nida</v>
      </c>
      <c r="J299" t="str">
        <f>_xlfn.XLOOKUP(A299,Orders[OrderID],Orders[State])</f>
        <v>Madhya Pradesh</v>
      </c>
      <c r="K299" t="str">
        <f>_xlfn.XLOOKUP(A299,Orders[OrderID],Orders[City])</f>
        <v>Indore</v>
      </c>
      <c r="L299" s="3">
        <f>YEAR(Clean_Data[[#This Row],[OrderDate]])</f>
        <v>2018</v>
      </c>
      <c r="M299" s="3">
        <f>MONTH(Clean_Data[[#This Row],[OrderDate]])</f>
        <v>5</v>
      </c>
      <c r="N299" s="8" t="str">
        <f>TEXT(Clean_Data[[#This Row],[OrderDate]],"mmm")</f>
        <v>May</v>
      </c>
      <c r="O299" s="8" t="str">
        <f>TEXT(Clean_Data[[#This Row],[OrderDate]], "yyyy-mm")</f>
        <v>2018-05</v>
      </c>
      <c r="P299" s="7">
        <f>Clean_Data[[#This Row],[Profit]]/Clean_Data[[#This Row],[Revenue ]]</f>
        <v>-1</v>
      </c>
      <c r="Q299" t="str">
        <f>"Q"&amp;ROUNDUP(MONTH(Clean_Data[[#This Row],[OrderDate]])/3,0)</f>
        <v>Q2</v>
      </c>
      <c r="R299" t="str">
        <f>TEXT(Clean_Data[[#This Row],[OrderDate]], "dddd")</f>
        <v>Friday</v>
      </c>
    </row>
    <row r="300" spans="1:18" x14ac:dyDescent="0.25">
      <c r="A300" t="s">
        <v>413</v>
      </c>
      <c r="B300" s="4">
        <v>451</v>
      </c>
      <c r="C300" s="4">
        <v>25</v>
      </c>
      <c r="D300" s="3">
        <v>3</v>
      </c>
      <c r="E300" t="s">
        <v>885</v>
      </c>
      <c r="F300" t="s">
        <v>894</v>
      </c>
      <c r="G300" t="s">
        <v>890</v>
      </c>
      <c r="H300" s="6">
        <f>_xlfn.XLOOKUP(A300,Orders[OrderID],Orders[OrderDate])</f>
        <v>43187</v>
      </c>
      <c r="I300" t="str">
        <f>_xlfn.XLOOKUP(A300,Orders[OrderID],Orders[CustomerName])</f>
        <v>Atharv</v>
      </c>
      <c r="J300" t="str">
        <f>_xlfn.XLOOKUP(A300,Orders[OrderID],Orders[State])</f>
        <v>West Bengal</v>
      </c>
      <c r="K300" t="str">
        <f>_xlfn.XLOOKUP(A300,Orders[OrderID],Orders[City])</f>
        <v>Kolkata</v>
      </c>
      <c r="L300" s="3">
        <f>YEAR(Clean_Data[[#This Row],[OrderDate]])</f>
        <v>2018</v>
      </c>
      <c r="M300" s="3">
        <f>MONTH(Clean_Data[[#This Row],[OrderDate]])</f>
        <v>3</v>
      </c>
      <c r="N300" s="8" t="str">
        <f>TEXT(Clean_Data[[#This Row],[OrderDate]],"mmm")</f>
        <v>Mar</v>
      </c>
      <c r="O300" s="8" t="str">
        <f>TEXT(Clean_Data[[#This Row],[OrderDate]], "yyyy-mm")</f>
        <v>2018-03</v>
      </c>
      <c r="P300" s="7">
        <f>Clean_Data[[#This Row],[Profit]]/Clean_Data[[#This Row],[Revenue ]]</f>
        <v>5.543237250554324E-2</v>
      </c>
      <c r="Q300" t="str">
        <f>"Q"&amp;ROUNDUP(MONTH(Clean_Data[[#This Row],[OrderDate]])/3,0)</f>
        <v>Q1</v>
      </c>
      <c r="R300" t="str">
        <f>TEXT(Clean_Data[[#This Row],[OrderDate]], "dddd")</f>
        <v>Wednesday</v>
      </c>
    </row>
    <row r="301" spans="1:18" x14ac:dyDescent="0.25">
      <c r="A301" t="s">
        <v>365</v>
      </c>
      <c r="B301" s="4">
        <v>312</v>
      </c>
      <c r="C301" s="4">
        <v>62</v>
      </c>
      <c r="D301" s="3">
        <v>1</v>
      </c>
      <c r="E301" t="s">
        <v>885</v>
      </c>
      <c r="F301" t="s">
        <v>886</v>
      </c>
      <c r="G301" t="s">
        <v>887</v>
      </c>
      <c r="H301" s="6">
        <f>_xlfn.XLOOKUP(A301,Orders[OrderID],Orders[OrderDate])</f>
        <v>43119</v>
      </c>
      <c r="I301" t="str">
        <f>_xlfn.XLOOKUP(A301,Orders[OrderID],Orders[CustomerName])</f>
        <v>Tejeswini</v>
      </c>
      <c r="J301" t="str">
        <f>_xlfn.XLOOKUP(A301,Orders[OrderID],Orders[State])</f>
        <v>Maharashtra</v>
      </c>
      <c r="K301" t="str">
        <f>_xlfn.XLOOKUP(A301,Orders[OrderID],Orders[City])</f>
        <v>Pune</v>
      </c>
      <c r="L301" s="3">
        <f>YEAR(Clean_Data[[#This Row],[OrderDate]])</f>
        <v>2018</v>
      </c>
      <c r="M301" s="3">
        <f>MONTH(Clean_Data[[#This Row],[OrderDate]])</f>
        <v>1</v>
      </c>
      <c r="N301" s="8" t="str">
        <f>TEXT(Clean_Data[[#This Row],[OrderDate]],"mmm")</f>
        <v>Jan</v>
      </c>
      <c r="O301" s="8" t="str">
        <f>TEXT(Clean_Data[[#This Row],[OrderDate]], "yyyy-mm")</f>
        <v>2018-01</v>
      </c>
      <c r="P301" s="7">
        <f>Clean_Data[[#This Row],[Profit]]/Clean_Data[[#This Row],[Revenue ]]</f>
        <v>0.19871794871794871</v>
      </c>
      <c r="Q301" t="str">
        <f>"Q"&amp;ROUNDUP(MONTH(Clean_Data[[#This Row],[OrderDate]])/3,0)</f>
        <v>Q1</v>
      </c>
      <c r="R301" t="str">
        <f>TEXT(Clean_Data[[#This Row],[OrderDate]], "dddd")</f>
        <v>Friday</v>
      </c>
    </row>
    <row r="302" spans="1:18" x14ac:dyDescent="0.25">
      <c r="A302" t="s">
        <v>492</v>
      </c>
      <c r="B302" s="4">
        <v>311</v>
      </c>
      <c r="C302" s="4">
        <v>72</v>
      </c>
      <c r="D302" s="3">
        <v>2</v>
      </c>
      <c r="E302" t="s">
        <v>888</v>
      </c>
      <c r="F302" t="s">
        <v>891</v>
      </c>
      <c r="G302" t="s">
        <v>887</v>
      </c>
      <c r="H302" s="6">
        <f>_xlfn.XLOOKUP(A302,Orders[OrderID],Orders[OrderDate])</f>
        <v>43140</v>
      </c>
      <c r="I302" t="str">
        <f>_xlfn.XLOOKUP(A302,Orders[OrderID],Orders[CustomerName])</f>
        <v>Shubham</v>
      </c>
      <c r="J302" t="str">
        <f>_xlfn.XLOOKUP(A302,Orders[OrderID],Orders[State])</f>
        <v>Jammu and Kashmir</v>
      </c>
      <c r="K302" t="str">
        <f>_xlfn.XLOOKUP(A302,Orders[OrderID],Orders[City])</f>
        <v>Kashmir</v>
      </c>
      <c r="L302" s="3">
        <f>YEAR(Clean_Data[[#This Row],[OrderDate]])</f>
        <v>2018</v>
      </c>
      <c r="M302" s="3">
        <f>MONTH(Clean_Data[[#This Row],[OrderDate]])</f>
        <v>2</v>
      </c>
      <c r="N302" s="8" t="str">
        <f>TEXT(Clean_Data[[#This Row],[OrderDate]],"mmm")</f>
        <v>Feb</v>
      </c>
      <c r="O302" s="8" t="str">
        <f>TEXT(Clean_Data[[#This Row],[OrderDate]], "yyyy-mm")</f>
        <v>2018-02</v>
      </c>
      <c r="P302" s="7">
        <f>Clean_Data[[#This Row],[Profit]]/Clean_Data[[#This Row],[Revenue ]]</f>
        <v>0.23151125401929259</v>
      </c>
      <c r="Q302" t="str">
        <f>"Q"&amp;ROUNDUP(MONTH(Clean_Data[[#This Row],[OrderDate]])/3,0)</f>
        <v>Q1</v>
      </c>
      <c r="R302" t="str">
        <f>TEXT(Clean_Data[[#This Row],[OrderDate]], "dddd")</f>
        <v>Friday</v>
      </c>
    </row>
    <row r="303" spans="1:18" x14ac:dyDescent="0.25">
      <c r="A303" t="s">
        <v>877</v>
      </c>
      <c r="B303" s="4">
        <v>11</v>
      </c>
      <c r="C303" s="4">
        <v>5</v>
      </c>
      <c r="D303" s="3">
        <v>2</v>
      </c>
      <c r="E303" t="s">
        <v>895</v>
      </c>
      <c r="F303" t="s">
        <v>899</v>
      </c>
      <c r="G303" t="s">
        <v>898</v>
      </c>
      <c r="H303" s="6">
        <f>_xlfn.XLOOKUP(A303,Orders[OrderID],Orders[OrderDate])</f>
        <v>43185</v>
      </c>
      <c r="I303" t="str">
        <f>_xlfn.XLOOKUP(A303,Orders[OrderID],Orders[CustomerName])</f>
        <v>Bhavna</v>
      </c>
      <c r="J303" t="str">
        <f>_xlfn.XLOOKUP(A303,Orders[OrderID],Orders[State])</f>
        <v>Sikkim</v>
      </c>
      <c r="K303" t="str">
        <f>_xlfn.XLOOKUP(A303,Orders[OrderID],Orders[City])</f>
        <v>Gangtok</v>
      </c>
      <c r="L303" s="3">
        <f>YEAR(Clean_Data[[#This Row],[OrderDate]])</f>
        <v>2018</v>
      </c>
      <c r="M303" s="3">
        <f>MONTH(Clean_Data[[#This Row],[OrderDate]])</f>
        <v>3</v>
      </c>
      <c r="N303" s="8" t="str">
        <f>TEXT(Clean_Data[[#This Row],[OrderDate]],"mmm")</f>
        <v>Mar</v>
      </c>
      <c r="O303" s="8" t="str">
        <f>TEXT(Clean_Data[[#This Row],[OrderDate]], "yyyy-mm")</f>
        <v>2018-03</v>
      </c>
      <c r="P303" s="7">
        <f>Clean_Data[[#This Row],[Profit]]/Clean_Data[[#This Row],[Revenue ]]</f>
        <v>0.45454545454545453</v>
      </c>
      <c r="Q303" t="str">
        <f>"Q"&amp;ROUNDUP(MONTH(Clean_Data[[#This Row],[OrderDate]])/3,0)</f>
        <v>Q1</v>
      </c>
      <c r="R303" t="str">
        <f>TEXT(Clean_Data[[#This Row],[OrderDate]], "dddd")</f>
        <v>Monday</v>
      </c>
    </row>
    <row r="304" spans="1:18" x14ac:dyDescent="0.25">
      <c r="A304" t="s">
        <v>642</v>
      </c>
      <c r="B304" s="4">
        <v>37</v>
      </c>
      <c r="C304" s="4">
        <v>-5</v>
      </c>
      <c r="D304" s="3">
        <v>3</v>
      </c>
      <c r="E304" t="s">
        <v>895</v>
      </c>
      <c r="F304" t="s">
        <v>906</v>
      </c>
      <c r="G304" t="s">
        <v>907</v>
      </c>
      <c r="H304" s="6">
        <f>_xlfn.XLOOKUP(A304,Orders[OrderID],Orders[OrderDate])</f>
        <v>43248</v>
      </c>
      <c r="I304" t="str">
        <f>_xlfn.XLOOKUP(A304,Orders[OrderID],Orders[CustomerName])</f>
        <v>Arsheen</v>
      </c>
      <c r="J304" t="str">
        <f>_xlfn.XLOOKUP(A304,Orders[OrderID],Orders[State])</f>
        <v>Gujarat</v>
      </c>
      <c r="K304" t="str">
        <f>_xlfn.XLOOKUP(A304,Orders[OrderID],Orders[City])</f>
        <v>Ahmedabad</v>
      </c>
      <c r="L304" s="3">
        <f>YEAR(Clean_Data[[#This Row],[OrderDate]])</f>
        <v>2018</v>
      </c>
      <c r="M304" s="3">
        <f>MONTH(Clean_Data[[#This Row],[OrderDate]])</f>
        <v>5</v>
      </c>
      <c r="N304" s="8" t="str">
        <f>TEXT(Clean_Data[[#This Row],[OrderDate]],"mmm")</f>
        <v>May</v>
      </c>
      <c r="O304" s="8" t="str">
        <f>TEXT(Clean_Data[[#This Row],[OrderDate]], "yyyy-mm")</f>
        <v>2018-05</v>
      </c>
      <c r="P304" s="7">
        <f>Clean_Data[[#This Row],[Profit]]/Clean_Data[[#This Row],[Revenue ]]</f>
        <v>-0.13513513513513514</v>
      </c>
      <c r="Q304" t="str">
        <f>"Q"&amp;ROUNDUP(MONTH(Clean_Data[[#This Row],[OrderDate]])/3,0)</f>
        <v>Q2</v>
      </c>
      <c r="R304" t="str">
        <f>TEXT(Clean_Data[[#This Row],[OrderDate]], "dddd")</f>
        <v>Monday</v>
      </c>
    </row>
    <row r="305" spans="1:18" x14ac:dyDescent="0.25">
      <c r="A305" t="s">
        <v>263</v>
      </c>
      <c r="B305" s="4">
        <v>444</v>
      </c>
      <c r="C305" s="4">
        <v>-200</v>
      </c>
      <c r="D305" s="3">
        <v>4</v>
      </c>
      <c r="E305" t="s">
        <v>885</v>
      </c>
      <c r="F305" t="s">
        <v>894</v>
      </c>
      <c r="G305" t="s">
        <v>890</v>
      </c>
      <c r="H305" s="6">
        <f>_xlfn.XLOOKUP(A305,Orders[OrderID],Orders[OrderDate])</f>
        <v>43240</v>
      </c>
      <c r="I305" t="str">
        <f>_xlfn.XLOOKUP(A305,Orders[OrderID],Orders[CustomerName])</f>
        <v>Pratyusmita</v>
      </c>
      <c r="J305" t="str">
        <f>_xlfn.XLOOKUP(A305,Orders[OrderID],Orders[State])</f>
        <v>Bihar</v>
      </c>
      <c r="K305" t="str">
        <f>_xlfn.XLOOKUP(A305,Orders[OrderID],Orders[City])</f>
        <v>Patna</v>
      </c>
      <c r="L305" s="3">
        <f>YEAR(Clean_Data[[#This Row],[OrderDate]])</f>
        <v>2018</v>
      </c>
      <c r="M305" s="3">
        <f>MONTH(Clean_Data[[#This Row],[OrderDate]])</f>
        <v>5</v>
      </c>
      <c r="N305" s="8" t="str">
        <f>TEXT(Clean_Data[[#This Row],[OrderDate]],"mmm")</f>
        <v>May</v>
      </c>
      <c r="O305" s="8" t="str">
        <f>TEXT(Clean_Data[[#This Row],[OrderDate]], "yyyy-mm")</f>
        <v>2018-05</v>
      </c>
      <c r="P305" s="7">
        <f>Clean_Data[[#This Row],[Profit]]/Clean_Data[[#This Row],[Revenue ]]</f>
        <v>-0.45045045045045046</v>
      </c>
      <c r="Q305" t="str">
        <f>"Q"&amp;ROUNDUP(MONTH(Clean_Data[[#This Row],[OrderDate]])/3,0)</f>
        <v>Q2</v>
      </c>
      <c r="R305" t="str">
        <f>TEXT(Clean_Data[[#This Row],[OrderDate]], "dddd")</f>
        <v>Sunday</v>
      </c>
    </row>
    <row r="306" spans="1:18" x14ac:dyDescent="0.25">
      <c r="A306" t="s">
        <v>420</v>
      </c>
      <c r="B306" s="4">
        <v>434</v>
      </c>
      <c r="C306" s="4">
        <v>26</v>
      </c>
      <c r="D306" s="3">
        <v>11</v>
      </c>
      <c r="E306" t="s">
        <v>895</v>
      </c>
      <c r="F306" t="s">
        <v>909</v>
      </c>
      <c r="G306" t="s">
        <v>893</v>
      </c>
      <c r="H306" s="6">
        <f>_xlfn.XLOOKUP(A306,Orders[OrderID],Orders[OrderDate])</f>
        <v>43218</v>
      </c>
      <c r="I306" t="str">
        <f>_xlfn.XLOOKUP(A306,Orders[OrderID],Orders[CustomerName])</f>
        <v>Ajay</v>
      </c>
      <c r="J306" t="str">
        <f>_xlfn.XLOOKUP(A306,Orders[OrderID],Orders[State])</f>
        <v>Karnataka</v>
      </c>
      <c r="K306" t="str">
        <f>_xlfn.XLOOKUP(A306,Orders[OrderID],Orders[City])</f>
        <v>Bangalore</v>
      </c>
      <c r="L306" s="3">
        <f>YEAR(Clean_Data[[#This Row],[OrderDate]])</f>
        <v>2018</v>
      </c>
      <c r="M306" s="3">
        <f>MONTH(Clean_Data[[#This Row],[OrderDate]])</f>
        <v>4</v>
      </c>
      <c r="N306" s="8" t="str">
        <f>TEXT(Clean_Data[[#This Row],[OrderDate]],"mmm")</f>
        <v>Apr</v>
      </c>
      <c r="O306" s="8" t="str">
        <f>TEXT(Clean_Data[[#This Row],[OrderDate]], "yyyy-mm")</f>
        <v>2018-04</v>
      </c>
      <c r="P306" s="7">
        <f>Clean_Data[[#This Row],[Profit]]/Clean_Data[[#This Row],[Revenue ]]</f>
        <v>5.9907834101382486E-2</v>
      </c>
      <c r="Q306" t="str">
        <f>"Q"&amp;ROUNDUP(MONTH(Clean_Data[[#This Row],[OrderDate]])/3,0)</f>
        <v>Q2</v>
      </c>
      <c r="R306" t="str">
        <f>TEXT(Clean_Data[[#This Row],[OrderDate]], "dddd")</f>
        <v>Saturday</v>
      </c>
    </row>
    <row r="307" spans="1:18" x14ac:dyDescent="0.25">
      <c r="A307" t="s">
        <v>499</v>
      </c>
      <c r="B307" s="4">
        <v>299</v>
      </c>
      <c r="C307" s="4">
        <v>0</v>
      </c>
      <c r="D307" s="3">
        <v>6</v>
      </c>
      <c r="E307" t="s">
        <v>895</v>
      </c>
      <c r="F307" t="s">
        <v>903</v>
      </c>
      <c r="G307" t="s">
        <v>887</v>
      </c>
      <c r="H307" s="6">
        <f>_xlfn.XLOOKUP(A307,Orders[OrderID],Orders[OrderDate])</f>
        <v>43131</v>
      </c>
      <c r="I307" t="str">
        <f>_xlfn.XLOOKUP(A307,Orders[OrderID],Orders[CustomerName])</f>
        <v>Manjiri</v>
      </c>
      <c r="J307" t="str">
        <f>_xlfn.XLOOKUP(A307,Orders[OrderID],Orders[State])</f>
        <v>Delhi</v>
      </c>
      <c r="K307" t="str">
        <f>_xlfn.XLOOKUP(A307,Orders[OrderID],Orders[City])</f>
        <v>Delhi</v>
      </c>
      <c r="L307" s="3">
        <f>YEAR(Clean_Data[[#This Row],[OrderDate]])</f>
        <v>2018</v>
      </c>
      <c r="M307" s="3">
        <f>MONTH(Clean_Data[[#This Row],[OrderDate]])</f>
        <v>1</v>
      </c>
      <c r="N307" s="8" t="str">
        <f>TEXT(Clean_Data[[#This Row],[OrderDate]],"mmm")</f>
        <v>Jan</v>
      </c>
      <c r="O307" s="8" t="str">
        <f>TEXT(Clean_Data[[#This Row],[OrderDate]], "yyyy-mm")</f>
        <v>2018-01</v>
      </c>
      <c r="P307" s="7">
        <f>Clean_Data[[#This Row],[Profit]]/Clean_Data[[#This Row],[Revenue ]]</f>
        <v>0</v>
      </c>
      <c r="Q307" t="str">
        <f>"Q"&amp;ROUNDUP(MONTH(Clean_Data[[#This Row],[OrderDate]])/3,0)</f>
        <v>Q1</v>
      </c>
      <c r="R307" t="str">
        <f>TEXT(Clean_Data[[#This Row],[OrderDate]], "dddd")</f>
        <v>Wednesday</v>
      </c>
    </row>
    <row r="308" spans="1:18" x14ac:dyDescent="0.25">
      <c r="A308" t="s">
        <v>411</v>
      </c>
      <c r="B308" s="4">
        <v>37</v>
      </c>
      <c r="C308" s="4">
        <v>17</v>
      </c>
      <c r="D308" s="3">
        <v>3</v>
      </c>
      <c r="E308" t="s">
        <v>895</v>
      </c>
      <c r="F308" t="s">
        <v>899</v>
      </c>
      <c r="G308" t="s">
        <v>907</v>
      </c>
      <c r="H308" s="6">
        <f>_xlfn.XLOOKUP(A308,Orders[OrderID],Orders[OrderDate])</f>
        <v>43444</v>
      </c>
      <c r="I308" t="str">
        <f>_xlfn.XLOOKUP(A308,Orders[OrderID],Orders[CustomerName])</f>
        <v>Amlan</v>
      </c>
      <c r="J308" t="str">
        <f>_xlfn.XLOOKUP(A308,Orders[OrderID],Orders[State])</f>
        <v>Madhya Pradesh</v>
      </c>
      <c r="K308" t="str">
        <f>_xlfn.XLOOKUP(A308,Orders[OrderID],Orders[City])</f>
        <v>Indore</v>
      </c>
      <c r="L308" s="3">
        <f>YEAR(Clean_Data[[#This Row],[OrderDate]])</f>
        <v>2018</v>
      </c>
      <c r="M308" s="3">
        <f>MONTH(Clean_Data[[#This Row],[OrderDate]])</f>
        <v>12</v>
      </c>
      <c r="N308" s="8" t="str">
        <f>TEXT(Clean_Data[[#This Row],[OrderDate]],"mmm")</f>
        <v>Dec</v>
      </c>
      <c r="O308" s="8" t="str">
        <f>TEXT(Clean_Data[[#This Row],[OrderDate]], "yyyy-mm")</f>
        <v>2018-12</v>
      </c>
      <c r="P308" s="7">
        <f>Clean_Data[[#This Row],[Profit]]/Clean_Data[[#This Row],[Revenue ]]</f>
        <v>0.45945945945945948</v>
      </c>
      <c r="Q308" t="str">
        <f>"Q"&amp;ROUNDUP(MONTH(Clean_Data[[#This Row],[OrderDate]])/3,0)</f>
        <v>Q4</v>
      </c>
      <c r="R308" t="str">
        <f>TEXT(Clean_Data[[#This Row],[OrderDate]], "dddd")</f>
        <v>Monday</v>
      </c>
    </row>
    <row r="309" spans="1:18" x14ac:dyDescent="0.25">
      <c r="A309" t="s">
        <v>450</v>
      </c>
      <c r="B309" s="4">
        <v>299</v>
      </c>
      <c r="C309" s="4">
        <v>113</v>
      </c>
      <c r="D309" s="3">
        <v>2</v>
      </c>
      <c r="E309" t="s">
        <v>888</v>
      </c>
      <c r="F309" t="s">
        <v>891</v>
      </c>
      <c r="G309" t="s">
        <v>887</v>
      </c>
      <c r="H309" s="6">
        <f>_xlfn.XLOOKUP(A309,Orders[OrderID],Orders[OrderDate])</f>
        <v>43345</v>
      </c>
      <c r="I309" t="str">
        <f>_xlfn.XLOOKUP(A309,Orders[OrderID],Orders[CustomerName])</f>
        <v>Sakshi</v>
      </c>
      <c r="J309" t="str">
        <f>_xlfn.XLOOKUP(A309,Orders[OrderID],Orders[State])</f>
        <v>Madhya Pradesh</v>
      </c>
      <c r="K309" t="str">
        <f>_xlfn.XLOOKUP(A309,Orders[OrderID],Orders[City])</f>
        <v>Indore</v>
      </c>
      <c r="L309" s="3">
        <f>YEAR(Clean_Data[[#This Row],[OrderDate]])</f>
        <v>2018</v>
      </c>
      <c r="M309" s="3">
        <f>MONTH(Clean_Data[[#This Row],[OrderDate]])</f>
        <v>9</v>
      </c>
      <c r="N309" s="8" t="str">
        <f>TEXT(Clean_Data[[#This Row],[OrderDate]],"mmm")</f>
        <v>Sep</v>
      </c>
      <c r="O309" s="8" t="str">
        <f>TEXT(Clean_Data[[#This Row],[OrderDate]], "yyyy-mm")</f>
        <v>2018-09</v>
      </c>
      <c r="P309" s="7">
        <f>Clean_Data[[#This Row],[Profit]]/Clean_Data[[#This Row],[Revenue ]]</f>
        <v>0.3779264214046823</v>
      </c>
      <c r="Q309" t="str">
        <f>"Q"&amp;ROUNDUP(MONTH(Clean_Data[[#This Row],[OrderDate]])/3,0)</f>
        <v>Q3</v>
      </c>
      <c r="R309" t="str">
        <f>TEXT(Clean_Data[[#This Row],[OrderDate]], "dddd")</f>
        <v>Sunday</v>
      </c>
    </row>
    <row r="310" spans="1:18" x14ac:dyDescent="0.25">
      <c r="A310" t="s">
        <v>501</v>
      </c>
      <c r="B310" s="4">
        <v>298</v>
      </c>
      <c r="C310" s="4">
        <v>74</v>
      </c>
      <c r="D310" s="3">
        <v>2</v>
      </c>
      <c r="E310" t="s">
        <v>888</v>
      </c>
      <c r="F310" t="s">
        <v>891</v>
      </c>
      <c r="G310" t="s">
        <v>887</v>
      </c>
      <c r="H310" s="6">
        <f>_xlfn.XLOOKUP(A310,Orders[OrderID],Orders[OrderDate])</f>
        <v>43404</v>
      </c>
      <c r="I310" t="str">
        <f>_xlfn.XLOOKUP(A310,Orders[OrderID],Orders[CustomerName])</f>
        <v>Sneha</v>
      </c>
      <c r="J310" t="str">
        <f>_xlfn.XLOOKUP(A310,Orders[OrderID],Orders[State])</f>
        <v>Karnataka</v>
      </c>
      <c r="K310" t="str">
        <f>_xlfn.XLOOKUP(A310,Orders[OrderID],Orders[City])</f>
        <v>Bangalore</v>
      </c>
      <c r="L310" s="3">
        <f>YEAR(Clean_Data[[#This Row],[OrderDate]])</f>
        <v>2018</v>
      </c>
      <c r="M310" s="3">
        <f>MONTH(Clean_Data[[#This Row],[OrderDate]])</f>
        <v>10</v>
      </c>
      <c r="N310" s="8" t="str">
        <f>TEXT(Clean_Data[[#This Row],[OrderDate]],"mmm")</f>
        <v>Oct</v>
      </c>
      <c r="O310" s="8" t="str">
        <f>TEXT(Clean_Data[[#This Row],[OrderDate]], "yyyy-mm")</f>
        <v>2018-10</v>
      </c>
      <c r="P310" s="7">
        <f>Clean_Data[[#This Row],[Profit]]/Clean_Data[[#This Row],[Revenue ]]</f>
        <v>0.24832214765100671</v>
      </c>
      <c r="Q310" t="str">
        <f>"Q"&amp;ROUNDUP(MONTH(Clean_Data[[#This Row],[OrderDate]])/3,0)</f>
        <v>Q4</v>
      </c>
      <c r="R310" t="str">
        <f>TEXT(Clean_Data[[#This Row],[OrderDate]], "dddd")</f>
        <v>Wednesday</v>
      </c>
    </row>
    <row r="311" spans="1:18" x14ac:dyDescent="0.25">
      <c r="A311" t="s">
        <v>726</v>
      </c>
      <c r="B311" s="4">
        <v>94</v>
      </c>
      <c r="C311" s="4">
        <v>7</v>
      </c>
      <c r="D311" s="3">
        <v>7</v>
      </c>
      <c r="E311" t="s">
        <v>895</v>
      </c>
      <c r="F311" t="s">
        <v>904</v>
      </c>
      <c r="G311" t="s">
        <v>898</v>
      </c>
      <c r="H311" s="6">
        <f>_xlfn.XLOOKUP(A311,Orders[OrderID],Orders[OrderDate])</f>
        <v>43407</v>
      </c>
      <c r="I311" t="str">
        <f>_xlfn.XLOOKUP(A311,Orders[OrderID],Orders[CustomerName])</f>
        <v>Soodesh</v>
      </c>
      <c r="J311" t="str">
        <f>_xlfn.XLOOKUP(A311,Orders[OrderID],Orders[State])</f>
        <v>Punjab</v>
      </c>
      <c r="K311" t="str">
        <f>_xlfn.XLOOKUP(A311,Orders[OrderID],Orders[City])</f>
        <v>Chandigarh</v>
      </c>
      <c r="L311" s="3">
        <f>YEAR(Clean_Data[[#This Row],[OrderDate]])</f>
        <v>2018</v>
      </c>
      <c r="M311" s="3">
        <f>MONTH(Clean_Data[[#This Row],[OrderDate]])</f>
        <v>11</v>
      </c>
      <c r="N311" s="8" t="str">
        <f>TEXT(Clean_Data[[#This Row],[OrderDate]],"mmm")</f>
        <v>Nov</v>
      </c>
      <c r="O311" s="8" t="str">
        <f>TEXT(Clean_Data[[#This Row],[OrderDate]], "yyyy-mm")</f>
        <v>2018-11</v>
      </c>
      <c r="P311" s="7">
        <f>Clean_Data[[#This Row],[Profit]]/Clean_Data[[#This Row],[Revenue ]]</f>
        <v>7.4468085106382975E-2</v>
      </c>
      <c r="Q311" t="str">
        <f>"Q"&amp;ROUNDUP(MONTH(Clean_Data[[#This Row],[OrderDate]])/3,0)</f>
        <v>Q4</v>
      </c>
      <c r="R311" t="str">
        <f>TEXT(Clean_Data[[#This Row],[OrderDate]], "dddd")</f>
        <v>Saturday</v>
      </c>
    </row>
    <row r="312" spans="1:18" x14ac:dyDescent="0.25">
      <c r="A312" t="s">
        <v>315</v>
      </c>
      <c r="B312" s="4">
        <v>296</v>
      </c>
      <c r="C312" s="4">
        <v>225</v>
      </c>
      <c r="D312" s="3">
        <v>11</v>
      </c>
      <c r="E312" t="s">
        <v>895</v>
      </c>
      <c r="F312" t="s">
        <v>897</v>
      </c>
      <c r="G312" t="s">
        <v>887</v>
      </c>
      <c r="H312" s="6">
        <f>_xlfn.XLOOKUP(A312,Orders[OrderID],Orders[OrderDate])</f>
        <v>43321</v>
      </c>
      <c r="I312" t="str">
        <f>_xlfn.XLOOKUP(A312,Orders[OrderID],Orders[CustomerName])</f>
        <v>Kartik</v>
      </c>
      <c r="J312" t="str">
        <f>_xlfn.XLOOKUP(A312,Orders[OrderID],Orders[State])</f>
        <v>Gujarat</v>
      </c>
      <c r="K312" t="str">
        <f>_xlfn.XLOOKUP(A312,Orders[OrderID],Orders[City])</f>
        <v>Ahmedabad</v>
      </c>
      <c r="L312" s="3">
        <f>YEAR(Clean_Data[[#This Row],[OrderDate]])</f>
        <v>2018</v>
      </c>
      <c r="M312" s="3">
        <f>MONTH(Clean_Data[[#This Row],[OrderDate]])</f>
        <v>8</v>
      </c>
      <c r="N312" s="8" t="str">
        <f>TEXT(Clean_Data[[#This Row],[OrderDate]],"mmm")</f>
        <v>Aug</v>
      </c>
      <c r="O312" s="8" t="str">
        <f>TEXT(Clean_Data[[#This Row],[OrderDate]], "yyyy-mm")</f>
        <v>2018-08</v>
      </c>
      <c r="P312" s="7">
        <f>Clean_Data[[#This Row],[Profit]]/Clean_Data[[#This Row],[Revenue ]]</f>
        <v>0.76013513513513509</v>
      </c>
      <c r="Q312" t="str">
        <f>"Q"&amp;ROUNDUP(MONTH(Clean_Data[[#This Row],[OrderDate]])/3,0)</f>
        <v>Q3</v>
      </c>
      <c r="R312" t="str">
        <f>TEXT(Clean_Data[[#This Row],[OrderDate]], "dddd")</f>
        <v>Thursday</v>
      </c>
    </row>
    <row r="313" spans="1:18" x14ac:dyDescent="0.25">
      <c r="A313" t="s">
        <v>112</v>
      </c>
      <c r="B313" s="4">
        <v>37</v>
      </c>
      <c r="C313" s="4">
        <v>17</v>
      </c>
      <c r="D313" s="3">
        <v>3</v>
      </c>
      <c r="E313" t="s">
        <v>895</v>
      </c>
      <c r="F313" t="s">
        <v>899</v>
      </c>
      <c r="G313" t="s">
        <v>907</v>
      </c>
      <c r="H313" s="6">
        <f>_xlfn.XLOOKUP(A313,Orders[OrderID],Orders[OrderDate])</f>
        <v>43180</v>
      </c>
      <c r="I313" t="str">
        <f>_xlfn.XLOOKUP(A313,Orders[OrderID],Orders[CustomerName])</f>
        <v>Pournamasi</v>
      </c>
      <c r="J313" t="str">
        <f>_xlfn.XLOOKUP(A313,Orders[OrderID],Orders[State])</f>
        <v>Madhya Pradesh</v>
      </c>
      <c r="K313" t="str">
        <f>_xlfn.XLOOKUP(A313,Orders[OrderID],Orders[City])</f>
        <v>Indore</v>
      </c>
      <c r="L313" s="3">
        <f>YEAR(Clean_Data[[#This Row],[OrderDate]])</f>
        <v>2018</v>
      </c>
      <c r="M313" s="3">
        <f>MONTH(Clean_Data[[#This Row],[OrderDate]])</f>
        <v>3</v>
      </c>
      <c r="N313" s="8" t="str">
        <f>TEXT(Clean_Data[[#This Row],[OrderDate]],"mmm")</f>
        <v>Mar</v>
      </c>
      <c r="O313" s="8" t="str">
        <f>TEXT(Clean_Data[[#This Row],[OrderDate]], "yyyy-mm")</f>
        <v>2018-03</v>
      </c>
      <c r="P313" s="7">
        <f>Clean_Data[[#This Row],[Profit]]/Clean_Data[[#This Row],[Revenue ]]</f>
        <v>0.45945945945945948</v>
      </c>
      <c r="Q313" t="str">
        <f>"Q"&amp;ROUNDUP(MONTH(Clean_Data[[#This Row],[OrderDate]])/3,0)</f>
        <v>Q1</v>
      </c>
      <c r="R313" t="str">
        <f>TEXT(Clean_Data[[#This Row],[OrderDate]], "dddd")</f>
        <v>Wednesday</v>
      </c>
    </row>
    <row r="314" spans="1:18" x14ac:dyDescent="0.25">
      <c r="A314" t="s">
        <v>504</v>
      </c>
      <c r="B314" s="4">
        <v>291</v>
      </c>
      <c r="C314" s="4">
        <v>93</v>
      </c>
      <c r="D314" s="3">
        <v>2</v>
      </c>
      <c r="E314" t="s">
        <v>885</v>
      </c>
      <c r="F314" t="s">
        <v>892</v>
      </c>
      <c r="G314" t="s">
        <v>887</v>
      </c>
      <c r="H314" s="6">
        <f>_xlfn.XLOOKUP(A314,Orders[OrderID],Orders[OrderDate])</f>
        <v>43152</v>
      </c>
      <c r="I314" t="str">
        <f>_xlfn.XLOOKUP(A314,Orders[OrderID],Orders[CustomerName])</f>
        <v>Sarita</v>
      </c>
      <c r="J314" t="str">
        <f>_xlfn.XLOOKUP(A314,Orders[OrderID],Orders[State])</f>
        <v>Maharashtra</v>
      </c>
      <c r="K314" t="str">
        <f>_xlfn.XLOOKUP(A314,Orders[OrderID],Orders[City])</f>
        <v>Pune</v>
      </c>
      <c r="L314" s="3">
        <f>YEAR(Clean_Data[[#This Row],[OrderDate]])</f>
        <v>2018</v>
      </c>
      <c r="M314" s="3">
        <f>MONTH(Clean_Data[[#This Row],[OrderDate]])</f>
        <v>2</v>
      </c>
      <c r="N314" s="8" t="str">
        <f>TEXT(Clean_Data[[#This Row],[OrderDate]],"mmm")</f>
        <v>Feb</v>
      </c>
      <c r="O314" s="8" t="str">
        <f>TEXT(Clean_Data[[#This Row],[OrderDate]], "yyyy-mm")</f>
        <v>2018-02</v>
      </c>
      <c r="P314" s="7">
        <f>Clean_Data[[#This Row],[Profit]]/Clean_Data[[#This Row],[Revenue ]]</f>
        <v>0.31958762886597936</v>
      </c>
      <c r="Q314" t="str">
        <f>"Q"&amp;ROUNDUP(MONTH(Clean_Data[[#This Row],[OrderDate]])/3,0)</f>
        <v>Q1</v>
      </c>
      <c r="R314" t="str">
        <f>TEXT(Clean_Data[[#This Row],[OrderDate]], "dddd")</f>
        <v>Wednesday</v>
      </c>
    </row>
    <row r="315" spans="1:18" x14ac:dyDescent="0.25">
      <c r="A315" t="s">
        <v>478</v>
      </c>
      <c r="B315" s="4">
        <v>327</v>
      </c>
      <c r="C315" s="4">
        <v>-39</v>
      </c>
      <c r="D315" s="3">
        <v>1</v>
      </c>
      <c r="E315" t="s">
        <v>885</v>
      </c>
      <c r="F315" t="s">
        <v>894</v>
      </c>
      <c r="G315" t="s">
        <v>887</v>
      </c>
      <c r="H315" s="6">
        <f>_xlfn.XLOOKUP(A315,Orders[OrderID],Orders[OrderDate])</f>
        <v>43254</v>
      </c>
      <c r="I315" t="str">
        <f>_xlfn.XLOOKUP(A315,Orders[OrderID],Orders[CustomerName])</f>
        <v>Bathina</v>
      </c>
      <c r="J315" t="str">
        <f>_xlfn.XLOOKUP(A315,Orders[OrderID],Orders[State])</f>
        <v>Karnataka</v>
      </c>
      <c r="K315" t="str">
        <f>_xlfn.XLOOKUP(A315,Orders[OrderID],Orders[City])</f>
        <v>Bangalore</v>
      </c>
      <c r="L315" s="3">
        <f>YEAR(Clean_Data[[#This Row],[OrderDate]])</f>
        <v>2018</v>
      </c>
      <c r="M315" s="3">
        <f>MONTH(Clean_Data[[#This Row],[OrderDate]])</f>
        <v>6</v>
      </c>
      <c r="N315" s="8" t="str">
        <f>TEXT(Clean_Data[[#This Row],[OrderDate]],"mmm")</f>
        <v>Jun</v>
      </c>
      <c r="O315" s="8" t="str">
        <f>TEXT(Clean_Data[[#This Row],[OrderDate]], "yyyy-mm")</f>
        <v>2018-06</v>
      </c>
      <c r="P315" s="7">
        <f>Clean_Data[[#This Row],[Profit]]/Clean_Data[[#This Row],[Revenue ]]</f>
        <v>-0.11926605504587157</v>
      </c>
      <c r="Q315" t="str">
        <f>"Q"&amp;ROUNDUP(MONTH(Clean_Data[[#This Row],[OrderDate]])/3,0)</f>
        <v>Q2</v>
      </c>
      <c r="R315" t="str">
        <f>TEXT(Clean_Data[[#This Row],[OrderDate]], "dddd")</f>
        <v>Sunday</v>
      </c>
    </row>
    <row r="316" spans="1:18" x14ac:dyDescent="0.25">
      <c r="A316" t="s">
        <v>378</v>
      </c>
      <c r="B316" s="4">
        <v>291</v>
      </c>
      <c r="C316" s="4">
        <v>119</v>
      </c>
      <c r="D316" s="3">
        <v>11</v>
      </c>
      <c r="E316" t="s">
        <v>895</v>
      </c>
      <c r="F316" t="s">
        <v>897</v>
      </c>
      <c r="G316" t="s">
        <v>887</v>
      </c>
      <c r="H316" s="6">
        <f>_xlfn.XLOOKUP(A316,Orders[OrderID],Orders[OrderDate])</f>
        <v>43154</v>
      </c>
      <c r="I316" t="str">
        <f>_xlfn.XLOOKUP(A316,Orders[OrderID],Orders[CustomerName])</f>
        <v>Pinky</v>
      </c>
      <c r="J316" t="str">
        <f>_xlfn.XLOOKUP(A316,Orders[OrderID],Orders[State])</f>
        <v>Jammu and Kashmir</v>
      </c>
      <c r="K316" t="str">
        <f>_xlfn.XLOOKUP(A316,Orders[OrderID],Orders[City])</f>
        <v>Kashmir</v>
      </c>
      <c r="L316" s="3">
        <f>YEAR(Clean_Data[[#This Row],[OrderDate]])</f>
        <v>2018</v>
      </c>
      <c r="M316" s="3">
        <f>MONTH(Clean_Data[[#This Row],[OrderDate]])</f>
        <v>2</v>
      </c>
      <c r="N316" s="8" t="str">
        <f>TEXT(Clean_Data[[#This Row],[OrderDate]],"mmm")</f>
        <v>Feb</v>
      </c>
      <c r="O316" s="8" t="str">
        <f>TEXT(Clean_Data[[#This Row],[OrderDate]], "yyyy-mm")</f>
        <v>2018-02</v>
      </c>
      <c r="P316" s="7">
        <f>Clean_Data[[#This Row],[Profit]]/Clean_Data[[#This Row],[Revenue ]]</f>
        <v>0.40893470790378006</v>
      </c>
      <c r="Q316" t="str">
        <f>"Q"&amp;ROUNDUP(MONTH(Clean_Data[[#This Row],[OrderDate]])/3,0)</f>
        <v>Q1</v>
      </c>
      <c r="R316" t="str">
        <f>TEXT(Clean_Data[[#This Row],[OrderDate]], "dddd")</f>
        <v>Friday</v>
      </c>
    </row>
    <row r="317" spans="1:18" x14ac:dyDescent="0.25">
      <c r="A317" t="s">
        <v>507</v>
      </c>
      <c r="B317" s="4">
        <v>287</v>
      </c>
      <c r="C317" s="4">
        <v>-66</v>
      </c>
      <c r="D317" s="3">
        <v>6</v>
      </c>
      <c r="E317" t="s">
        <v>895</v>
      </c>
      <c r="F317" t="s">
        <v>900</v>
      </c>
      <c r="G317" t="s">
        <v>887</v>
      </c>
      <c r="H317" s="6">
        <f>_xlfn.XLOOKUP(A317,Orders[OrderID],Orders[OrderDate])</f>
        <v>43439</v>
      </c>
      <c r="I317" t="str">
        <f>_xlfn.XLOOKUP(A317,Orders[OrderID],Orders[CustomerName])</f>
        <v>Aman</v>
      </c>
      <c r="J317" t="str">
        <f>_xlfn.XLOOKUP(A317,Orders[OrderID],Orders[State])</f>
        <v>Maharashtra</v>
      </c>
      <c r="K317" t="str">
        <f>_xlfn.XLOOKUP(A317,Orders[OrderID],Orders[City])</f>
        <v>Mumbai</v>
      </c>
      <c r="L317" s="3">
        <f>YEAR(Clean_Data[[#This Row],[OrderDate]])</f>
        <v>2018</v>
      </c>
      <c r="M317" s="3">
        <f>MONTH(Clean_Data[[#This Row],[OrderDate]])</f>
        <v>12</v>
      </c>
      <c r="N317" s="8" t="str">
        <f>TEXT(Clean_Data[[#This Row],[OrderDate]],"mmm")</f>
        <v>Dec</v>
      </c>
      <c r="O317" s="8" t="str">
        <f>TEXT(Clean_Data[[#This Row],[OrderDate]], "yyyy-mm")</f>
        <v>2018-12</v>
      </c>
      <c r="P317" s="7">
        <f>Clean_Data[[#This Row],[Profit]]/Clean_Data[[#This Row],[Revenue ]]</f>
        <v>-0.22996515679442509</v>
      </c>
      <c r="Q317" t="str">
        <f>"Q"&amp;ROUNDUP(MONTH(Clean_Data[[#This Row],[OrderDate]])/3,0)</f>
        <v>Q4</v>
      </c>
      <c r="R317" t="str">
        <f>TEXT(Clean_Data[[#This Row],[OrderDate]], "dddd")</f>
        <v>Wednesday</v>
      </c>
    </row>
    <row r="318" spans="1:18" x14ac:dyDescent="0.25">
      <c r="A318" t="s">
        <v>467</v>
      </c>
      <c r="B318" s="4">
        <v>42</v>
      </c>
      <c r="C318" s="4">
        <v>15</v>
      </c>
      <c r="D318" s="3">
        <v>1</v>
      </c>
      <c r="E318" t="s">
        <v>885</v>
      </c>
      <c r="F318" t="s">
        <v>905</v>
      </c>
      <c r="G318" t="s">
        <v>898</v>
      </c>
      <c r="H318" s="6">
        <f>_xlfn.XLOOKUP(A318,Orders[OrderID],Orders[OrderDate])</f>
        <v>43132</v>
      </c>
      <c r="I318" t="str">
        <f>_xlfn.XLOOKUP(A318,Orders[OrderID],Orders[CustomerName])</f>
        <v>Anjali</v>
      </c>
      <c r="J318" t="str">
        <f>_xlfn.XLOOKUP(A318,Orders[OrderID],Orders[State])</f>
        <v>Delhi</v>
      </c>
      <c r="K318" t="str">
        <f>_xlfn.XLOOKUP(A318,Orders[OrderID],Orders[City])</f>
        <v>Delhi</v>
      </c>
      <c r="L318" s="3">
        <f>YEAR(Clean_Data[[#This Row],[OrderDate]])</f>
        <v>2018</v>
      </c>
      <c r="M318" s="3">
        <f>MONTH(Clean_Data[[#This Row],[OrderDate]])</f>
        <v>2</v>
      </c>
      <c r="N318" s="8" t="str">
        <f>TEXT(Clean_Data[[#This Row],[OrderDate]],"mmm")</f>
        <v>Feb</v>
      </c>
      <c r="O318" s="8" t="str">
        <f>TEXT(Clean_Data[[#This Row],[OrderDate]], "yyyy-mm")</f>
        <v>2018-02</v>
      </c>
      <c r="P318" s="7">
        <f>Clean_Data[[#This Row],[Profit]]/Clean_Data[[#This Row],[Revenue ]]</f>
        <v>0.35714285714285715</v>
      </c>
      <c r="Q318" t="str">
        <f>"Q"&amp;ROUNDUP(MONTH(Clean_Data[[#This Row],[OrderDate]])/3,0)</f>
        <v>Q1</v>
      </c>
      <c r="R318" t="str">
        <f>TEXT(Clean_Data[[#This Row],[OrderDate]], "dddd")</f>
        <v>Thursday</v>
      </c>
    </row>
    <row r="319" spans="1:18" x14ac:dyDescent="0.25">
      <c r="A319" t="s">
        <v>422</v>
      </c>
      <c r="B319" s="4">
        <v>429</v>
      </c>
      <c r="C319" s="4">
        <v>61</v>
      </c>
      <c r="D319" s="3">
        <v>3</v>
      </c>
      <c r="E319" t="s">
        <v>885</v>
      </c>
      <c r="F319" t="s">
        <v>886</v>
      </c>
      <c r="G319" t="s">
        <v>893</v>
      </c>
      <c r="H319" s="6">
        <f>_xlfn.XLOOKUP(A319,Orders[OrderID],Orders[OrderDate])</f>
        <v>43145</v>
      </c>
      <c r="I319" t="str">
        <f>_xlfn.XLOOKUP(A319,Orders[OrderID],Orders[CustomerName])</f>
        <v>Hazel</v>
      </c>
      <c r="J319" t="str">
        <f>_xlfn.XLOOKUP(A319,Orders[OrderID],Orders[State])</f>
        <v>Karnataka</v>
      </c>
      <c r="K319" t="str">
        <f>_xlfn.XLOOKUP(A319,Orders[OrderID],Orders[City])</f>
        <v>Bangalore</v>
      </c>
      <c r="L319" s="3">
        <f>YEAR(Clean_Data[[#This Row],[OrderDate]])</f>
        <v>2018</v>
      </c>
      <c r="M319" s="3">
        <f>MONTH(Clean_Data[[#This Row],[OrderDate]])</f>
        <v>2</v>
      </c>
      <c r="N319" s="8" t="str">
        <f>TEXT(Clean_Data[[#This Row],[OrderDate]],"mmm")</f>
        <v>Feb</v>
      </c>
      <c r="O319" s="8" t="str">
        <f>TEXT(Clean_Data[[#This Row],[OrderDate]], "yyyy-mm")</f>
        <v>2018-02</v>
      </c>
      <c r="P319" s="7">
        <f>Clean_Data[[#This Row],[Profit]]/Clean_Data[[#This Row],[Revenue ]]</f>
        <v>0.14219114219114218</v>
      </c>
      <c r="Q319" t="str">
        <f>"Q"&amp;ROUNDUP(MONTH(Clean_Data[[#This Row],[OrderDate]])/3,0)</f>
        <v>Q1</v>
      </c>
      <c r="R319" t="str">
        <f>TEXT(Clean_Data[[#This Row],[OrderDate]], "dddd")</f>
        <v>Wednesday</v>
      </c>
    </row>
    <row r="320" spans="1:18" x14ac:dyDescent="0.25">
      <c r="A320" t="s">
        <v>508</v>
      </c>
      <c r="B320" s="4">
        <v>285</v>
      </c>
      <c r="C320" s="4">
        <v>128</v>
      </c>
      <c r="D320" s="3">
        <v>2</v>
      </c>
      <c r="E320" t="s">
        <v>885</v>
      </c>
      <c r="F320" t="s">
        <v>892</v>
      </c>
      <c r="G320" t="s">
        <v>887</v>
      </c>
      <c r="H320" s="6">
        <f>_xlfn.XLOOKUP(A320,Orders[OrderID],Orders[OrderDate])</f>
        <v>43141</v>
      </c>
      <c r="I320" t="str">
        <f>_xlfn.XLOOKUP(A320,Orders[OrderID],Orders[CustomerName])</f>
        <v>Komal</v>
      </c>
      <c r="J320" t="str">
        <f>_xlfn.XLOOKUP(A320,Orders[OrderID],Orders[State])</f>
        <v>Uttar Pradesh</v>
      </c>
      <c r="K320" t="str">
        <f>_xlfn.XLOOKUP(A320,Orders[OrderID],Orders[City])</f>
        <v>Lucknow</v>
      </c>
      <c r="L320" s="3">
        <f>YEAR(Clean_Data[[#This Row],[OrderDate]])</f>
        <v>2018</v>
      </c>
      <c r="M320" s="3">
        <f>MONTH(Clean_Data[[#This Row],[OrderDate]])</f>
        <v>2</v>
      </c>
      <c r="N320" s="8" t="str">
        <f>TEXT(Clean_Data[[#This Row],[OrderDate]],"mmm")</f>
        <v>Feb</v>
      </c>
      <c r="O320" s="8" t="str">
        <f>TEXT(Clean_Data[[#This Row],[OrderDate]], "yyyy-mm")</f>
        <v>2018-02</v>
      </c>
      <c r="P320" s="7">
        <f>Clean_Data[[#This Row],[Profit]]/Clean_Data[[#This Row],[Revenue ]]</f>
        <v>0.44912280701754387</v>
      </c>
      <c r="Q320" t="str">
        <f>"Q"&amp;ROUNDUP(MONTH(Clean_Data[[#This Row],[OrderDate]])/3,0)</f>
        <v>Q1</v>
      </c>
      <c r="R320" t="str">
        <f>TEXT(Clean_Data[[#This Row],[OrderDate]], "dddd")</f>
        <v>Saturday</v>
      </c>
    </row>
    <row r="321" spans="1:18" x14ac:dyDescent="0.25">
      <c r="A321" t="s">
        <v>512</v>
      </c>
      <c r="B321" s="4">
        <v>277</v>
      </c>
      <c r="C321" s="4">
        <v>3</v>
      </c>
      <c r="D321" s="3">
        <v>1</v>
      </c>
      <c r="E321" t="s">
        <v>885</v>
      </c>
      <c r="F321" t="s">
        <v>886</v>
      </c>
      <c r="G321" t="s">
        <v>887</v>
      </c>
      <c r="H321" s="6">
        <f>_xlfn.XLOOKUP(A321,Orders[OrderID],Orders[OrderDate])</f>
        <v>43453</v>
      </c>
      <c r="I321" t="str">
        <f>_xlfn.XLOOKUP(A321,Orders[OrderID],Orders[CustomerName])</f>
        <v>Sukruta</v>
      </c>
      <c r="J321" t="str">
        <f>_xlfn.XLOOKUP(A321,Orders[OrderID],Orders[State])</f>
        <v>Punjab</v>
      </c>
      <c r="K321" t="str">
        <f>_xlfn.XLOOKUP(A321,Orders[OrderID],Orders[City])</f>
        <v>Amritsar</v>
      </c>
      <c r="L321" s="3">
        <f>YEAR(Clean_Data[[#This Row],[OrderDate]])</f>
        <v>2018</v>
      </c>
      <c r="M321" s="3">
        <f>MONTH(Clean_Data[[#This Row],[OrderDate]])</f>
        <v>12</v>
      </c>
      <c r="N321" s="8" t="str">
        <f>TEXT(Clean_Data[[#This Row],[OrderDate]],"mmm")</f>
        <v>Dec</v>
      </c>
      <c r="O321" s="8" t="str">
        <f>TEXT(Clean_Data[[#This Row],[OrderDate]], "yyyy-mm")</f>
        <v>2018-12</v>
      </c>
      <c r="P321" s="7">
        <f>Clean_Data[[#This Row],[Profit]]/Clean_Data[[#This Row],[Revenue ]]</f>
        <v>1.0830324909747292E-2</v>
      </c>
      <c r="Q321" t="str">
        <f>"Q"&amp;ROUNDUP(MONTH(Clean_Data[[#This Row],[OrderDate]])/3,0)</f>
        <v>Q4</v>
      </c>
      <c r="R321" t="str">
        <f>TEXT(Clean_Data[[#This Row],[OrderDate]], "dddd")</f>
        <v>Wednesday</v>
      </c>
    </row>
    <row r="322" spans="1:18" x14ac:dyDescent="0.25">
      <c r="A322" t="s">
        <v>280</v>
      </c>
      <c r="B322" s="4">
        <v>274</v>
      </c>
      <c r="C322" s="4">
        <v>-7</v>
      </c>
      <c r="D322" s="3">
        <v>4</v>
      </c>
      <c r="E322" t="s">
        <v>885</v>
      </c>
      <c r="F322" t="s">
        <v>894</v>
      </c>
      <c r="G322" t="s">
        <v>887</v>
      </c>
      <c r="H322" s="6">
        <f>_xlfn.XLOOKUP(A322,Orders[OrderID],Orders[OrderDate])</f>
        <v>43407</v>
      </c>
      <c r="I322" t="str">
        <f>_xlfn.XLOOKUP(A322,Orders[OrderID],Orders[CustomerName])</f>
        <v>Snel</v>
      </c>
      <c r="J322" t="str">
        <f>_xlfn.XLOOKUP(A322,Orders[OrderID],Orders[State])</f>
        <v xml:space="preserve">Kerala </v>
      </c>
      <c r="K322" t="str">
        <f>_xlfn.XLOOKUP(A322,Orders[OrderID],Orders[City])</f>
        <v>Thiruvananthapuram</v>
      </c>
      <c r="L322" s="3">
        <f>YEAR(Clean_Data[[#This Row],[OrderDate]])</f>
        <v>2018</v>
      </c>
      <c r="M322" s="3">
        <f>MONTH(Clean_Data[[#This Row],[OrderDate]])</f>
        <v>11</v>
      </c>
      <c r="N322" s="8" t="str">
        <f>TEXT(Clean_Data[[#This Row],[OrderDate]],"mmm")</f>
        <v>Nov</v>
      </c>
      <c r="O322" s="8" t="str">
        <f>TEXT(Clean_Data[[#This Row],[OrderDate]], "yyyy-mm")</f>
        <v>2018-11</v>
      </c>
      <c r="P322" s="7">
        <f>Clean_Data[[#This Row],[Profit]]/Clean_Data[[#This Row],[Revenue ]]</f>
        <v>-2.5547445255474453E-2</v>
      </c>
      <c r="Q322" t="str">
        <f>"Q"&amp;ROUNDUP(MONTH(Clean_Data[[#This Row],[OrderDate]])/3,0)</f>
        <v>Q4</v>
      </c>
      <c r="R322" t="str">
        <f>TEXT(Clean_Data[[#This Row],[OrderDate]], "dddd")</f>
        <v>Saturday</v>
      </c>
    </row>
    <row r="323" spans="1:18" x14ac:dyDescent="0.25">
      <c r="A323" t="s">
        <v>517</v>
      </c>
      <c r="B323" s="4">
        <v>273</v>
      </c>
      <c r="C323" s="4">
        <v>-87</v>
      </c>
      <c r="D323" s="3">
        <v>4</v>
      </c>
      <c r="E323" t="s">
        <v>885</v>
      </c>
      <c r="F323" t="s">
        <v>894</v>
      </c>
      <c r="G323" t="s">
        <v>887</v>
      </c>
      <c r="H323" s="6">
        <f>_xlfn.XLOOKUP(A323,Orders[OrderID],Orders[OrderDate])</f>
        <v>43221</v>
      </c>
      <c r="I323" t="str">
        <f>_xlfn.XLOOKUP(A323,Orders[OrderID],Orders[CustomerName])</f>
        <v>Yaanvi</v>
      </c>
      <c r="J323" t="str">
        <f>_xlfn.XLOOKUP(A323,Orders[OrderID],Orders[State])</f>
        <v>Madhya Pradesh</v>
      </c>
      <c r="K323" t="str">
        <f>_xlfn.XLOOKUP(A323,Orders[OrderID],Orders[City])</f>
        <v>Indore</v>
      </c>
      <c r="L323" s="3">
        <f>YEAR(Clean_Data[[#This Row],[OrderDate]])</f>
        <v>2018</v>
      </c>
      <c r="M323" s="3">
        <f>MONTH(Clean_Data[[#This Row],[OrderDate]])</f>
        <v>5</v>
      </c>
      <c r="N323" s="8" t="str">
        <f>TEXT(Clean_Data[[#This Row],[OrderDate]],"mmm")</f>
        <v>May</v>
      </c>
      <c r="O323" s="8" t="str">
        <f>TEXT(Clean_Data[[#This Row],[OrderDate]], "yyyy-mm")</f>
        <v>2018-05</v>
      </c>
      <c r="P323" s="7">
        <f>Clean_Data[[#This Row],[Profit]]/Clean_Data[[#This Row],[Revenue ]]</f>
        <v>-0.31868131868131866</v>
      </c>
      <c r="Q323" t="str">
        <f>"Q"&amp;ROUNDUP(MONTH(Clean_Data[[#This Row],[OrderDate]])/3,0)</f>
        <v>Q2</v>
      </c>
      <c r="R323" t="str">
        <f>TEXT(Clean_Data[[#This Row],[OrderDate]], "dddd")</f>
        <v>Tuesday</v>
      </c>
    </row>
    <row r="324" spans="1:18" x14ac:dyDescent="0.25">
      <c r="A324" t="s">
        <v>275</v>
      </c>
      <c r="B324" s="4">
        <v>269</v>
      </c>
      <c r="C324" s="4">
        <v>91</v>
      </c>
      <c r="D324" s="3">
        <v>1</v>
      </c>
      <c r="E324" t="s">
        <v>885</v>
      </c>
      <c r="F324" t="s">
        <v>886</v>
      </c>
      <c r="G324" t="s">
        <v>887</v>
      </c>
      <c r="H324" s="6">
        <f>_xlfn.XLOOKUP(A324,Orders[OrderID],Orders[OrderDate])</f>
        <v>43378</v>
      </c>
      <c r="I324" t="str">
        <f>_xlfn.XLOOKUP(A324,Orders[OrderID],Orders[CustomerName])</f>
        <v>Shivanshu</v>
      </c>
      <c r="J324" t="str">
        <f>_xlfn.XLOOKUP(A324,Orders[OrderID],Orders[State])</f>
        <v>Madhya Pradesh</v>
      </c>
      <c r="K324" t="str">
        <f>_xlfn.XLOOKUP(A324,Orders[OrderID],Orders[City])</f>
        <v>Indore</v>
      </c>
      <c r="L324" s="3">
        <f>YEAR(Clean_Data[[#This Row],[OrderDate]])</f>
        <v>2018</v>
      </c>
      <c r="M324" s="3">
        <f>MONTH(Clean_Data[[#This Row],[OrderDate]])</f>
        <v>10</v>
      </c>
      <c r="N324" s="8" t="str">
        <f>TEXT(Clean_Data[[#This Row],[OrderDate]],"mmm")</f>
        <v>Oct</v>
      </c>
      <c r="O324" s="8" t="str">
        <f>TEXT(Clean_Data[[#This Row],[OrderDate]], "yyyy-mm")</f>
        <v>2018-10</v>
      </c>
      <c r="P324" s="7">
        <f>Clean_Data[[#This Row],[Profit]]/Clean_Data[[#This Row],[Revenue ]]</f>
        <v>0.33828996282527879</v>
      </c>
      <c r="Q324" t="str">
        <f>"Q"&amp;ROUNDUP(MONTH(Clean_Data[[#This Row],[OrderDate]])/3,0)</f>
        <v>Q4</v>
      </c>
      <c r="R324" t="str">
        <f>TEXT(Clean_Data[[#This Row],[OrderDate]], "dddd")</f>
        <v>Friday</v>
      </c>
    </row>
    <row r="325" spans="1:18" x14ac:dyDescent="0.25">
      <c r="A325" t="s">
        <v>504</v>
      </c>
      <c r="B325" s="4">
        <v>11</v>
      </c>
      <c r="C325" s="4">
        <v>5</v>
      </c>
      <c r="D325" s="3">
        <v>1</v>
      </c>
      <c r="E325" t="s">
        <v>895</v>
      </c>
      <c r="F325" t="s">
        <v>901</v>
      </c>
      <c r="G325" t="s">
        <v>887</v>
      </c>
      <c r="H325" s="6">
        <f>_xlfn.XLOOKUP(A325,Orders[OrderID],Orders[OrderDate])</f>
        <v>43152</v>
      </c>
      <c r="I325" t="str">
        <f>_xlfn.XLOOKUP(A325,Orders[OrderID],Orders[CustomerName])</f>
        <v>Sarita</v>
      </c>
      <c r="J325" t="str">
        <f>_xlfn.XLOOKUP(A325,Orders[OrderID],Orders[State])</f>
        <v>Maharashtra</v>
      </c>
      <c r="K325" t="str">
        <f>_xlfn.XLOOKUP(A325,Orders[OrderID],Orders[City])</f>
        <v>Pune</v>
      </c>
      <c r="L325" s="3">
        <f>YEAR(Clean_Data[[#This Row],[OrderDate]])</f>
        <v>2018</v>
      </c>
      <c r="M325" s="3">
        <f>MONTH(Clean_Data[[#This Row],[OrderDate]])</f>
        <v>2</v>
      </c>
      <c r="N325" s="8" t="str">
        <f>TEXT(Clean_Data[[#This Row],[OrderDate]],"mmm")</f>
        <v>Feb</v>
      </c>
      <c r="O325" s="8" t="str">
        <f>TEXT(Clean_Data[[#This Row],[OrderDate]], "yyyy-mm")</f>
        <v>2018-02</v>
      </c>
      <c r="P325" s="7">
        <f>Clean_Data[[#This Row],[Profit]]/Clean_Data[[#This Row],[Revenue ]]</f>
        <v>0.45454545454545453</v>
      </c>
      <c r="Q325" t="str">
        <f>"Q"&amp;ROUNDUP(MONTH(Clean_Data[[#This Row],[OrderDate]])/3,0)</f>
        <v>Q1</v>
      </c>
      <c r="R325" t="str">
        <f>TEXT(Clean_Data[[#This Row],[OrderDate]], "dddd")</f>
        <v>Wednesday</v>
      </c>
    </row>
    <row r="326" spans="1:18" x14ac:dyDescent="0.25">
      <c r="A326" t="s">
        <v>23</v>
      </c>
      <c r="B326" s="4">
        <v>39</v>
      </c>
      <c r="C326" s="4">
        <v>2</v>
      </c>
      <c r="D326" s="3">
        <v>2</v>
      </c>
      <c r="E326" t="s">
        <v>895</v>
      </c>
      <c r="F326" t="s">
        <v>897</v>
      </c>
      <c r="G326" t="s">
        <v>907</v>
      </c>
      <c r="H326" s="6">
        <f>_xlfn.XLOOKUP(A326,Orders[OrderID],Orders[OrderDate])</f>
        <v>43116</v>
      </c>
      <c r="I326" t="str">
        <f>_xlfn.XLOOKUP(A326,Orders[OrderID],Orders[CustomerName])</f>
        <v>Shiva</v>
      </c>
      <c r="J326" t="str">
        <f>_xlfn.XLOOKUP(A326,Orders[OrderID],Orders[State])</f>
        <v>Maharashtra</v>
      </c>
      <c r="K326" t="str">
        <f>_xlfn.XLOOKUP(A326,Orders[OrderID],Orders[City])</f>
        <v>Pune</v>
      </c>
      <c r="L326" s="3">
        <f>YEAR(Clean_Data[[#This Row],[OrderDate]])</f>
        <v>2018</v>
      </c>
      <c r="M326" s="3">
        <f>MONTH(Clean_Data[[#This Row],[OrderDate]])</f>
        <v>1</v>
      </c>
      <c r="N326" s="8" t="str">
        <f>TEXT(Clean_Data[[#This Row],[OrderDate]],"mmm")</f>
        <v>Jan</v>
      </c>
      <c r="O326" s="8" t="str">
        <f>TEXT(Clean_Data[[#This Row],[OrderDate]], "yyyy-mm")</f>
        <v>2018-01</v>
      </c>
      <c r="P326" s="7">
        <f>Clean_Data[[#This Row],[Profit]]/Clean_Data[[#This Row],[Revenue ]]</f>
        <v>5.128205128205128E-2</v>
      </c>
      <c r="Q326" t="str">
        <f>"Q"&amp;ROUNDUP(MONTH(Clean_Data[[#This Row],[OrderDate]])/3,0)</f>
        <v>Q1</v>
      </c>
      <c r="R326" t="str">
        <f>TEXT(Clean_Data[[#This Row],[OrderDate]], "dddd")</f>
        <v>Tuesday</v>
      </c>
    </row>
    <row r="327" spans="1:18" x14ac:dyDescent="0.25">
      <c r="A327" t="s">
        <v>413</v>
      </c>
      <c r="B327" s="4">
        <v>264</v>
      </c>
      <c r="C327" s="4">
        <v>-26</v>
      </c>
      <c r="D327" s="3">
        <v>3</v>
      </c>
      <c r="E327" t="s">
        <v>895</v>
      </c>
      <c r="F327" t="s">
        <v>896</v>
      </c>
      <c r="G327" t="s">
        <v>887</v>
      </c>
      <c r="H327" s="6">
        <f>_xlfn.XLOOKUP(A327,Orders[OrderID],Orders[OrderDate])</f>
        <v>43187</v>
      </c>
      <c r="I327" t="str">
        <f>_xlfn.XLOOKUP(A327,Orders[OrderID],Orders[CustomerName])</f>
        <v>Atharv</v>
      </c>
      <c r="J327" t="str">
        <f>_xlfn.XLOOKUP(A327,Orders[OrderID],Orders[State])</f>
        <v>West Bengal</v>
      </c>
      <c r="K327" t="str">
        <f>_xlfn.XLOOKUP(A327,Orders[OrderID],Orders[City])</f>
        <v>Kolkata</v>
      </c>
      <c r="L327" s="3">
        <f>YEAR(Clean_Data[[#This Row],[OrderDate]])</f>
        <v>2018</v>
      </c>
      <c r="M327" s="3">
        <f>MONTH(Clean_Data[[#This Row],[OrderDate]])</f>
        <v>3</v>
      </c>
      <c r="N327" s="8" t="str">
        <f>TEXT(Clean_Data[[#This Row],[OrderDate]],"mmm")</f>
        <v>Mar</v>
      </c>
      <c r="O327" s="8" t="str">
        <f>TEXT(Clean_Data[[#This Row],[OrderDate]], "yyyy-mm")</f>
        <v>2018-03</v>
      </c>
      <c r="P327" s="7">
        <f>Clean_Data[[#This Row],[Profit]]/Clean_Data[[#This Row],[Revenue ]]</f>
        <v>-9.8484848484848481E-2</v>
      </c>
      <c r="Q327" t="str">
        <f>"Q"&amp;ROUNDUP(MONTH(Clean_Data[[#This Row],[OrderDate]])/3,0)</f>
        <v>Q1</v>
      </c>
      <c r="R327" t="str">
        <f>TEXT(Clean_Data[[#This Row],[OrderDate]], "dddd")</f>
        <v>Wednesday</v>
      </c>
    </row>
    <row r="328" spans="1:18" x14ac:dyDescent="0.25">
      <c r="A328" t="s">
        <v>446</v>
      </c>
      <c r="B328" s="4">
        <v>40</v>
      </c>
      <c r="C328" s="4">
        <v>16</v>
      </c>
      <c r="D328" s="3">
        <v>3</v>
      </c>
      <c r="E328" t="s">
        <v>895</v>
      </c>
      <c r="F328" t="s">
        <v>899</v>
      </c>
      <c r="G328" t="s">
        <v>907</v>
      </c>
      <c r="H328" s="6">
        <f>_xlfn.XLOOKUP(A328,Orders[OrderID],Orders[OrderDate])</f>
        <v>43216</v>
      </c>
      <c r="I328" t="str">
        <f>_xlfn.XLOOKUP(A328,Orders[OrderID],Orders[CustomerName])</f>
        <v>Nidhi</v>
      </c>
      <c r="J328" t="str">
        <f>_xlfn.XLOOKUP(A328,Orders[OrderID],Orders[State])</f>
        <v>Nagaland</v>
      </c>
      <c r="K328" t="str">
        <f>_xlfn.XLOOKUP(A328,Orders[OrderID],Orders[City])</f>
        <v>Kohima</v>
      </c>
      <c r="L328" s="3">
        <f>YEAR(Clean_Data[[#This Row],[OrderDate]])</f>
        <v>2018</v>
      </c>
      <c r="M328" s="3">
        <f>MONTH(Clean_Data[[#This Row],[OrderDate]])</f>
        <v>4</v>
      </c>
      <c r="N328" s="8" t="str">
        <f>TEXT(Clean_Data[[#This Row],[OrderDate]],"mmm")</f>
        <v>Apr</v>
      </c>
      <c r="O328" s="8" t="str">
        <f>TEXT(Clean_Data[[#This Row],[OrderDate]], "yyyy-mm")</f>
        <v>2018-04</v>
      </c>
      <c r="P328" s="7">
        <f>Clean_Data[[#This Row],[Profit]]/Clean_Data[[#This Row],[Revenue ]]</f>
        <v>0.4</v>
      </c>
      <c r="Q328" t="str">
        <f>"Q"&amp;ROUNDUP(MONTH(Clean_Data[[#This Row],[OrderDate]])/3,0)</f>
        <v>Q2</v>
      </c>
      <c r="R328" t="str">
        <f>TEXT(Clean_Data[[#This Row],[OrderDate]], "dddd")</f>
        <v>Thursday</v>
      </c>
    </row>
    <row r="329" spans="1:18" x14ac:dyDescent="0.25">
      <c r="A329" t="s">
        <v>660</v>
      </c>
      <c r="B329" s="4">
        <v>41</v>
      </c>
      <c r="C329" s="4">
        <v>19</v>
      </c>
      <c r="D329" s="3">
        <v>2</v>
      </c>
      <c r="E329" t="s">
        <v>895</v>
      </c>
      <c r="F329" t="s">
        <v>906</v>
      </c>
      <c r="G329" t="s">
        <v>907</v>
      </c>
      <c r="H329" s="6">
        <f>_xlfn.XLOOKUP(A329,Orders[OrderID],Orders[OrderDate])</f>
        <v>43155</v>
      </c>
      <c r="I329" t="str">
        <f>_xlfn.XLOOKUP(A329,Orders[OrderID],Orders[CustomerName])</f>
        <v>Pooja</v>
      </c>
      <c r="J329" t="str">
        <f>_xlfn.XLOOKUP(A329,Orders[OrderID],Orders[State])</f>
        <v>Bihar</v>
      </c>
      <c r="K329" t="str">
        <f>_xlfn.XLOOKUP(A329,Orders[OrderID],Orders[City])</f>
        <v>Patna</v>
      </c>
      <c r="L329" s="3">
        <f>YEAR(Clean_Data[[#This Row],[OrderDate]])</f>
        <v>2018</v>
      </c>
      <c r="M329" s="3">
        <f>MONTH(Clean_Data[[#This Row],[OrderDate]])</f>
        <v>2</v>
      </c>
      <c r="N329" s="8" t="str">
        <f>TEXT(Clean_Data[[#This Row],[OrderDate]],"mmm")</f>
        <v>Feb</v>
      </c>
      <c r="O329" s="8" t="str">
        <f>TEXT(Clean_Data[[#This Row],[OrderDate]], "yyyy-mm")</f>
        <v>2018-02</v>
      </c>
      <c r="P329" s="7">
        <f>Clean_Data[[#This Row],[Profit]]/Clean_Data[[#This Row],[Revenue ]]</f>
        <v>0.46341463414634149</v>
      </c>
      <c r="Q329" t="str">
        <f>"Q"&amp;ROUNDUP(MONTH(Clean_Data[[#This Row],[OrderDate]])/3,0)</f>
        <v>Q1</v>
      </c>
      <c r="R329" t="str">
        <f>TEXT(Clean_Data[[#This Row],[OrderDate]], "dddd")</f>
        <v>Saturday</v>
      </c>
    </row>
    <row r="330" spans="1:18" x14ac:dyDescent="0.25">
      <c r="A330" t="s">
        <v>352</v>
      </c>
      <c r="B330" s="4">
        <v>253</v>
      </c>
      <c r="C330" s="4">
        <v>-63</v>
      </c>
      <c r="D330" s="3">
        <v>2</v>
      </c>
      <c r="E330" t="s">
        <v>895</v>
      </c>
      <c r="F330" t="s">
        <v>897</v>
      </c>
      <c r="G330" t="s">
        <v>898</v>
      </c>
      <c r="H330" s="6">
        <f>_xlfn.XLOOKUP(A330,Orders[OrderID],Orders[OrderDate])</f>
        <v>43367</v>
      </c>
      <c r="I330" t="str">
        <f>_xlfn.XLOOKUP(A330,Orders[OrderID],Orders[CustomerName])</f>
        <v>Avish</v>
      </c>
      <c r="J330" t="str">
        <f>_xlfn.XLOOKUP(A330,Orders[OrderID],Orders[State])</f>
        <v xml:space="preserve">Kerala </v>
      </c>
      <c r="K330" t="str">
        <f>_xlfn.XLOOKUP(A330,Orders[OrderID],Orders[City])</f>
        <v>Thiruvananthapuram</v>
      </c>
      <c r="L330" s="3">
        <f>YEAR(Clean_Data[[#This Row],[OrderDate]])</f>
        <v>2018</v>
      </c>
      <c r="M330" s="3">
        <f>MONTH(Clean_Data[[#This Row],[OrderDate]])</f>
        <v>9</v>
      </c>
      <c r="N330" s="8" t="str">
        <f>TEXT(Clean_Data[[#This Row],[OrderDate]],"mmm")</f>
        <v>Sep</v>
      </c>
      <c r="O330" s="8" t="str">
        <f>TEXT(Clean_Data[[#This Row],[OrderDate]], "yyyy-mm")</f>
        <v>2018-09</v>
      </c>
      <c r="P330" s="7">
        <f>Clean_Data[[#This Row],[Profit]]/Clean_Data[[#This Row],[Revenue ]]</f>
        <v>-0.24901185770750989</v>
      </c>
      <c r="Q330" t="str">
        <f>"Q"&amp;ROUNDUP(MONTH(Clean_Data[[#This Row],[OrderDate]])/3,0)</f>
        <v>Q3</v>
      </c>
      <c r="R330" t="str">
        <f>TEXT(Clean_Data[[#This Row],[OrderDate]], "dddd")</f>
        <v>Monday</v>
      </c>
    </row>
    <row r="331" spans="1:18" x14ac:dyDescent="0.25">
      <c r="A331" t="s">
        <v>432</v>
      </c>
      <c r="B331" s="4">
        <v>406</v>
      </c>
      <c r="C331" s="4">
        <v>97</v>
      </c>
      <c r="D331" s="3">
        <v>7</v>
      </c>
      <c r="E331" t="s">
        <v>888</v>
      </c>
      <c r="F331" t="s">
        <v>889</v>
      </c>
      <c r="G331" t="s">
        <v>893</v>
      </c>
      <c r="H331" s="6">
        <f>_xlfn.XLOOKUP(A331,Orders[OrderID],Orders[OrderDate])</f>
        <v>43144</v>
      </c>
      <c r="I331" t="str">
        <f>_xlfn.XLOOKUP(A331,Orders[OrderID],Orders[CustomerName])</f>
        <v>Divsha</v>
      </c>
      <c r="J331" t="str">
        <f>_xlfn.XLOOKUP(A331,Orders[OrderID],Orders[State])</f>
        <v>Rajasthan</v>
      </c>
      <c r="K331" t="str">
        <f>_xlfn.XLOOKUP(A331,Orders[OrderID],Orders[City])</f>
        <v>Jaipur</v>
      </c>
      <c r="L331" s="3">
        <f>YEAR(Clean_Data[[#This Row],[OrderDate]])</f>
        <v>2018</v>
      </c>
      <c r="M331" s="3">
        <f>MONTH(Clean_Data[[#This Row],[OrderDate]])</f>
        <v>2</v>
      </c>
      <c r="N331" s="8" t="str">
        <f>TEXT(Clean_Data[[#This Row],[OrderDate]],"mmm")</f>
        <v>Feb</v>
      </c>
      <c r="O331" s="8" t="str">
        <f>TEXT(Clean_Data[[#This Row],[OrderDate]], "yyyy-mm")</f>
        <v>2018-02</v>
      </c>
      <c r="P331" s="7">
        <f>Clean_Data[[#This Row],[Profit]]/Clean_Data[[#This Row],[Revenue ]]</f>
        <v>0.23891625615763548</v>
      </c>
      <c r="Q331" t="str">
        <f>"Q"&amp;ROUNDUP(MONTH(Clean_Data[[#This Row],[OrderDate]])/3,0)</f>
        <v>Q1</v>
      </c>
      <c r="R331" t="str">
        <f>TEXT(Clean_Data[[#This Row],[OrderDate]], "dddd")</f>
        <v>Tuesday</v>
      </c>
    </row>
    <row r="332" spans="1:18" x14ac:dyDescent="0.25">
      <c r="A332" t="s">
        <v>373</v>
      </c>
      <c r="B332" s="4">
        <v>32</v>
      </c>
      <c r="C332" s="4">
        <v>7</v>
      </c>
      <c r="D332" s="3">
        <v>3</v>
      </c>
      <c r="E332" t="s">
        <v>895</v>
      </c>
      <c r="F332" t="s">
        <v>899</v>
      </c>
      <c r="G332" t="s">
        <v>887</v>
      </c>
      <c r="H332" s="6">
        <f>_xlfn.XLOOKUP(A332,Orders[OrderID],Orders[OrderDate])</f>
        <v>43326</v>
      </c>
      <c r="I332" t="str">
        <f>_xlfn.XLOOKUP(A332,Orders[OrderID],Orders[CustomerName])</f>
        <v>Nishant</v>
      </c>
      <c r="J332" t="str">
        <f>_xlfn.XLOOKUP(A332,Orders[OrderID],Orders[State])</f>
        <v>Maharashtra</v>
      </c>
      <c r="K332" t="str">
        <f>_xlfn.XLOOKUP(A332,Orders[OrderID],Orders[City])</f>
        <v>Mumbai</v>
      </c>
      <c r="L332" s="3">
        <f>YEAR(Clean_Data[[#This Row],[OrderDate]])</f>
        <v>2018</v>
      </c>
      <c r="M332" s="3">
        <f>MONTH(Clean_Data[[#This Row],[OrderDate]])</f>
        <v>8</v>
      </c>
      <c r="N332" s="8" t="str">
        <f>TEXT(Clean_Data[[#This Row],[OrderDate]],"mmm")</f>
        <v>Aug</v>
      </c>
      <c r="O332" s="8" t="str">
        <f>TEXT(Clean_Data[[#This Row],[OrderDate]], "yyyy-mm")</f>
        <v>2018-08</v>
      </c>
      <c r="P332" s="7">
        <f>Clean_Data[[#This Row],[Profit]]/Clean_Data[[#This Row],[Revenue ]]</f>
        <v>0.21875</v>
      </c>
      <c r="Q332" t="str">
        <f>"Q"&amp;ROUNDUP(MONTH(Clean_Data[[#This Row],[OrderDate]])/3,0)</f>
        <v>Q3</v>
      </c>
      <c r="R332" t="str">
        <f>TEXT(Clean_Data[[#This Row],[OrderDate]], "dddd")</f>
        <v>Tuesday</v>
      </c>
    </row>
    <row r="333" spans="1:18" x14ac:dyDescent="0.25">
      <c r="A333" t="s">
        <v>365</v>
      </c>
      <c r="B333" s="4">
        <v>260</v>
      </c>
      <c r="C333" s="4">
        <v>68</v>
      </c>
      <c r="D333" s="3">
        <v>2</v>
      </c>
      <c r="E333" t="s">
        <v>885</v>
      </c>
      <c r="F333" t="s">
        <v>892</v>
      </c>
      <c r="G333" t="s">
        <v>887</v>
      </c>
      <c r="H333" s="6">
        <f>_xlfn.XLOOKUP(A333,Orders[OrderID],Orders[OrderDate])</f>
        <v>43119</v>
      </c>
      <c r="I333" t="str">
        <f>_xlfn.XLOOKUP(A333,Orders[OrderID],Orders[CustomerName])</f>
        <v>Tejeswini</v>
      </c>
      <c r="J333" t="str">
        <f>_xlfn.XLOOKUP(A333,Orders[OrderID],Orders[State])</f>
        <v>Maharashtra</v>
      </c>
      <c r="K333" t="str">
        <f>_xlfn.XLOOKUP(A333,Orders[OrderID],Orders[City])</f>
        <v>Pune</v>
      </c>
      <c r="L333" s="3">
        <f>YEAR(Clean_Data[[#This Row],[OrderDate]])</f>
        <v>2018</v>
      </c>
      <c r="M333" s="3">
        <f>MONTH(Clean_Data[[#This Row],[OrderDate]])</f>
        <v>1</v>
      </c>
      <c r="N333" s="8" t="str">
        <f>TEXT(Clean_Data[[#This Row],[OrderDate]],"mmm")</f>
        <v>Jan</v>
      </c>
      <c r="O333" s="8" t="str">
        <f>TEXT(Clean_Data[[#This Row],[OrderDate]], "yyyy-mm")</f>
        <v>2018-01</v>
      </c>
      <c r="P333" s="7">
        <f>Clean_Data[[#This Row],[Profit]]/Clean_Data[[#This Row],[Revenue ]]</f>
        <v>0.26153846153846155</v>
      </c>
      <c r="Q333" t="str">
        <f>"Q"&amp;ROUNDUP(MONTH(Clean_Data[[#This Row],[OrderDate]])/3,0)</f>
        <v>Q1</v>
      </c>
      <c r="R333" t="str">
        <f>TEXT(Clean_Data[[#This Row],[OrderDate]], "dddd")</f>
        <v>Friday</v>
      </c>
    </row>
    <row r="334" spans="1:18" x14ac:dyDescent="0.25">
      <c r="A334" t="s">
        <v>614</v>
      </c>
      <c r="B334" s="4">
        <v>41</v>
      </c>
      <c r="C334" s="4">
        <v>19</v>
      </c>
      <c r="D334" s="3">
        <v>5</v>
      </c>
      <c r="E334" t="s">
        <v>895</v>
      </c>
      <c r="F334" t="s">
        <v>899</v>
      </c>
      <c r="G334" t="s">
        <v>907</v>
      </c>
      <c r="H334" s="6">
        <f>_xlfn.XLOOKUP(A334,Orders[OrderID],Orders[OrderDate])</f>
        <v>43150</v>
      </c>
      <c r="I334" t="str">
        <f>_xlfn.XLOOKUP(A334,Orders[OrderID],Orders[CustomerName])</f>
        <v>Bhavna</v>
      </c>
      <c r="J334" t="str">
        <f>_xlfn.XLOOKUP(A334,Orders[OrderID],Orders[State])</f>
        <v>Sikkim</v>
      </c>
      <c r="K334" t="str">
        <f>_xlfn.XLOOKUP(A334,Orders[OrderID],Orders[City])</f>
        <v>Gangtok</v>
      </c>
      <c r="L334" s="3">
        <f>YEAR(Clean_Data[[#This Row],[OrderDate]])</f>
        <v>2018</v>
      </c>
      <c r="M334" s="3">
        <f>MONTH(Clean_Data[[#This Row],[OrderDate]])</f>
        <v>2</v>
      </c>
      <c r="N334" s="8" t="str">
        <f>TEXT(Clean_Data[[#This Row],[OrderDate]],"mmm")</f>
        <v>Feb</v>
      </c>
      <c r="O334" s="8" t="str">
        <f>TEXT(Clean_Data[[#This Row],[OrderDate]], "yyyy-mm")</f>
        <v>2018-02</v>
      </c>
      <c r="P334" s="7">
        <f>Clean_Data[[#This Row],[Profit]]/Clean_Data[[#This Row],[Revenue ]]</f>
        <v>0.46341463414634149</v>
      </c>
      <c r="Q334" t="str">
        <f>"Q"&amp;ROUNDUP(MONTH(Clean_Data[[#This Row],[OrderDate]])/3,0)</f>
        <v>Q1</v>
      </c>
      <c r="R334" t="str">
        <f>TEXT(Clean_Data[[#This Row],[OrderDate]], "dddd")</f>
        <v>Monday</v>
      </c>
    </row>
    <row r="335" spans="1:18" x14ac:dyDescent="0.25">
      <c r="A335" t="s">
        <v>120</v>
      </c>
      <c r="B335" s="4">
        <v>401</v>
      </c>
      <c r="C335" s="4">
        <v>13</v>
      </c>
      <c r="D335" s="3">
        <v>6</v>
      </c>
      <c r="E335" t="s">
        <v>888</v>
      </c>
      <c r="F335" t="s">
        <v>889</v>
      </c>
      <c r="G335" t="s">
        <v>893</v>
      </c>
      <c r="H335" s="6">
        <f>_xlfn.XLOOKUP(A335,Orders[OrderID],Orders[OrderDate])</f>
        <v>43163</v>
      </c>
      <c r="I335" t="str">
        <f>_xlfn.XLOOKUP(A335,Orders[OrderID],Orders[CustomerName])</f>
        <v>Parth</v>
      </c>
      <c r="J335" t="str">
        <f>_xlfn.XLOOKUP(A335,Orders[OrderID],Orders[State])</f>
        <v>Maharashtra</v>
      </c>
      <c r="K335" t="str">
        <f>_xlfn.XLOOKUP(A335,Orders[OrderID],Orders[City])</f>
        <v>Pune</v>
      </c>
      <c r="L335" s="3">
        <f>YEAR(Clean_Data[[#This Row],[OrderDate]])</f>
        <v>2018</v>
      </c>
      <c r="M335" s="3">
        <f>MONTH(Clean_Data[[#This Row],[OrderDate]])</f>
        <v>3</v>
      </c>
      <c r="N335" s="8" t="str">
        <f>TEXT(Clean_Data[[#This Row],[OrderDate]],"mmm")</f>
        <v>Mar</v>
      </c>
      <c r="O335" s="8" t="str">
        <f>TEXT(Clean_Data[[#This Row],[OrderDate]], "yyyy-mm")</f>
        <v>2018-03</v>
      </c>
      <c r="P335" s="7">
        <f>Clean_Data[[#This Row],[Profit]]/Clean_Data[[#This Row],[Revenue ]]</f>
        <v>3.2418952618453865E-2</v>
      </c>
      <c r="Q335" t="str">
        <f>"Q"&amp;ROUNDUP(MONTH(Clean_Data[[#This Row],[OrderDate]])/3,0)</f>
        <v>Q1</v>
      </c>
      <c r="R335" t="str">
        <f>TEXT(Clean_Data[[#This Row],[OrderDate]], "dddd")</f>
        <v>Sunday</v>
      </c>
    </row>
    <row r="336" spans="1:18" x14ac:dyDescent="0.25">
      <c r="A336" t="s">
        <v>446</v>
      </c>
      <c r="B336" s="4">
        <v>382</v>
      </c>
      <c r="C336" s="4">
        <v>30</v>
      </c>
      <c r="D336" s="3">
        <v>3</v>
      </c>
      <c r="E336" t="s">
        <v>895</v>
      </c>
      <c r="F336" t="s">
        <v>897</v>
      </c>
      <c r="G336" t="s">
        <v>893</v>
      </c>
      <c r="H336" s="6">
        <f>_xlfn.XLOOKUP(A336,Orders[OrderID],Orders[OrderDate])</f>
        <v>43216</v>
      </c>
      <c r="I336" t="str">
        <f>_xlfn.XLOOKUP(A336,Orders[OrderID],Orders[CustomerName])</f>
        <v>Nidhi</v>
      </c>
      <c r="J336" t="str">
        <f>_xlfn.XLOOKUP(A336,Orders[OrderID],Orders[State])</f>
        <v>Nagaland</v>
      </c>
      <c r="K336" t="str">
        <f>_xlfn.XLOOKUP(A336,Orders[OrderID],Orders[City])</f>
        <v>Kohima</v>
      </c>
      <c r="L336" s="3">
        <f>YEAR(Clean_Data[[#This Row],[OrderDate]])</f>
        <v>2018</v>
      </c>
      <c r="M336" s="3">
        <f>MONTH(Clean_Data[[#This Row],[OrderDate]])</f>
        <v>4</v>
      </c>
      <c r="N336" s="8" t="str">
        <f>TEXT(Clean_Data[[#This Row],[OrderDate]],"mmm")</f>
        <v>Apr</v>
      </c>
      <c r="O336" s="8" t="str">
        <f>TEXT(Clean_Data[[#This Row],[OrderDate]], "yyyy-mm")</f>
        <v>2018-04</v>
      </c>
      <c r="P336" s="7">
        <f>Clean_Data[[#This Row],[Profit]]/Clean_Data[[#This Row],[Revenue ]]</f>
        <v>7.8534031413612565E-2</v>
      </c>
      <c r="Q336" t="str">
        <f>"Q"&amp;ROUNDUP(MONTH(Clean_Data[[#This Row],[OrderDate]])/3,0)</f>
        <v>Q2</v>
      </c>
      <c r="R336" t="str">
        <f>TEXT(Clean_Data[[#This Row],[OrderDate]], "dddd")</f>
        <v>Thursday</v>
      </c>
    </row>
    <row r="337" spans="1:18" x14ac:dyDescent="0.25">
      <c r="A337" t="s">
        <v>246</v>
      </c>
      <c r="B337" s="4">
        <v>867</v>
      </c>
      <c r="C337" s="4">
        <v>251</v>
      </c>
      <c r="D337" s="3">
        <v>5</v>
      </c>
      <c r="E337" t="s">
        <v>885</v>
      </c>
      <c r="F337" t="s">
        <v>894</v>
      </c>
      <c r="G337" t="s">
        <v>887</v>
      </c>
      <c r="H337" s="6">
        <f>_xlfn.XLOOKUP(A337,Orders[OrderID],Orders[OrderDate])</f>
        <v>43128</v>
      </c>
      <c r="I337" t="str">
        <f>_xlfn.XLOOKUP(A337,Orders[OrderID],Orders[CustomerName])</f>
        <v>Amruta</v>
      </c>
      <c r="J337" t="str">
        <f>_xlfn.XLOOKUP(A337,Orders[OrderID],Orders[State])</f>
        <v>Delhi</v>
      </c>
      <c r="K337" t="str">
        <f>_xlfn.XLOOKUP(A337,Orders[OrderID],Orders[City])</f>
        <v>Delhi</v>
      </c>
      <c r="L337" s="3">
        <f>YEAR(Clean_Data[[#This Row],[OrderDate]])</f>
        <v>2018</v>
      </c>
      <c r="M337" s="3">
        <f>MONTH(Clean_Data[[#This Row],[OrderDate]])</f>
        <v>1</v>
      </c>
      <c r="N337" s="8" t="str">
        <f>TEXT(Clean_Data[[#This Row],[OrderDate]],"mmm")</f>
        <v>Jan</v>
      </c>
      <c r="O337" s="8" t="str">
        <f>TEXT(Clean_Data[[#This Row],[OrderDate]], "yyyy-mm")</f>
        <v>2018-01</v>
      </c>
      <c r="P337" s="7">
        <f>Clean_Data[[#This Row],[Profit]]/Clean_Data[[#This Row],[Revenue ]]</f>
        <v>0.28950403690888121</v>
      </c>
      <c r="Q337" t="str">
        <f>"Q"&amp;ROUNDUP(MONTH(Clean_Data[[#This Row],[OrderDate]])/3,0)</f>
        <v>Q1</v>
      </c>
      <c r="R337" t="str">
        <f>TEXT(Clean_Data[[#This Row],[OrderDate]], "dddd")</f>
        <v>Sunday</v>
      </c>
    </row>
    <row r="338" spans="1:18" x14ac:dyDescent="0.25">
      <c r="A338" t="s">
        <v>197</v>
      </c>
      <c r="B338" s="4">
        <v>43</v>
      </c>
      <c r="C338" s="4">
        <v>0</v>
      </c>
      <c r="D338" s="3">
        <v>3</v>
      </c>
      <c r="E338" t="s">
        <v>895</v>
      </c>
      <c r="F338" t="s">
        <v>897</v>
      </c>
      <c r="G338" t="s">
        <v>907</v>
      </c>
      <c r="H338" s="6">
        <f>_xlfn.XLOOKUP(A338,Orders[OrderID],Orders[OrderDate])</f>
        <v>43199</v>
      </c>
      <c r="I338" t="str">
        <f>_xlfn.XLOOKUP(A338,Orders[OrderID],Orders[CustomerName])</f>
        <v>Yogesh</v>
      </c>
      <c r="J338" t="str">
        <f>_xlfn.XLOOKUP(A338,Orders[OrderID],Orders[State])</f>
        <v>Bihar</v>
      </c>
      <c r="K338" t="str">
        <f>_xlfn.XLOOKUP(A338,Orders[OrderID],Orders[City])</f>
        <v>Patna</v>
      </c>
      <c r="L338" s="3">
        <f>YEAR(Clean_Data[[#This Row],[OrderDate]])</f>
        <v>2018</v>
      </c>
      <c r="M338" s="3">
        <f>MONTH(Clean_Data[[#This Row],[OrderDate]])</f>
        <v>4</v>
      </c>
      <c r="N338" s="8" t="str">
        <f>TEXT(Clean_Data[[#This Row],[OrderDate]],"mmm")</f>
        <v>Apr</v>
      </c>
      <c r="O338" s="8" t="str">
        <f>TEXT(Clean_Data[[#This Row],[OrderDate]], "yyyy-mm")</f>
        <v>2018-04</v>
      </c>
      <c r="P338" s="7">
        <f>Clean_Data[[#This Row],[Profit]]/Clean_Data[[#This Row],[Revenue ]]</f>
        <v>0</v>
      </c>
      <c r="Q338" t="str">
        <f>"Q"&amp;ROUNDUP(MONTH(Clean_Data[[#This Row],[OrderDate]])/3,0)</f>
        <v>Q2</v>
      </c>
      <c r="R338" t="str">
        <f>TEXT(Clean_Data[[#This Row],[OrderDate]], "dddd")</f>
        <v>Monday</v>
      </c>
    </row>
    <row r="339" spans="1:18" x14ac:dyDescent="0.25">
      <c r="A339" t="s">
        <v>808</v>
      </c>
      <c r="B339" s="4">
        <v>43</v>
      </c>
      <c r="C339" s="4">
        <v>-43</v>
      </c>
      <c r="D339" s="3">
        <v>7</v>
      </c>
      <c r="E339" t="s">
        <v>895</v>
      </c>
      <c r="F339" t="s">
        <v>903</v>
      </c>
      <c r="G339" t="s">
        <v>907</v>
      </c>
      <c r="H339" s="6">
        <f>_xlfn.XLOOKUP(A339,Orders[OrderID],Orders[OrderDate])</f>
        <v>43309</v>
      </c>
      <c r="I339" t="str">
        <f>_xlfn.XLOOKUP(A339,Orders[OrderID],Orders[CustomerName])</f>
        <v>Dhirajendu</v>
      </c>
      <c r="J339" t="str">
        <f>_xlfn.XLOOKUP(A339,Orders[OrderID],Orders[State])</f>
        <v>Maharashtra</v>
      </c>
      <c r="K339" t="str">
        <f>_xlfn.XLOOKUP(A339,Orders[OrderID],Orders[City])</f>
        <v>Mumbai</v>
      </c>
      <c r="L339" s="3">
        <f>YEAR(Clean_Data[[#This Row],[OrderDate]])</f>
        <v>2018</v>
      </c>
      <c r="M339" s="3">
        <f>MONTH(Clean_Data[[#This Row],[OrderDate]])</f>
        <v>7</v>
      </c>
      <c r="N339" s="8" t="str">
        <f>TEXT(Clean_Data[[#This Row],[OrderDate]],"mmm")</f>
        <v>Jul</v>
      </c>
      <c r="O339" s="8" t="str">
        <f>TEXT(Clean_Data[[#This Row],[OrderDate]], "yyyy-mm")</f>
        <v>2018-07</v>
      </c>
      <c r="P339" s="7">
        <f>Clean_Data[[#This Row],[Profit]]/Clean_Data[[#This Row],[Revenue ]]</f>
        <v>-1</v>
      </c>
      <c r="Q339" t="str">
        <f>"Q"&amp;ROUNDUP(MONTH(Clean_Data[[#This Row],[OrderDate]])/3,0)</f>
        <v>Q3</v>
      </c>
      <c r="R339" t="str">
        <f>TEXT(Clean_Data[[#This Row],[OrderDate]], "dddd")</f>
        <v>Saturday</v>
      </c>
    </row>
    <row r="340" spans="1:18" x14ac:dyDescent="0.25">
      <c r="A340" t="s">
        <v>579</v>
      </c>
      <c r="B340" s="4">
        <v>74</v>
      </c>
      <c r="C340" s="4">
        <v>29</v>
      </c>
      <c r="D340" s="3">
        <v>3</v>
      </c>
      <c r="E340" t="s">
        <v>895</v>
      </c>
      <c r="F340" t="s">
        <v>903</v>
      </c>
      <c r="G340" t="s">
        <v>887</v>
      </c>
      <c r="H340" s="6">
        <f>_xlfn.XLOOKUP(A340,Orders[OrderID],Orders[OrderDate])</f>
        <v>43127</v>
      </c>
      <c r="I340" t="str">
        <f>_xlfn.XLOOKUP(A340,Orders[OrderID],Orders[CustomerName])</f>
        <v>Aayushi</v>
      </c>
      <c r="J340" t="str">
        <f>_xlfn.XLOOKUP(A340,Orders[OrderID],Orders[State])</f>
        <v>Gujarat</v>
      </c>
      <c r="K340" t="str">
        <f>_xlfn.XLOOKUP(A340,Orders[OrderID],Orders[City])</f>
        <v>Surat</v>
      </c>
      <c r="L340" s="3">
        <f>YEAR(Clean_Data[[#This Row],[OrderDate]])</f>
        <v>2018</v>
      </c>
      <c r="M340" s="3">
        <f>MONTH(Clean_Data[[#This Row],[OrderDate]])</f>
        <v>1</v>
      </c>
      <c r="N340" s="8" t="str">
        <f>TEXT(Clean_Data[[#This Row],[OrderDate]],"mmm")</f>
        <v>Jan</v>
      </c>
      <c r="O340" s="8" t="str">
        <f>TEXT(Clean_Data[[#This Row],[OrderDate]], "yyyy-mm")</f>
        <v>2018-01</v>
      </c>
      <c r="P340" s="7">
        <f>Clean_Data[[#This Row],[Profit]]/Clean_Data[[#This Row],[Revenue ]]</f>
        <v>0.39189189189189189</v>
      </c>
      <c r="Q340" t="str">
        <f>"Q"&amp;ROUNDUP(MONTH(Clean_Data[[#This Row],[OrderDate]])/3,0)</f>
        <v>Q1</v>
      </c>
      <c r="R340" t="str">
        <f>TEXT(Clean_Data[[#This Row],[OrderDate]], "dddd")</f>
        <v>Saturday</v>
      </c>
    </row>
    <row r="341" spans="1:18" x14ac:dyDescent="0.25">
      <c r="A341" t="s">
        <v>434</v>
      </c>
      <c r="B341" s="4">
        <v>44</v>
      </c>
      <c r="C341" s="4">
        <v>-26</v>
      </c>
      <c r="D341" s="3">
        <v>3</v>
      </c>
      <c r="E341" t="s">
        <v>895</v>
      </c>
      <c r="F341" t="s">
        <v>899</v>
      </c>
      <c r="G341" t="s">
        <v>907</v>
      </c>
      <c r="H341" s="6">
        <f>_xlfn.XLOOKUP(A341,Orders[OrderID],Orders[OrderDate])</f>
        <v>43231</v>
      </c>
      <c r="I341" t="str">
        <f>_xlfn.XLOOKUP(A341,Orders[OrderID],Orders[CustomerName])</f>
        <v>Nida</v>
      </c>
      <c r="J341" t="str">
        <f>_xlfn.XLOOKUP(A341,Orders[OrderID],Orders[State])</f>
        <v>Madhya Pradesh</v>
      </c>
      <c r="K341" t="str">
        <f>_xlfn.XLOOKUP(A341,Orders[OrderID],Orders[City])</f>
        <v>Indore</v>
      </c>
      <c r="L341" s="3">
        <f>YEAR(Clean_Data[[#This Row],[OrderDate]])</f>
        <v>2018</v>
      </c>
      <c r="M341" s="3">
        <f>MONTH(Clean_Data[[#This Row],[OrderDate]])</f>
        <v>5</v>
      </c>
      <c r="N341" s="8" t="str">
        <f>TEXT(Clean_Data[[#This Row],[OrderDate]],"mmm")</f>
        <v>May</v>
      </c>
      <c r="O341" s="8" t="str">
        <f>TEXT(Clean_Data[[#This Row],[OrderDate]], "yyyy-mm")</f>
        <v>2018-05</v>
      </c>
      <c r="P341" s="7">
        <f>Clean_Data[[#This Row],[Profit]]/Clean_Data[[#This Row],[Revenue ]]</f>
        <v>-0.59090909090909094</v>
      </c>
      <c r="Q341" t="str">
        <f>"Q"&amp;ROUNDUP(MONTH(Clean_Data[[#This Row],[OrderDate]])/3,0)</f>
        <v>Q2</v>
      </c>
      <c r="R341" t="str">
        <f>TEXT(Clean_Data[[#This Row],[OrderDate]], "dddd")</f>
        <v>Friday</v>
      </c>
    </row>
    <row r="342" spans="1:18" x14ac:dyDescent="0.25">
      <c r="A342" t="s">
        <v>521</v>
      </c>
      <c r="B342" s="4">
        <v>259</v>
      </c>
      <c r="C342" s="4">
        <v>-55</v>
      </c>
      <c r="D342" s="3">
        <v>2</v>
      </c>
      <c r="E342" t="s">
        <v>888</v>
      </c>
      <c r="F342" t="s">
        <v>889</v>
      </c>
      <c r="G342" t="s">
        <v>887</v>
      </c>
      <c r="H342" s="6">
        <f>_xlfn.XLOOKUP(A342,Orders[OrderID],Orders[OrderDate])</f>
        <v>43202</v>
      </c>
      <c r="I342" t="str">
        <f>_xlfn.XLOOKUP(A342,Orders[OrderID],Orders[CustomerName])</f>
        <v>Shrichand</v>
      </c>
      <c r="J342" t="str">
        <f>_xlfn.XLOOKUP(A342,Orders[OrderID],Orders[State])</f>
        <v>Punjab</v>
      </c>
      <c r="K342" t="str">
        <f>_xlfn.XLOOKUP(A342,Orders[OrderID],Orders[City])</f>
        <v>Chandigarh</v>
      </c>
      <c r="L342" s="3">
        <f>YEAR(Clean_Data[[#This Row],[OrderDate]])</f>
        <v>2018</v>
      </c>
      <c r="M342" s="3">
        <f>MONTH(Clean_Data[[#This Row],[OrderDate]])</f>
        <v>4</v>
      </c>
      <c r="N342" s="8" t="str">
        <f>TEXT(Clean_Data[[#This Row],[OrderDate]],"mmm")</f>
        <v>Apr</v>
      </c>
      <c r="O342" s="8" t="str">
        <f>TEXT(Clean_Data[[#This Row],[OrderDate]], "yyyy-mm")</f>
        <v>2018-04</v>
      </c>
      <c r="P342" s="7">
        <f>Clean_Data[[#This Row],[Profit]]/Clean_Data[[#This Row],[Revenue ]]</f>
        <v>-0.21235521235521235</v>
      </c>
      <c r="Q342" t="str">
        <f>"Q"&amp;ROUNDUP(MONTH(Clean_Data[[#This Row],[OrderDate]])/3,0)</f>
        <v>Q2</v>
      </c>
      <c r="R342" t="str">
        <f>TEXT(Clean_Data[[#This Row],[OrderDate]], "dddd")</f>
        <v>Thursday</v>
      </c>
    </row>
    <row r="343" spans="1:18" x14ac:dyDescent="0.25">
      <c r="A343" t="s">
        <v>126</v>
      </c>
      <c r="B343" s="4">
        <v>257</v>
      </c>
      <c r="C343" s="4">
        <v>23</v>
      </c>
      <c r="D343" s="3">
        <v>5</v>
      </c>
      <c r="E343" t="s">
        <v>895</v>
      </c>
      <c r="F343" t="s">
        <v>899</v>
      </c>
      <c r="G343" t="s">
        <v>887</v>
      </c>
      <c r="H343" s="6">
        <f>_xlfn.XLOOKUP(A343,Orders[OrderID],Orders[OrderDate])</f>
        <v>43198</v>
      </c>
      <c r="I343" t="str">
        <f>_xlfn.XLOOKUP(A343,Orders[OrderID],Orders[CustomerName])</f>
        <v>Aarushi</v>
      </c>
      <c r="J343" t="str">
        <f>_xlfn.XLOOKUP(A343,Orders[OrderID],Orders[State])</f>
        <v>Tamil Nadu</v>
      </c>
      <c r="K343" t="str">
        <f>_xlfn.XLOOKUP(A343,Orders[OrderID],Orders[City])</f>
        <v>Chennai</v>
      </c>
      <c r="L343" s="3">
        <f>YEAR(Clean_Data[[#This Row],[OrderDate]])</f>
        <v>2018</v>
      </c>
      <c r="M343" s="3">
        <f>MONTH(Clean_Data[[#This Row],[OrderDate]])</f>
        <v>4</v>
      </c>
      <c r="N343" s="8" t="str">
        <f>TEXT(Clean_Data[[#This Row],[OrderDate]],"mmm")</f>
        <v>Apr</v>
      </c>
      <c r="O343" s="8" t="str">
        <f>TEXT(Clean_Data[[#This Row],[OrderDate]], "yyyy-mm")</f>
        <v>2018-04</v>
      </c>
      <c r="P343" s="7">
        <f>Clean_Data[[#This Row],[Profit]]/Clean_Data[[#This Row],[Revenue ]]</f>
        <v>8.9494163424124515E-2</v>
      </c>
      <c r="Q343" t="str">
        <f>"Q"&amp;ROUNDUP(MONTH(Clean_Data[[#This Row],[OrderDate]])/3,0)</f>
        <v>Q2</v>
      </c>
      <c r="R343" t="str">
        <f>TEXT(Clean_Data[[#This Row],[OrderDate]], "dddd")</f>
        <v>Sunday</v>
      </c>
    </row>
    <row r="344" spans="1:18" x14ac:dyDescent="0.25">
      <c r="A344" t="s">
        <v>130</v>
      </c>
      <c r="B344" s="4">
        <v>76</v>
      </c>
      <c r="C344" s="4">
        <v>27</v>
      </c>
      <c r="D344" s="3">
        <v>5</v>
      </c>
      <c r="E344" t="s">
        <v>895</v>
      </c>
      <c r="F344" t="s">
        <v>903</v>
      </c>
      <c r="G344" t="s">
        <v>887</v>
      </c>
      <c r="H344" s="6">
        <f>_xlfn.XLOOKUP(A344,Orders[OrderID],Orders[OrderDate])</f>
        <v>43326</v>
      </c>
      <c r="I344" t="str">
        <f>_xlfn.XLOOKUP(A344,Orders[OrderID],Orders[CustomerName])</f>
        <v>Vaibhav</v>
      </c>
      <c r="J344" t="str">
        <f>_xlfn.XLOOKUP(A344,Orders[OrderID],Orders[State])</f>
        <v>Madhya Pradesh</v>
      </c>
      <c r="K344" t="str">
        <f>_xlfn.XLOOKUP(A344,Orders[OrderID],Orders[City])</f>
        <v>Indore</v>
      </c>
      <c r="L344" s="3">
        <f>YEAR(Clean_Data[[#This Row],[OrderDate]])</f>
        <v>2018</v>
      </c>
      <c r="M344" s="3">
        <f>MONTH(Clean_Data[[#This Row],[OrderDate]])</f>
        <v>8</v>
      </c>
      <c r="N344" s="8" t="str">
        <f>TEXT(Clean_Data[[#This Row],[OrderDate]],"mmm")</f>
        <v>Aug</v>
      </c>
      <c r="O344" s="8" t="str">
        <f>TEXT(Clean_Data[[#This Row],[OrderDate]], "yyyy-mm")</f>
        <v>2018-08</v>
      </c>
      <c r="P344" s="7">
        <f>Clean_Data[[#This Row],[Profit]]/Clean_Data[[#This Row],[Revenue ]]</f>
        <v>0.35526315789473684</v>
      </c>
      <c r="Q344" t="str">
        <f>"Q"&amp;ROUNDUP(MONTH(Clean_Data[[#This Row],[OrderDate]])/3,0)</f>
        <v>Q3</v>
      </c>
      <c r="R344" t="str">
        <f>TEXT(Clean_Data[[#This Row],[OrderDate]], "dddd")</f>
        <v>Tuesday</v>
      </c>
    </row>
    <row r="345" spans="1:18" x14ac:dyDescent="0.25">
      <c r="A345" t="s">
        <v>661</v>
      </c>
      <c r="B345" s="4">
        <v>44</v>
      </c>
      <c r="C345" s="4">
        <v>-32</v>
      </c>
      <c r="D345" s="3">
        <v>3</v>
      </c>
      <c r="E345" t="s">
        <v>895</v>
      </c>
      <c r="F345" t="s">
        <v>903</v>
      </c>
      <c r="G345" t="s">
        <v>907</v>
      </c>
      <c r="H345" s="6">
        <f>_xlfn.XLOOKUP(A345,Orders[OrderID],Orders[OrderDate])</f>
        <v>43276</v>
      </c>
      <c r="I345" t="str">
        <f>_xlfn.XLOOKUP(A345,Orders[OrderID],Orders[CustomerName])</f>
        <v>Shubhi</v>
      </c>
      <c r="J345" t="str">
        <f>_xlfn.XLOOKUP(A345,Orders[OrderID],Orders[State])</f>
        <v>Maharashtra</v>
      </c>
      <c r="K345" t="str">
        <f>_xlfn.XLOOKUP(A345,Orders[OrderID],Orders[City])</f>
        <v>Mumbai</v>
      </c>
      <c r="L345" s="3">
        <f>YEAR(Clean_Data[[#This Row],[OrderDate]])</f>
        <v>2018</v>
      </c>
      <c r="M345" s="3">
        <f>MONTH(Clean_Data[[#This Row],[OrderDate]])</f>
        <v>6</v>
      </c>
      <c r="N345" s="8" t="str">
        <f>TEXT(Clean_Data[[#This Row],[OrderDate]],"mmm")</f>
        <v>Jun</v>
      </c>
      <c r="O345" s="8" t="str">
        <f>TEXT(Clean_Data[[#This Row],[OrderDate]], "yyyy-mm")</f>
        <v>2018-06</v>
      </c>
      <c r="P345" s="7">
        <f>Clean_Data[[#This Row],[Profit]]/Clean_Data[[#This Row],[Revenue ]]</f>
        <v>-0.72727272727272729</v>
      </c>
      <c r="Q345" t="str">
        <f>"Q"&amp;ROUNDUP(MONTH(Clean_Data[[#This Row],[OrderDate]])/3,0)</f>
        <v>Q2</v>
      </c>
      <c r="R345" t="str">
        <f>TEXT(Clean_Data[[#This Row],[OrderDate]], "dddd")</f>
        <v>Monday</v>
      </c>
    </row>
    <row r="346" spans="1:18" x14ac:dyDescent="0.25">
      <c r="A346" t="s">
        <v>307</v>
      </c>
      <c r="B346" s="4">
        <v>257</v>
      </c>
      <c r="C346" s="4">
        <v>3</v>
      </c>
      <c r="D346" s="3">
        <v>2</v>
      </c>
      <c r="E346" t="s">
        <v>895</v>
      </c>
      <c r="F346" t="s">
        <v>897</v>
      </c>
      <c r="G346" t="s">
        <v>887</v>
      </c>
      <c r="H346" s="6">
        <f>_xlfn.XLOOKUP(A346,Orders[OrderID],Orders[OrderDate])</f>
        <v>43414</v>
      </c>
      <c r="I346" t="str">
        <f>_xlfn.XLOOKUP(A346,Orders[OrderID],Orders[CustomerName])</f>
        <v>Abhijeet</v>
      </c>
      <c r="J346" t="str">
        <f>_xlfn.XLOOKUP(A346,Orders[OrderID],Orders[State])</f>
        <v>Maharashtra</v>
      </c>
      <c r="K346" t="str">
        <f>_xlfn.XLOOKUP(A346,Orders[OrderID],Orders[City])</f>
        <v>Mumbai</v>
      </c>
      <c r="L346" s="3">
        <f>YEAR(Clean_Data[[#This Row],[OrderDate]])</f>
        <v>2018</v>
      </c>
      <c r="M346" s="3">
        <f>MONTH(Clean_Data[[#This Row],[OrderDate]])</f>
        <v>11</v>
      </c>
      <c r="N346" s="8" t="str">
        <f>TEXT(Clean_Data[[#This Row],[OrderDate]],"mmm")</f>
        <v>Nov</v>
      </c>
      <c r="O346" s="8" t="str">
        <f>TEXT(Clean_Data[[#This Row],[OrderDate]], "yyyy-mm")</f>
        <v>2018-11</v>
      </c>
      <c r="P346" s="7">
        <f>Clean_Data[[#This Row],[Profit]]/Clean_Data[[#This Row],[Revenue ]]</f>
        <v>1.1673151750972763E-2</v>
      </c>
      <c r="Q346" t="str">
        <f>"Q"&amp;ROUNDUP(MONTH(Clean_Data[[#This Row],[OrderDate]])/3,0)</f>
        <v>Q4</v>
      </c>
      <c r="R346" t="str">
        <f>TEXT(Clean_Data[[#This Row],[OrderDate]], "dddd")</f>
        <v>Saturday</v>
      </c>
    </row>
    <row r="347" spans="1:18" x14ac:dyDescent="0.25">
      <c r="A347" t="s">
        <v>526</v>
      </c>
      <c r="B347" s="4">
        <v>255</v>
      </c>
      <c r="C347" s="4">
        <v>76</v>
      </c>
      <c r="D347" s="3">
        <v>9</v>
      </c>
      <c r="E347" t="s">
        <v>895</v>
      </c>
      <c r="F347" t="s">
        <v>899</v>
      </c>
      <c r="G347" t="s">
        <v>887</v>
      </c>
      <c r="H347" s="6">
        <f>_xlfn.XLOOKUP(A347,Orders[OrderID],Orders[OrderDate])</f>
        <v>43150</v>
      </c>
      <c r="I347" t="str">
        <f>_xlfn.XLOOKUP(A347,Orders[OrderID],Orders[CustomerName])</f>
        <v>Kanak</v>
      </c>
      <c r="J347" t="str">
        <f>_xlfn.XLOOKUP(A347,Orders[OrderID],Orders[State])</f>
        <v>Goa</v>
      </c>
      <c r="K347" t="str">
        <f>_xlfn.XLOOKUP(A347,Orders[OrderID],Orders[City])</f>
        <v>Goa</v>
      </c>
      <c r="L347" s="3">
        <f>YEAR(Clean_Data[[#This Row],[OrderDate]])</f>
        <v>2018</v>
      </c>
      <c r="M347" s="3">
        <f>MONTH(Clean_Data[[#This Row],[OrderDate]])</f>
        <v>2</v>
      </c>
      <c r="N347" s="8" t="str">
        <f>TEXT(Clean_Data[[#This Row],[OrderDate]],"mmm")</f>
        <v>Feb</v>
      </c>
      <c r="O347" s="8" t="str">
        <f>TEXT(Clean_Data[[#This Row],[OrderDate]], "yyyy-mm")</f>
        <v>2018-02</v>
      </c>
      <c r="P347" s="7">
        <f>Clean_Data[[#This Row],[Profit]]/Clean_Data[[#This Row],[Revenue ]]</f>
        <v>0.29803921568627451</v>
      </c>
      <c r="Q347" t="str">
        <f>"Q"&amp;ROUNDUP(MONTH(Clean_Data[[#This Row],[OrderDate]])/3,0)</f>
        <v>Q1</v>
      </c>
      <c r="R347" t="str">
        <f>TEXT(Clean_Data[[#This Row],[OrderDate]], "dddd")</f>
        <v>Monday</v>
      </c>
    </row>
    <row r="348" spans="1:18" x14ac:dyDescent="0.25">
      <c r="A348" t="s">
        <v>544</v>
      </c>
      <c r="B348" s="4">
        <v>44</v>
      </c>
      <c r="C348" s="4">
        <v>14</v>
      </c>
      <c r="D348" s="3">
        <v>3</v>
      </c>
      <c r="E348" t="s">
        <v>895</v>
      </c>
      <c r="F348" t="s">
        <v>899</v>
      </c>
      <c r="G348" t="s">
        <v>907</v>
      </c>
      <c r="H348" s="6">
        <f>_xlfn.XLOOKUP(A348,Orders[OrderID],Orders[OrderDate])</f>
        <v>43419</v>
      </c>
      <c r="I348" t="str">
        <f>_xlfn.XLOOKUP(A348,Orders[OrderID],Orders[CustomerName])</f>
        <v>Aayush</v>
      </c>
      <c r="J348" t="str">
        <f>_xlfn.XLOOKUP(A348,Orders[OrderID],Orders[State])</f>
        <v>Uttar Pradesh</v>
      </c>
      <c r="K348" t="str">
        <f>_xlfn.XLOOKUP(A348,Orders[OrderID],Orders[City])</f>
        <v>Lucknow</v>
      </c>
      <c r="L348" s="3">
        <f>YEAR(Clean_Data[[#This Row],[OrderDate]])</f>
        <v>2018</v>
      </c>
      <c r="M348" s="3">
        <f>MONTH(Clean_Data[[#This Row],[OrderDate]])</f>
        <v>11</v>
      </c>
      <c r="N348" s="8" t="str">
        <f>TEXT(Clean_Data[[#This Row],[OrderDate]],"mmm")</f>
        <v>Nov</v>
      </c>
      <c r="O348" s="8" t="str">
        <f>TEXT(Clean_Data[[#This Row],[OrderDate]], "yyyy-mm")</f>
        <v>2018-11</v>
      </c>
      <c r="P348" s="7">
        <f>Clean_Data[[#This Row],[Profit]]/Clean_Data[[#This Row],[Revenue ]]</f>
        <v>0.31818181818181818</v>
      </c>
      <c r="Q348" t="str">
        <f>"Q"&amp;ROUNDUP(MONTH(Clean_Data[[#This Row],[OrderDate]])/3,0)</f>
        <v>Q4</v>
      </c>
      <c r="R348" t="str">
        <f>TEXT(Clean_Data[[#This Row],[OrderDate]], "dddd")</f>
        <v>Thursday</v>
      </c>
    </row>
    <row r="349" spans="1:18" x14ac:dyDescent="0.25">
      <c r="A349" t="s">
        <v>642</v>
      </c>
      <c r="B349" s="4">
        <v>45</v>
      </c>
      <c r="C349" s="4">
        <v>-2</v>
      </c>
      <c r="D349" s="3">
        <v>4</v>
      </c>
      <c r="E349" t="s">
        <v>895</v>
      </c>
      <c r="F349" t="s">
        <v>909</v>
      </c>
      <c r="G349" t="s">
        <v>887</v>
      </c>
      <c r="H349" s="6">
        <f>_xlfn.XLOOKUP(A349,Orders[OrderID],Orders[OrderDate])</f>
        <v>43248</v>
      </c>
      <c r="I349" t="str">
        <f>_xlfn.XLOOKUP(A349,Orders[OrderID],Orders[CustomerName])</f>
        <v>Arsheen</v>
      </c>
      <c r="J349" t="str">
        <f>_xlfn.XLOOKUP(A349,Orders[OrderID],Orders[State])</f>
        <v>Gujarat</v>
      </c>
      <c r="K349" t="str">
        <f>_xlfn.XLOOKUP(A349,Orders[OrderID],Orders[City])</f>
        <v>Ahmedabad</v>
      </c>
      <c r="L349" s="3">
        <f>YEAR(Clean_Data[[#This Row],[OrderDate]])</f>
        <v>2018</v>
      </c>
      <c r="M349" s="3">
        <f>MONTH(Clean_Data[[#This Row],[OrderDate]])</f>
        <v>5</v>
      </c>
      <c r="N349" s="8" t="str">
        <f>TEXT(Clean_Data[[#This Row],[OrderDate]],"mmm")</f>
        <v>May</v>
      </c>
      <c r="O349" s="8" t="str">
        <f>TEXT(Clean_Data[[#This Row],[OrderDate]], "yyyy-mm")</f>
        <v>2018-05</v>
      </c>
      <c r="P349" s="7">
        <f>Clean_Data[[#This Row],[Profit]]/Clean_Data[[#This Row],[Revenue ]]</f>
        <v>-4.4444444444444446E-2</v>
      </c>
      <c r="Q349" t="str">
        <f>"Q"&amp;ROUNDUP(MONTH(Clean_Data[[#This Row],[OrderDate]])/3,0)</f>
        <v>Q2</v>
      </c>
      <c r="R349" t="str">
        <f>TEXT(Clean_Data[[#This Row],[OrderDate]], "dddd")</f>
        <v>Monday</v>
      </c>
    </row>
    <row r="350" spans="1:18" x14ac:dyDescent="0.25">
      <c r="A350" t="s">
        <v>85</v>
      </c>
      <c r="B350" s="4">
        <v>44</v>
      </c>
      <c r="C350" s="4">
        <v>-3</v>
      </c>
      <c r="D350" s="3">
        <v>1</v>
      </c>
      <c r="E350" t="s">
        <v>895</v>
      </c>
      <c r="F350" t="s">
        <v>897</v>
      </c>
      <c r="G350" t="s">
        <v>907</v>
      </c>
      <c r="H350" s="6">
        <f>_xlfn.XLOOKUP(A350,Orders[OrderID],Orders[OrderDate])</f>
        <v>43255</v>
      </c>
      <c r="I350" t="str">
        <f>_xlfn.XLOOKUP(A350,Orders[OrderID],Orders[CustomerName])</f>
        <v>Bhawna</v>
      </c>
      <c r="J350" t="str">
        <f>_xlfn.XLOOKUP(A350,Orders[OrderID],Orders[State])</f>
        <v>Madhya Pradesh</v>
      </c>
      <c r="K350" t="str">
        <f>_xlfn.XLOOKUP(A350,Orders[OrderID],Orders[City])</f>
        <v>Indore</v>
      </c>
      <c r="L350" s="3">
        <f>YEAR(Clean_Data[[#This Row],[OrderDate]])</f>
        <v>2018</v>
      </c>
      <c r="M350" s="3">
        <f>MONTH(Clean_Data[[#This Row],[OrderDate]])</f>
        <v>6</v>
      </c>
      <c r="N350" s="8" t="str">
        <f>TEXT(Clean_Data[[#This Row],[OrderDate]],"mmm")</f>
        <v>Jun</v>
      </c>
      <c r="O350" s="8" t="str">
        <f>TEXT(Clean_Data[[#This Row],[OrderDate]], "yyyy-mm")</f>
        <v>2018-06</v>
      </c>
      <c r="P350" s="7">
        <f>Clean_Data[[#This Row],[Profit]]/Clean_Data[[#This Row],[Revenue ]]</f>
        <v>-6.8181818181818177E-2</v>
      </c>
      <c r="Q350" t="str">
        <f>"Q"&amp;ROUNDUP(MONTH(Clean_Data[[#This Row],[OrderDate]])/3,0)</f>
        <v>Q2</v>
      </c>
      <c r="R350" t="str">
        <f>TEXT(Clean_Data[[#This Row],[OrderDate]], "dddd")</f>
        <v>Monday</v>
      </c>
    </row>
    <row r="351" spans="1:18" x14ac:dyDescent="0.25">
      <c r="A351" t="s">
        <v>136</v>
      </c>
      <c r="B351" s="4">
        <v>382</v>
      </c>
      <c r="C351" s="4">
        <v>119</v>
      </c>
      <c r="D351" s="3">
        <v>2</v>
      </c>
      <c r="E351" t="s">
        <v>895</v>
      </c>
      <c r="F351" t="s">
        <v>897</v>
      </c>
      <c r="G351" t="s">
        <v>893</v>
      </c>
      <c r="H351" s="6">
        <f>_xlfn.XLOOKUP(A351,Orders[OrderID],Orders[OrderDate])</f>
        <v>43166</v>
      </c>
      <c r="I351" t="str">
        <f>_xlfn.XLOOKUP(A351,Orders[OrderID],Orders[CustomerName])</f>
        <v>Parishi</v>
      </c>
      <c r="J351" t="str">
        <f>_xlfn.XLOOKUP(A351,Orders[OrderID],Orders[State])</f>
        <v>West Bengal</v>
      </c>
      <c r="K351" t="str">
        <f>_xlfn.XLOOKUP(A351,Orders[OrderID],Orders[City])</f>
        <v>Kolkata</v>
      </c>
      <c r="L351" s="3">
        <f>YEAR(Clean_Data[[#This Row],[OrderDate]])</f>
        <v>2018</v>
      </c>
      <c r="M351" s="3">
        <f>MONTH(Clean_Data[[#This Row],[OrderDate]])</f>
        <v>3</v>
      </c>
      <c r="N351" s="8" t="str">
        <f>TEXT(Clean_Data[[#This Row],[OrderDate]],"mmm")</f>
        <v>Mar</v>
      </c>
      <c r="O351" s="8" t="str">
        <f>TEXT(Clean_Data[[#This Row],[OrderDate]], "yyyy-mm")</f>
        <v>2018-03</v>
      </c>
      <c r="P351" s="7">
        <f>Clean_Data[[#This Row],[Profit]]/Clean_Data[[#This Row],[Revenue ]]</f>
        <v>0.31151832460732987</v>
      </c>
      <c r="Q351" t="str">
        <f>"Q"&amp;ROUNDUP(MONTH(Clean_Data[[#This Row],[OrderDate]])/3,0)</f>
        <v>Q1</v>
      </c>
      <c r="R351" t="str">
        <f>TEXT(Clean_Data[[#This Row],[OrderDate]], "dddd")</f>
        <v>Wednesday</v>
      </c>
    </row>
    <row r="352" spans="1:18" x14ac:dyDescent="0.25">
      <c r="A352" t="s">
        <v>284</v>
      </c>
      <c r="B352" s="4">
        <v>250</v>
      </c>
      <c r="C352" s="4">
        <v>100</v>
      </c>
      <c r="D352" s="3">
        <v>3</v>
      </c>
      <c r="E352" t="s">
        <v>895</v>
      </c>
      <c r="F352" t="s">
        <v>896</v>
      </c>
      <c r="G352" t="s">
        <v>887</v>
      </c>
      <c r="H352" s="6">
        <f>_xlfn.XLOOKUP(A352,Orders[OrderID],Orders[OrderDate])</f>
        <v>43113</v>
      </c>
      <c r="I352" t="str">
        <f>_xlfn.XLOOKUP(A352,Orders[OrderID],Orders[CustomerName])</f>
        <v>Jesal</v>
      </c>
      <c r="J352" t="str">
        <f>_xlfn.XLOOKUP(A352,Orders[OrderID],Orders[State])</f>
        <v>West Bengal</v>
      </c>
      <c r="K352" t="str">
        <f>_xlfn.XLOOKUP(A352,Orders[OrderID],Orders[City])</f>
        <v>Kolkata</v>
      </c>
      <c r="L352" s="3">
        <f>YEAR(Clean_Data[[#This Row],[OrderDate]])</f>
        <v>2018</v>
      </c>
      <c r="M352" s="3">
        <f>MONTH(Clean_Data[[#This Row],[OrderDate]])</f>
        <v>1</v>
      </c>
      <c r="N352" s="8" t="str">
        <f>TEXT(Clean_Data[[#This Row],[OrderDate]],"mmm")</f>
        <v>Jan</v>
      </c>
      <c r="O352" s="8" t="str">
        <f>TEXT(Clean_Data[[#This Row],[OrderDate]], "yyyy-mm")</f>
        <v>2018-01</v>
      </c>
      <c r="P352" s="7">
        <f>Clean_Data[[#This Row],[Profit]]/Clean_Data[[#This Row],[Revenue ]]</f>
        <v>0.4</v>
      </c>
      <c r="Q352" t="str">
        <f>"Q"&amp;ROUNDUP(MONTH(Clean_Data[[#This Row],[OrderDate]])/3,0)</f>
        <v>Q1</v>
      </c>
      <c r="R352" t="str">
        <f>TEXT(Clean_Data[[#This Row],[OrderDate]], "dddd")</f>
        <v>Saturday</v>
      </c>
    </row>
    <row r="353" spans="1:18" x14ac:dyDescent="0.25">
      <c r="A353" t="s">
        <v>557</v>
      </c>
      <c r="B353" s="4">
        <v>45</v>
      </c>
      <c r="C353" s="4">
        <v>-15</v>
      </c>
      <c r="D353" s="3">
        <v>2</v>
      </c>
      <c r="E353" t="s">
        <v>888</v>
      </c>
      <c r="F353" t="s">
        <v>889</v>
      </c>
      <c r="G353" t="s">
        <v>887</v>
      </c>
      <c r="H353" s="6">
        <f>_xlfn.XLOOKUP(A353,Orders[OrderID],Orders[OrderDate])</f>
        <v>43374</v>
      </c>
      <c r="I353" t="str">
        <f>_xlfn.XLOOKUP(A353,Orders[OrderID],Orders[CustomerName])</f>
        <v>Divyansh</v>
      </c>
      <c r="J353" t="str">
        <f>_xlfn.XLOOKUP(A353,Orders[OrderID],Orders[State])</f>
        <v>Gujarat</v>
      </c>
      <c r="K353" t="str">
        <f>_xlfn.XLOOKUP(A353,Orders[OrderID],Orders[City])</f>
        <v>Ahmedabad</v>
      </c>
      <c r="L353" s="3">
        <f>YEAR(Clean_Data[[#This Row],[OrderDate]])</f>
        <v>2018</v>
      </c>
      <c r="M353" s="3">
        <f>MONTH(Clean_Data[[#This Row],[OrderDate]])</f>
        <v>10</v>
      </c>
      <c r="N353" s="8" t="str">
        <f>TEXT(Clean_Data[[#This Row],[OrderDate]],"mmm")</f>
        <v>Oct</v>
      </c>
      <c r="O353" s="8" t="str">
        <f>TEXT(Clean_Data[[#This Row],[OrderDate]], "yyyy-mm")</f>
        <v>2018-10</v>
      </c>
      <c r="P353" s="7">
        <f>Clean_Data[[#This Row],[Profit]]/Clean_Data[[#This Row],[Revenue ]]</f>
        <v>-0.33333333333333331</v>
      </c>
      <c r="Q353" t="str">
        <f>"Q"&amp;ROUNDUP(MONTH(Clean_Data[[#This Row],[OrderDate]])/3,0)</f>
        <v>Q4</v>
      </c>
      <c r="R353" t="str">
        <f>TEXT(Clean_Data[[#This Row],[OrderDate]], "dddd")</f>
        <v>Monday</v>
      </c>
    </row>
    <row r="354" spans="1:18" x14ac:dyDescent="0.25">
      <c r="A354" t="s">
        <v>350</v>
      </c>
      <c r="B354" s="4">
        <v>246</v>
      </c>
      <c r="C354" s="4">
        <v>61</v>
      </c>
      <c r="D354" s="3">
        <v>2</v>
      </c>
      <c r="E354" t="s">
        <v>888</v>
      </c>
      <c r="F354" t="s">
        <v>891</v>
      </c>
      <c r="G354" t="s">
        <v>887</v>
      </c>
      <c r="H354" s="6">
        <f>_xlfn.XLOOKUP(A354,Orders[OrderID],Orders[OrderDate])</f>
        <v>43168</v>
      </c>
      <c r="I354" t="str">
        <f>_xlfn.XLOOKUP(A354,Orders[OrderID],Orders[CustomerName])</f>
        <v>Kirti</v>
      </c>
      <c r="J354" t="str">
        <f>_xlfn.XLOOKUP(A354,Orders[OrderID],Orders[State])</f>
        <v>Jammu and Kashmir</v>
      </c>
      <c r="K354" t="str">
        <f>_xlfn.XLOOKUP(A354,Orders[OrderID],Orders[City])</f>
        <v>Kashmir</v>
      </c>
      <c r="L354" s="3">
        <f>YEAR(Clean_Data[[#This Row],[OrderDate]])</f>
        <v>2018</v>
      </c>
      <c r="M354" s="3">
        <f>MONTH(Clean_Data[[#This Row],[OrderDate]])</f>
        <v>3</v>
      </c>
      <c r="N354" s="8" t="str">
        <f>TEXT(Clean_Data[[#This Row],[OrderDate]],"mmm")</f>
        <v>Mar</v>
      </c>
      <c r="O354" s="8" t="str">
        <f>TEXT(Clean_Data[[#This Row],[OrderDate]], "yyyy-mm")</f>
        <v>2018-03</v>
      </c>
      <c r="P354" s="7">
        <f>Clean_Data[[#This Row],[Profit]]/Clean_Data[[#This Row],[Revenue ]]</f>
        <v>0.24796747967479674</v>
      </c>
      <c r="Q354" t="str">
        <f>"Q"&amp;ROUNDUP(MONTH(Clean_Data[[#This Row],[OrderDate]])/3,0)</f>
        <v>Q1</v>
      </c>
      <c r="R354" t="str">
        <f>TEXT(Clean_Data[[#This Row],[OrderDate]], "dddd")</f>
        <v>Friday</v>
      </c>
    </row>
    <row r="355" spans="1:18" x14ac:dyDescent="0.25">
      <c r="A355" t="s">
        <v>504</v>
      </c>
      <c r="B355" s="4">
        <v>50</v>
      </c>
      <c r="C355" s="4">
        <v>25</v>
      </c>
      <c r="D355" s="3">
        <v>5</v>
      </c>
      <c r="E355" t="s">
        <v>895</v>
      </c>
      <c r="F355" t="s">
        <v>903</v>
      </c>
      <c r="G355" t="s">
        <v>887</v>
      </c>
      <c r="H355" s="6">
        <f>_xlfn.XLOOKUP(A355,Orders[OrderID],Orders[OrderDate])</f>
        <v>43152</v>
      </c>
      <c r="I355" t="str">
        <f>_xlfn.XLOOKUP(A355,Orders[OrderID],Orders[CustomerName])</f>
        <v>Sarita</v>
      </c>
      <c r="J355" t="str">
        <f>_xlfn.XLOOKUP(A355,Orders[OrderID],Orders[State])</f>
        <v>Maharashtra</v>
      </c>
      <c r="K355" t="str">
        <f>_xlfn.XLOOKUP(A355,Orders[OrderID],Orders[City])</f>
        <v>Pune</v>
      </c>
      <c r="L355" s="3">
        <f>YEAR(Clean_Data[[#This Row],[OrderDate]])</f>
        <v>2018</v>
      </c>
      <c r="M355" s="3">
        <f>MONTH(Clean_Data[[#This Row],[OrderDate]])</f>
        <v>2</v>
      </c>
      <c r="N355" s="8" t="str">
        <f>TEXT(Clean_Data[[#This Row],[OrderDate]],"mmm")</f>
        <v>Feb</v>
      </c>
      <c r="O355" s="8" t="str">
        <f>TEXT(Clean_Data[[#This Row],[OrderDate]], "yyyy-mm")</f>
        <v>2018-02</v>
      </c>
      <c r="P355" s="7">
        <f>Clean_Data[[#This Row],[Profit]]/Clean_Data[[#This Row],[Revenue ]]</f>
        <v>0.5</v>
      </c>
      <c r="Q355" t="str">
        <f>"Q"&amp;ROUNDUP(MONTH(Clean_Data[[#This Row],[OrderDate]])/3,0)</f>
        <v>Q1</v>
      </c>
      <c r="R355" t="str">
        <f>TEXT(Clean_Data[[#This Row],[OrderDate]], "dddd")</f>
        <v>Wednesday</v>
      </c>
    </row>
    <row r="356" spans="1:18" x14ac:dyDescent="0.25">
      <c r="A356" t="s">
        <v>358</v>
      </c>
      <c r="B356" s="4">
        <v>246</v>
      </c>
      <c r="C356" s="4">
        <v>98</v>
      </c>
      <c r="D356" s="3">
        <v>5</v>
      </c>
      <c r="E356" t="s">
        <v>895</v>
      </c>
      <c r="F356" t="s">
        <v>899</v>
      </c>
      <c r="G356" t="s">
        <v>887</v>
      </c>
      <c r="H356" s="6">
        <f>_xlfn.XLOOKUP(A356,Orders[OrderID],Orders[OrderDate])</f>
        <v>43169</v>
      </c>
      <c r="I356" t="str">
        <f>_xlfn.XLOOKUP(A356,Orders[OrderID],Orders[CustomerName])</f>
        <v>Mayank</v>
      </c>
      <c r="J356" t="str">
        <f>_xlfn.XLOOKUP(A356,Orders[OrderID],Orders[State])</f>
        <v>Maharashtra</v>
      </c>
      <c r="K356" t="str">
        <f>_xlfn.XLOOKUP(A356,Orders[OrderID],Orders[City])</f>
        <v>Mumbai</v>
      </c>
      <c r="L356" s="3">
        <f>YEAR(Clean_Data[[#This Row],[OrderDate]])</f>
        <v>2018</v>
      </c>
      <c r="M356" s="3">
        <f>MONTH(Clean_Data[[#This Row],[OrderDate]])</f>
        <v>3</v>
      </c>
      <c r="N356" s="8" t="str">
        <f>TEXT(Clean_Data[[#This Row],[OrderDate]],"mmm")</f>
        <v>Mar</v>
      </c>
      <c r="O356" s="8" t="str">
        <f>TEXT(Clean_Data[[#This Row],[OrderDate]], "yyyy-mm")</f>
        <v>2018-03</v>
      </c>
      <c r="P356" s="7">
        <f>Clean_Data[[#This Row],[Profit]]/Clean_Data[[#This Row],[Revenue ]]</f>
        <v>0.3983739837398374</v>
      </c>
      <c r="Q356" t="str">
        <f>"Q"&amp;ROUNDUP(MONTH(Clean_Data[[#This Row],[OrderDate]])/3,0)</f>
        <v>Q1</v>
      </c>
      <c r="R356" t="str">
        <f>TEXT(Clean_Data[[#This Row],[OrderDate]], "dddd")</f>
        <v>Saturday</v>
      </c>
    </row>
    <row r="357" spans="1:18" x14ac:dyDescent="0.25">
      <c r="A357" t="s">
        <v>237</v>
      </c>
      <c r="B357" s="4">
        <v>44</v>
      </c>
      <c r="C357" s="4">
        <v>99</v>
      </c>
      <c r="D357" s="3">
        <v>3</v>
      </c>
      <c r="E357" t="s">
        <v>895</v>
      </c>
      <c r="F357" t="s">
        <v>900</v>
      </c>
      <c r="G357" t="s">
        <v>907</v>
      </c>
      <c r="H357" s="6">
        <f>_xlfn.XLOOKUP(A357,Orders[OrderID],Orders[OrderDate])</f>
        <v>43272</v>
      </c>
      <c r="I357" t="str">
        <f>_xlfn.XLOOKUP(A357,Orders[OrderID],Orders[CustomerName])</f>
        <v>Noopur</v>
      </c>
      <c r="J357" t="str">
        <f>_xlfn.XLOOKUP(A357,Orders[OrderID],Orders[State])</f>
        <v>Karnataka</v>
      </c>
      <c r="K357" t="str">
        <f>_xlfn.XLOOKUP(A357,Orders[OrderID],Orders[City])</f>
        <v>Bangalore</v>
      </c>
      <c r="L357" s="3">
        <f>YEAR(Clean_Data[[#This Row],[OrderDate]])</f>
        <v>2018</v>
      </c>
      <c r="M357" s="3">
        <f>MONTH(Clean_Data[[#This Row],[OrderDate]])</f>
        <v>6</v>
      </c>
      <c r="N357" s="8" t="str">
        <f>TEXT(Clean_Data[[#This Row],[OrderDate]],"mmm")</f>
        <v>Jun</v>
      </c>
      <c r="O357" s="8" t="str">
        <f>TEXT(Clean_Data[[#This Row],[OrderDate]], "yyyy-mm")</f>
        <v>2018-06</v>
      </c>
      <c r="P357" s="7">
        <f>Clean_Data[[#This Row],[Profit]]/Clean_Data[[#This Row],[Revenue ]]</f>
        <v>2.25</v>
      </c>
      <c r="Q357" t="str">
        <f>"Q"&amp;ROUNDUP(MONTH(Clean_Data[[#This Row],[OrderDate]])/3,0)</f>
        <v>Q2</v>
      </c>
      <c r="R357" t="str">
        <f>TEXT(Clean_Data[[#This Row],[OrderDate]], "dddd")</f>
        <v>Thursday</v>
      </c>
    </row>
    <row r="358" spans="1:18" x14ac:dyDescent="0.25">
      <c r="A358" t="s">
        <v>531</v>
      </c>
      <c r="B358" s="4">
        <v>245</v>
      </c>
      <c r="C358" s="4">
        <v>-78</v>
      </c>
      <c r="D358" s="3">
        <v>3</v>
      </c>
      <c r="E358" t="s">
        <v>895</v>
      </c>
      <c r="F358" t="s">
        <v>897</v>
      </c>
      <c r="G358" t="s">
        <v>887</v>
      </c>
      <c r="H358" s="6">
        <f>_xlfn.XLOOKUP(A358,Orders[OrderID],Orders[OrderDate])</f>
        <v>43236</v>
      </c>
      <c r="I358" t="str">
        <f>_xlfn.XLOOKUP(A358,Orders[OrderID],Orders[CustomerName])</f>
        <v>Shruti</v>
      </c>
      <c r="J358" t="str">
        <f>_xlfn.XLOOKUP(A358,Orders[OrderID],Orders[State])</f>
        <v>Karnataka</v>
      </c>
      <c r="K358" t="str">
        <f>_xlfn.XLOOKUP(A358,Orders[OrderID],Orders[City])</f>
        <v>Bangalore</v>
      </c>
      <c r="L358" s="3">
        <f>YEAR(Clean_Data[[#This Row],[OrderDate]])</f>
        <v>2018</v>
      </c>
      <c r="M358" s="3">
        <f>MONTH(Clean_Data[[#This Row],[OrderDate]])</f>
        <v>5</v>
      </c>
      <c r="N358" s="8" t="str">
        <f>TEXT(Clean_Data[[#This Row],[OrderDate]],"mmm")</f>
        <v>May</v>
      </c>
      <c r="O358" s="8" t="str">
        <f>TEXT(Clean_Data[[#This Row],[OrderDate]], "yyyy-mm")</f>
        <v>2018-05</v>
      </c>
      <c r="P358" s="7">
        <f>Clean_Data[[#This Row],[Profit]]/Clean_Data[[#This Row],[Revenue ]]</f>
        <v>-0.3183673469387755</v>
      </c>
      <c r="Q358" t="str">
        <f>"Q"&amp;ROUNDUP(MONTH(Clean_Data[[#This Row],[OrderDate]])/3,0)</f>
        <v>Q2</v>
      </c>
      <c r="R358" t="str">
        <f>TEXT(Clean_Data[[#This Row],[OrderDate]], "dddd")</f>
        <v>Wednesday</v>
      </c>
    </row>
    <row r="359" spans="1:18" x14ac:dyDescent="0.25">
      <c r="A359" t="s">
        <v>34</v>
      </c>
      <c r="B359" s="4">
        <v>245</v>
      </c>
      <c r="C359" s="4">
        <v>30</v>
      </c>
      <c r="D359" s="3">
        <v>2</v>
      </c>
      <c r="E359" t="s">
        <v>895</v>
      </c>
      <c r="F359" t="s">
        <v>897</v>
      </c>
      <c r="G359" t="s">
        <v>887</v>
      </c>
      <c r="H359" s="6">
        <f>_xlfn.XLOOKUP(A359,Orders[OrderID],Orders[OrderDate])</f>
        <v>43417</v>
      </c>
      <c r="I359" t="str">
        <f>_xlfn.XLOOKUP(A359,Orders[OrderID],Orders[CustomerName])</f>
        <v>Uudhav</v>
      </c>
      <c r="J359" t="str">
        <f>_xlfn.XLOOKUP(A359,Orders[OrderID],Orders[State])</f>
        <v>Maharashtra</v>
      </c>
      <c r="K359" t="str">
        <f>_xlfn.XLOOKUP(A359,Orders[OrderID],Orders[City])</f>
        <v>Mumbai</v>
      </c>
      <c r="L359" s="3">
        <f>YEAR(Clean_Data[[#This Row],[OrderDate]])</f>
        <v>2018</v>
      </c>
      <c r="M359" s="3">
        <f>MONTH(Clean_Data[[#This Row],[OrderDate]])</f>
        <v>11</v>
      </c>
      <c r="N359" s="8" t="str">
        <f>TEXT(Clean_Data[[#This Row],[OrderDate]],"mmm")</f>
        <v>Nov</v>
      </c>
      <c r="O359" s="8" t="str">
        <f>TEXT(Clean_Data[[#This Row],[OrderDate]], "yyyy-mm")</f>
        <v>2018-11</v>
      </c>
      <c r="P359" s="7">
        <f>Clean_Data[[#This Row],[Profit]]/Clean_Data[[#This Row],[Revenue ]]</f>
        <v>0.12244897959183673</v>
      </c>
      <c r="Q359" t="str">
        <f>"Q"&amp;ROUNDUP(MONTH(Clean_Data[[#This Row],[OrderDate]])/3,0)</f>
        <v>Q4</v>
      </c>
      <c r="R359" t="str">
        <f>TEXT(Clean_Data[[#This Row],[OrderDate]], "dddd")</f>
        <v>Tuesday</v>
      </c>
    </row>
    <row r="360" spans="1:18" x14ac:dyDescent="0.25">
      <c r="A360" t="s">
        <v>449</v>
      </c>
      <c r="B360" s="4">
        <v>376</v>
      </c>
      <c r="C360" s="4">
        <v>0</v>
      </c>
      <c r="D360" s="3">
        <v>7</v>
      </c>
      <c r="E360" t="s">
        <v>895</v>
      </c>
      <c r="F360" t="s">
        <v>903</v>
      </c>
      <c r="G360" t="s">
        <v>893</v>
      </c>
      <c r="H360" s="6">
        <f>_xlfn.XLOOKUP(A360,Orders[OrderID],Orders[OrderDate])</f>
        <v>43162</v>
      </c>
      <c r="I360" t="str">
        <f>_xlfn.XLOOKUP(A360,Orders[OrderID],Orders[CustomerName])</f>
        <v>Nidhi</v>
      </c>
      <c r="J360" t="str">
        <f>_xlfn.XLOOKUP(A360,Orders[OrderID],Orders[State])</f>
        <v>Nagaland</v>
      </c>
      <c r="K360" t="str">
        <f>_xlfn.XLOOKUP(A360,Orders[OrderID],Orders[City])</f>
        <v>Kohima</v>
      </c>
      <c r="L360" s="3">
        <f>YEAR(Clean_Data[[#This Row],[OrderDate]])</f>
        <v>2018</v>
      </c>
      <c r="M360" s="3">
        <f>MONTH(Clean_Data[[#This Row],[OrderDate]])</f>
        <v>3</v>
      </c>
      <c r="N360" s="8" t="str">
        <f>TEXT(Clean_Data[[#This Row],[OrderDate]],"mmm")</f>
        <v>Mar</v>
      </c>
      <c r="O360" s="8" t="str">
        <f>TEXT(Clean_Data[[#This Row],[OrderDate]], "yyyy-mm")</f>
        <v>2018-03</v>
      </c>
      <c r="P360" s="7">
        <f>Clean_Data[[#This Row],[Profit]]/Clean_Data[[#This Row],[Revenue ]]</f>
        <v>0</v>
      </c>
      <c r="Q360" t="str">
        <f>"Q"&amp;ROUNDUP(MONTH(Clean_Data[[#This Row],[OrderDate]])/3,0)</f>
        <v>Q1</v>
      </c>
      <c r="R360" t="str">
        <f>TEXT(Clean_Data[[#This Row],[OrderDate]], "dddd")</f>
        <v>Saturday</v>
      </c>
    </row>
    <row r="361" spans="1:18" x14ac:dyDescent="0.25">
      <c r="A361" t="s">
        <v>228</v>
      </c>
      <c r="B361" s="4">
        <v>45</v>
      </c>
      <c r="C361" s="4">
        <v>1</v>
      </c>
      <c r="D361" s="3">
        <v>3</v>
      </c>
      <c r="E361" t="s">
        <v>895</v>
      </c>
      <c r="F361" t="s">
        <v>906</v>
      </c>
      <c r="G361" t="s">
        <v>907</v>
      </c>
      <c r="H361" s="6">
        <f>_xlfn.XLOOKUP(A361,Orders[OrderID],Orders[OrderDate])</f>
        <v>43409</v>
      </c>
      <c r="I361" t="str">
        <f>_xlfn.XLOOKUP(A361,Orders[OrderID],Orders[CustomerName])</f>
        <v>Abhishek</v>
      </c>
      <c r="J361" t="str">
        <f>_xlfn.XLOOKUP(A361,Orders[OrderID],Orders[State])</f>
        <v>Goa</v>
      </c>
      <c r="K361" t="str">
        <f>_xlfn.XLOOKUP(A361,Orders[OrderID],Orders[City])</f>
        <v>Goa</v>
      </c>
      <c r="L361" s="3">
        <f>YEAR(Clean_Data[[#This Row],[OrderDate]])</f>
        <v>2018</v>
      </c>
      <c r="M361" s="3">
        <f>MONTH(Clean_Data[[#This Row],[OrderDate]])</f>
        <v>11</v>
      </c>
      <c r="N361" s="8" t="str">
        <f>TEXT(Clean_Data[[#This Row],[OrderDate]],"mmm")</f>
        <v>Nov</v>
      </c>
      <c r="O361" s="8" t="str">
        <f>TEXT(Clean_Data[[#This Row],[OrderDate]], "yyyy-mm")</f>
        <v>2018-11</v>
      </c>
      <c r="P361" s="7">
        <f>Clean_Data[[#This Row],[Profit]]/Clean_Data[[#This Row],[Revenue ]]</f>
        <v>2.2222222222222223E-2</v>
      </c>
      <c r="Q361" t="str">
        <f>"Q"&amp;ROUNDUP(MONTH(Clean_Data[[#This Row],[OrderDate]])/3,0)</f>
        <v>Q4</v>
      </c>
      <c r="R361" t="str">
        <f>TEXT(Clean_Data[[#This Row],[OrderDate]], "dddd")</f>
        <v>Monday</v>
      </c>
    </row>
    <row r="362" spans="1:18" x14ac:dyDescent="0.25">
      <c r="A362" t="s">
        <v>271</v>
      </c>
      <c r="B362" s="4">
        <v>45</v>
      </c>
      <c r="C362" s="4">
        <v>-28</v>
      </c>
      <c r="D362" s="3">
        <v>2</v>
      </c>
      <c r="E362" t="s">
        <v>895</v>
      </c>
      <c r="F362" t="s">
        <v>903</v>
      </c>
      <c r="G362" t="s">
        <v>907</v>
      </c>
      <c r="H362" s="6">
        <f>_xlfn.XLOOKUP(A362,Orders[OrderID],Orders[OrderDate])</f>
        <v>43357</v>
      </c>
      <c r="I362" t="str">
        <f>_xlfn.XLOOKUP(A362,Orders[OrderID],Orders[CustomerName])</f>
        <v>Rutuja</v>
      </c>
      <c r="J362" t="str">
        <f>_xlfn.XLOOKUP(A362,Orders[OrderID],Orders[State])</f>
        <v>Gujarat</v>
      </c>
      <c r="K362" t="str">
        <f>_xlfn.XLOOKUP(A362,Orders[OrderID],Orders[City])</f>
        <v>Ahmedabad</v>
      </c>
      <c r="L362" s="3">
        <f>YEAR(Clean_Data[[#This Row],[OrderDate]])</f>
        <v>2018</v>
      </c>
      <c r="M362" s="3">
        <f>MONTH(Clean_Data[[#This Row],[OrderDate]])</f>
        <v>9</v>
      </c>
      <c r="N362" s="8" t="str">
        <f>TEXT(Clean_Data[[#This Row],[OrderDate]],"mmm")</f>
        <v>Sep</v>
      </c>
      <c r="O362" s="8" t="str">
        <f>TEXT(Clean_Data[[#This Row],[OrderDate]], "yyyy-mm")</f>
        <v>2018-09</v>
      </c>
      <c r="P362" s="7">
        <f>Clean_Data[[#This Row],[Profit]]/Clean_Data[[#This Row],[Revenue ]]</f>
        <v>-0.62222222222222223</v>
      </c>
      <c r="Q362" t="str">
        <f>"Q"&amp;ROUNDUP(MONTH(Clean_Data[[#This Row],[OrderDate]])/3,0)</f>
        <v>Q3</v>
      </c>
      <c r="R362" t="str">
        <f>TEXT(Clean_Data[[#This Row],[OrderDate]], "dddd")</f>
        <v>Friday</v>
      </c>
    </row>
    <row r="363" spans="1:18" x14ac:dyDescent="0.25">
      <c r="A363" t="s">
        <v>532</v>
      </c>
      <c r="B363" s="4">
        <v>244</v>
      </c>
      <c r="C363" s="4">
        <v>-122</v>
      </c>
      <c r="D363" s="3">
        <v>5</v>
      </c>
      <c r="E363" t="s">
        <v>888</v>
      </c>
      <c r="F363" t="s">
        <v>908</v>
      </c>
      <c r="G363" t="s">
        <v>887</v>
      </c>
      <c r="H363" s="6">
        <f>_xlfn.XLOOKUP(A363,Orders[OrderID],Orders[OrderDate])</f>
        <v>43456</v>
      </c>
      <c r="I363" t="str">
        <f>_xlfn.XLOOKUP(A363,Orders[OrderID],Orders[CustomerName])</f>
        <v>Karandeep</v>
      </c>
      <c r="J363" t="str">
        <f>_xlfn.XLOOKUP(A363,Orders[OrderID],Orders[State])</f>
        <v>Madhya Pradesh</v>
      </c>
      <c r="K363" t="str">
        <f>_xlfn.XLOOKUP(A363,Orders[OrderID],Orders[City])</f>
        <v>Indore</v>
      </c>
      <c r="L363" s="3">
        <f>YEAR(Clean_Data[[#This Row],[OrderDate]])</f>
        <v>2018</v>
      </c>
      <c r="M363" s="3">
        <f>MONTH(Clean_Data[[#This Row],[OrderDate]])</f>
        <v>12</v>
      </c>
      <c r="N363" s="8" t="str">
        <f>TEXT(Clean_Data[[#This Row],[OrderDate]],"mmm")</f>
        <v>Dec</v>
      </c>
      <c r="O363" s="8" t="str">
        <f>TEXT(Clean_Data[[#This Row],[OrderDate]], "yyyy-mm")</f>
        <v>2018-12</v>
      </c>
      <c r="P363" s="7">
        <f>Clean_Data[[#This Row],[Profit]]/Clean_Data[[#This Row],[Revenue ]]</f>
        <v>-0.5</v>
      </c>
      <c r="Q363" t="str">
        <f>"Q"&amp;ROUNDUP(MONTH(Clean_Data[[#This Row],[OrderDate]])/3,0)</f>
        <v>Q4</v>
      </c>
      <c r="R363" t="str">
        <f>TEXT(Clean_Data[[#This Row],[OrderDate]], "dddd")</f>
        <v>Saturday</v>
      </c>
    </row>
    <row r="364" spans="1:18" x14ac:dyDescent="0.25">
      <c r="A364" t="s">
        <v>534</v>
      </c>
      <c r="B364" s="4">
        <v>244</v>
      </c>
      <c r="C364" s="4">
        <v>83</v>
      </c>
      <c r="D364" s="3">
        <v>2</v>
      </c>
      <c r="E364" t="s">
        <v>888</v>
      </c>
      <c r="F364" t="s">
        <v>891</v>
      </c>
      <c r="G364" t="s">
        <v>887</v>
      </c>
      <c r="H364" s="6">
        <f>_xlfn.XLOOKUP(A364,Orders[OrderID],Orders[OrderDate])</f>
        <v>43122</v>
      </c>
      <c r="I364" t="str">
        <f>_xlfn.XLOOKUP(A364,Orders[OrderID],Orders[CustomerName])</f>
        <v>Mitali</v>
      </c>
      <c r="J364" t="str">
        <f>_xlfn.XLOOKUP(A364,Orders[OrderID],Orders[State])</f>
        <v>Madhya Pradesh</v>
      </c>
      <c r="K364" t="str">
        <f>_xlfn.XLOOKUP(A364,Orders[OrderID],Orders[City])</f>
        <v>Indore</v>
      </c>
      <c r="L364" s="3">
        <f>YEAR(Clean_Data[[#This Row],[OrderDate]])</f>
        <v>2018</v>
      </c>
      <c r="M364" s="3">
        <f>MONTH(Clean_Data[[#This Row],[OrderDate]])</f>
        <v>1</v>
      </c>
      <c r="N364" s="8" t="str">
        <f>TEXT(Clean_Data[[#This Row],[OrderDate]],"mmm")</f>
        <v>Jan</v>
      </c>
      <c r="O364" s="8" t="str">
        <f>TEXT(Clean_Data[[#This Row],[OrderDate]], "yyyy-mm")</f>
        <v>2018-01</v>
      </c>
      <c r="P364" s="7">
        <f>Clean_Data[[#This Row],[Profit]]/Clean_Data[[#This Row],[Revenue ]]</f>
        <v>0.3401639344262295</v>
      </c>
      <c r="Q364" t="str">
        <f>"Q"&amp;ROUNDUP(MONTH(Clean_Data[[#This Row],[OrderDate]])/3,0)</f>
        <v>Q1</v>
      </c>
      <c r="R364" t="str">
        <f>TEXT(Clean_Data[[#This Row],[OrderDate]], "dddd")</f>
        <v>Monday</v>
      </c>
    </row>
    <row r="365" spans="1:18" x14ac:dyDescent="0.25">
      <c r="A365" t="s">
        <v>250</v>
      </c>
      <c r="B365" s="4">
        <v>10</v>
      </c>
      <c r="C365" s="4">
        <v>4</v>
      </c>
      <c r="D365" s="3">
        <v>1</v>
      </c>
      <c r="E365" t="s">
        <v>895</v>
      </c>
      <c r="F365" t="s">
        <v>900</v>
      </c>
      <c r="G365" t="s">
        <v>898</v>
      </c>
      <c r="H365" s="6">
        <f>_xlfn.XLOOKUP(A365,Orders[OrderID],Orders[OrderDate])</f>
        <v>43424</v>
      </c>
      <c r="I365" t="str">
        <f>_xlfn.XLOOKUP(A365,Orders[OrderID],Orders[CustomerName])</f>
        <v>Pranav</v>
      </c>
      <c r="J365" t="str">
        <f>_xlfn.XLOOKUP(A365,Orders[OrderID],Orders[State])</f>
        <v>Andhra Pradesh</v>
      </c>
      <c r="K365" t="str">
        <f>_xlfn.XLOOKUP(A365,Orders[OrderID],Orders[City])</f>
        <v>Hyderabad</v>
      </c>
      <c r="L365" s="3">
        <f>YEAR(Clean_Data[[#This Row],[OrderDate]])</f>
        <v>2018</v>
      </c>
      <c r="M365" s="3">
        <f>MONTH(Clean_Data[[#This Row],[OrderDate]])</f>
        <v>11</v>
      </c>
      <c r="N365" s="8" t="str">
        <f>TEXT(Clean_Data[[#This Row],[OrderDate]],"mmm")</f>
        <v>Nov</v>
      </c>
      <c r="O365" s="8" t="str">
        <f>TEXT(Clean_Data[[#This Row],[OrderDate]], "yyyy-mm")</f>
        <v>2018-11</v>
      </c>
      <c r="P365" s="7">
        <f>Clean_Data[[#This Row],[Profit]]/Clean_Data[[#This Row],[Revenue ]]</f>
        <v>0.4</v>
      </c>
      <c r="Q365" t="str">
        <f>"Q"&amp;ROUNDUP(MONTH(Clean_Data[[#This Row],[OrderDate]])/3,0)</f>
        <v>Q4</v>
      </c>
      <c r="R365" t="str">
        <f>TEXT(Clean_Data[[#This Row],[OrderDate]], "dddd")</f>
        <v>Tuesday</v>
      </c>
    </row>
    <row r="366" spans="1:18" x14ac:dyDescent="0.25">
      <c r="A366" t="s">
        <v>450</v>
      </c>
      <c r="B366" s="4">
        <v>375</v>
      </c>
      <c r="C366" s="4">
        <v>180</v>
      </c>
      <c r="D366" s="3">
        <v>3</v>
      </c>
      <c r="E366" t="s">
        <v>888</v>
      </c>
      <c r="F366" t="s">
        <v>891</v>
      </c>
      <c r="G366" t="s">
        <v>893</v>
      </c>
      <c r="H366" s="6">
        <f>_xlfn.XLOOKUP(A366,Orders[OrderID],Orders[OrderDate])</f>
        <v>43345</v>
      </c>
      <c r="I366" t="str">
        <f>_xlfn.XLOOKUP(A366,Orders[OrderID],Orders[CustomerName])</f>
        <v>Sakshi</v>
      </c>
      <c r="J366" t="str">
        <f>_xlfn.XLOOKUP(A366,Orders[OrderID],Orders[State])</f>
        <v>Madhya Pradesh</v>
      </c>
      <c r="K366" t="str">
        <f>_xlfn.XLOOKUP(A366,Orders[OrderID],Orders[City])</f>
        <v>Indore</v>
      </c>
      <c r="L366" s="3">
        <f>YEAR(Clean_Data[[#This Row],[OrderDate]])</f>
        <v>2018</v>
      </c>
      <c r="M366" s="3">
        <f>MONTH(Clean_Data[[#This Row],[OrderDate]])</f>
        <v>9</v>
      </c>
      <c r="N366" s="8" t="str">
        <f>TEXT(Clean_Data[[#This Row],[OrderDate]],"mmm")</f>
        <v>Sep</v>
      </c>
      <c r="O366" s="8" t="str">
        <f>TEXT(Clean_Data[[#This Row],[OrderDate]], "yyyy-mm")</f>
        <v>2018-09</v>
      </c>
      <c r="P366" s="7">
        <f>Clean_Data[[#This Row],[Profit]]/Clean_Data[[#This Row],[Revenue ]]</f>
        <v>0.48</v>
      </c>
      <c r="Q366" t="str">
        <f>"Q"&amp;ROUNDUP(MONTH(Clean_Data[[#This Row],[OrderDate]])/3,0)</f>
        <v>Q3</v>
      </c>
      <c r="R366" t="str">
        <f>TEXT(Clean_Data[[#This Row],[OrderDate]], "dddd")</f>
        <v>Sunday</v>
      </c>
    </row>
    <row r="367" spans="1:18" x14ac:dyDescent="0.25">
      <c r="A367" t="s">
        <v>16</v>
      </c>
      <c r="B367" s="4">
        <v>46</v>
      </c>
      <c r="C367" s="4">
        <v>14</v>
      </c>
      <c r="D367" s="3">
        <v>5</v>
      </c>
      <c r="E367" t="s">
        <v>895</v>
      </c>
      <c r="F367" t="s">
        <v>901</v>
      </c>
      <c r="G367" t="s">
        <v>907</v>
      </c>
      <c r="H367" s="6">
        <f>_xlfn.XLOOKUP(A367,Orders[OrderID],Orders[OrderDate])</f>
        <v>43333</v>
      </c>
      <c r="I367" t="str">
        <f>_xlfn.XLOOKUP(A367,Orders[OrderID],Orders[CustomerName])</f>
        <v>Vishakha</v>
      </c>
      <c r="J367" t="str">
        <f>_xlfn.XLOOKUP(A367,Orders[OrderID],Orders[State])</f>
        <v>Madhya Pradesh</v>
      </c>
      <c r="K367" t="str">
        <f>_xlfn.XLOOKUP(A367,Orders[OrderID],Orders[City])</f>
        <v>Indore</v>
      </c>
      <c r="L367" s="3">
        <f>YEAR(Clean_Data[[#This Row],[OrderDate]])</f>
        <v>2018</v>
      </c>
      <c r="M367" s="3">
        <f>MONTH(Clean_Data[[#This Row],[OrderDate]])</f>
        <v>8</v>
      </c>
      <c r="N367" s="8" t="str">
        <f>TEXT(Clean_Data[[#This Row],[OrderDate]],"mmm")</f>
        <v>Aug</v>
      </c>
      <c r="O367" s="8" t="str">
        <f>TEXT(Clean_Data[[#This Row],[OrderDate]], "yyyy-mm")</f>
        <v>2018-08</v>
      </c>
      <c r="P367" s="7">
        <f>Clean_Data[[#This Row],[Profit]]/Clean_Data[[#This Row],[Revenue ]]</f>
        <v>0.30434782608695654</v>
      </c>
      <c r="Q367" t="str">
        <f>"Q"&amp;ROUNDUP(MONTH(Clean_Data[[#This Row],[OrderDate]])/3,0)</f>
        <v>Q3</v>
      </c>
      <c r="R367" t="str">
        <f>TEXT(Clean_Data[[#This Row],[OrderDate]], "dddd")</f>
        <v>Tuesday</v>
      </c>
    </row>
    <row r="368" spans="1:18" x14ac:dyDescent="0.25">
      <c r="A368" t="s">
        <v>716</v>
      </c>
      <c r="B368" s="4">
        <v>49</v>
      </c>
      <c r="C368" s="4">
        <v>-31</v>
      </c>
      <c r="D368" s="3">
        <v>2</v>
      </c>
      <c r="E368" t="s">
        <v>895</v>
      </c>
      <c r="F368" t="s">
        <v>903</v>
      </c>
      <c r="G368" t="s">
        <v>898</v>
      </c>
      <c r="H368" s="6">
        <f>_xlfn.XLOOKUP(A368,Orders[OrderID],Orders[OrderDate])</f>
        <v>43275</v>
      </c>
      <c r="I368" t="str">
        <f>_xlfn.XLOOKUP(A368,Orders[OrderID],Orders[CustomerName])</f>
        <v>Kritika</v>
      </c>
      <c r="J368" t="str">
        <f>_xlfn.XLOOKUP(A368,Orders[OrderID],Orders[State])</f>
        <v>Uttar Pradesh</v>
      </c>
      <c r="K368" t="str">
        <f>_xlfn.XLOOKUP(A368,Orders[OrderID],Orders[City])</f>
        <v>Lucknow</v>
      </c>
      <c r="L368" s="3">
        <f>YEAR(Clean_Data[[#This Row],[OrderDate]])</f>
        <v>2018</v>
      </c>
      <c r="M368" s="3">
        <f>MONTH(Clean_Data[[#This Row],[OrderDate]])</f>
        <v>6</v>
      </c>
      <c r="N368" s="8" t="str">
        <f>TEXT(Clean_Data[[#This Row],[OrderDate]],"mmm")</f>
        <v>Jun</v>
      </c>
      <c r="O368" s="8" t="str">
        <f>TEXT(Clean_Data[[#This Row],[OrderDate]], "yyyy-mm")</f>
        <v>2018-06</v>
      </c>
      <c r="P368" s="7">
        <f>Clean_Data[[#This Row],[Profit]]/Clean_Data[[#This Row],[Revenue ]]</f>
        <v>-0.63265306122448983</v>
      </c>
      <c r="Q368" t="str">
        <f>"Q"&amp;ROUNDUP(MONTH(Clean_Data[[#This Row],[OrderDate]])/3,0)</f>
        <v>Q2</v>
      </c>
      <c r="R368" t="str">
        <f>TEXT(Clean_Data[[#This Row],[OrderDate]], "dddd")</f>
        <v>Sunday</v>
      </c>
    </row>
    <row r="369" spans="1:18" x14ac:dyDescent="0.25">
      <c r="A369" t="s">
        <v>803</v>
      </c>
      <c r="B369" s="4">
        <v>47</v>
      </c>
      <c r="C369" s="4">
        <v>-20</v>
      </c>
      <c r="D369" s="3">
        <v>2</v>
      </c>
      <c r="E369" t="s">
        <v>895</v>
      </c>
      <c r="F369" t="s">
        <v>900</v>
      </c>
      <c r="G369" t="s">
        <v>907</v>
      </c>
      <c r="H369" s="6">
        <f>_xlfn.XLOOKUP(A369,Orders[OrderID],Orders[OrderDate])</f>
        <v>43352</v>
      </c>
      <c r="I369" t="str">
        <f>_xlfn.XLOOKUP(A369,Orders[OrderID],Orders[CustomerName])</f>
        <v>Mousam</v>
      </c>
      <c r="J369" t="str">
        <f>_xlfn.XLOOKUP(A369,Orders[OrderID],Orders[State])</f>
        <v>Maharashtra</v>
      </c>
      <c r="K369" t="str">
        <f>_xlfn.XLOOKUP(A369,Orders[OrderID],Orders[City])</f>
        <v>Mumbai</v>
      </c>
      <c r="L369" s="3">
        <f>YEAR(Clean_Data[[#This Row],[OrderDate]])</f>
        <v>2018</v>
      </c>
      <c r="M369" s="3">
        <f>MONTH(Clean_Data[[#This Row],[OrderDate]])</f>
        <v>9</v>
      </c>
      <c r="N369" s="8" t="str">
        <f>TEXT(Clean_Data[[#This Row],[OrderDate]],"mmm")</f>
        <v>Sep</v>
      </c>
      <c r="O369" s="8" t="str">
        <f>TEXT(Clean_Data[[#This Row],[OrderDate]], "yyyy-mm")</f>
        <v>2018-09</v>
      </c>
      <c r="P369" s="7">
        <f>Clean_Data[[#This Row],[Profit]]/Clean_Data[[#This Row],[Revenue ]]</f>
        <v>-0.42553191489361702</v>
      </c>
      <c r="Q369" t="str">
        <f>"Q"&amp;ROUNDUP(MONTH(Clean_Data[[#This Row],[OrderDate]])/3,0)</f>
        <v>Q3</v>
      </c>
      <c r="R369" t="str">
        <f>TEXT(Clean_Data[[#This Row],[OrderDate]], "dddd")</f>
        <v>Sunday</v>
      </c>
    </row>
    <row r="370" spans="1:18" x14ac:dyDescent="0.25">
      <c r="A370" t="s">
        <v>308</v>
      </c>
      <c r="B370" s="4">
        <v>355</v>
      </c>
      <c r="C370" s="4">
        <v>-114</v>
      </c>
      <c r="D370" s="3">
        <v>7</v>
      </c>
      <c r="E370" t="s">
        <v>895</v>
      </c>
      <c r="F370" t="s">
        <v>903</v>
      </c>
      <c r="G370" t="s">
        <v>893</v>
      </c>
      <c r="H370" s="6">
        <f>_xlfn.XLOOKUP(A370,Orders[OrderID],Orders[OrderDate])</f>
        <v>43438</v>
      </c>
      <c r="I370" t="str">
        <f>_xlfn.XLOOKUP(A370,Orders[OrderID],Orders[CustomerName])</f>
        <v>Vrinda</v>
      </c>
      <c r="J370" t="str">
        <f>_xlfn.XLOOKUP(A370,Orders[OrderID],Orders[State])</f>
        <v>Uttar Pradesh</v>
      </c>
      <c r="K370" t="str">
        <f>_xlfn.XLOOKUP(A370,Orders[OrderID],Orders[City])</f>
        <v>Mathura</v>
      </c>
      <c r="L370" s="3">
        <f>YEAR(Clean_Data[[#This Row],[OrderDate]])</f>
        <v>2018</v>
      </c>
      <c r="M370" s="3">
        <f>MONTH(Clean_Data[[#This Row],[OrderDate]])</f>
        <v>12</v>
      </c>
      <c r="N370" s="8" t="str">
        <f>TEXT(Clean_Data[[#This Row],[OrderDate]],"mmm")</f>
        <v>Dec</v>
      </c>
      <c r="O370" s="8" t="str">
        <f>TEXT(Clean_Data[[#This Row],[OrderDate]], "yyyy-mm")</f>
        <v>2018-12</v>
      </c>
      <c r="P370" s="7">
        <f>Clean_Data[[#This Row],[Profit]]/Clean_Data[[#This Row],[Revenue ]]</f>
        <v>-0.3211267605633803</v>
      </c>
      <c r="Q370" t="str">
        <f>"Q"&amp;ROUNDUP(MONTH(Clean_Data[[#This Row],[OrderDate]])/3,0)</f>
        <v>Q4</v>
      </c>
      <c r="R370" t="str">
        <f>TEXT(Clean_Data[[#This Row],[OrderDate]], "dddd")</f>
        <v>Tuesday</v>
      </c>
    </row>
    <row r="371" spans="1:18" x14ac:dyDescent="0.25">
      <c r="A371" t="s">
        <v>560</v>
      </c>
      <c r="B371" s="4">
        <v>32</v>
      </c>
      <c r="C371" s="4">
        <v>8</v>
      </c>
      <c r="D371" s="3">
        <v>5</v>
      </c>
      <c r="E371" t="s">
        <v>895</v>
      </c>
      <c r="F371" t="s">
        <v>899</v>
      </c>
      <c r="G371" t="s">
        <v>898</v>
      </c>
      <c r="H371" s="6">
        <f>_xlfn.XLOOKUP(A371,Orders[OrderID],Orders[OrderDate])</f>
        <v>43131</v>
      </c>
      <c r="I371" t="str">
        <f>_xlfn.XLOOKUP(A371,Orders[OrderID],Orders[CustomerName])</f>
        <v>Ginny</v>
      </c>
      <c r="J371" t="str">
        <f>_xlfn.XLOOKUP(A371,Orders[OrderID],Orders[State])</f>
        <v>Madhya Pradesh</v>
      </c>
      <c r="K371" t="str">
        <f>_xlfn.XLOOKUP(A371,Orders[OrderID],Orders[City])</f>
        <v>Indore</v>
      </c>
      <c r="L371" s="3">
        <f>YEAR(Clean_Data[[#This Row],[OrderDate]])</f>
        <v>2018</v>
      </c>
      <c r="M371" s="3">
        <f>MONTH(Clean_Data[[#This Row],[OrderDate]])</f>
        <v>1</v>
      </c>
      <c r="N371" s="8" t="str">
        <f>TEXT(Clean_Data[[#This Row],[OrderDate]],"mmm")</f>
        <v>Jan</v>
      </c>
      <c r="O371" s="8" t="str">
        <f>TEXT(Clean_Data[[#This Row],[OrderDate]], "yyyy-mm")</f>
        <v>2018-01</v>
      </c>
      <c r="P371" s="7">
        <f>Clean_Data[[#This Row],[Profit]]/Clean_Data[[#This Row],[Revenue ]]</f>
        <v>0.25</v>
      </c>
      <c r="Q371" t="str">
        <f>"Q"&amp;ROUNDUP(MONTH(Clean_Data[[#This Row],[OrderDate]])/3,0)</f>
        <v>Q1</v>
      </c>
      <c r="R371" t="str">
        <f>TEXT(Clean_Data[[#This Row],[OrderDate]], "dddd")</f>
        <v>Wednesday</v>
      </c>
    </row>
    <row r="372" spans="1:18" x14ac:dyDescent="0.25">
      <c r="A372" t="s">
        <v>85</v>
      </c>
      <c r="B372" s="4">
        <v>243</v>
      </c>
      <c r="C372" s="4">
        <v>-14</v>
      </c>
      <c r="D372" s="3">
        <v>2</v>
      </c>
      <c r="E372" t="s">
        <v>888</v>
      </c>
      <c r="F372" t="s">
        <v>889</v>
      </c>
      <c r="G372" t="s">
        <v>887</v>
      </c>
      <c r="H372" s="6">
        <f>_xlfn.XLOOKUP(A372,Orders[OrderID],Orders[OrderDate])</f>
        <v>43255</v>
      </c>
      <c r="I372" t="str">
        <f>_xlfn.XLOOKUP(A372,Orders[OrderID],Orders[CustomerName])</f>
        <v>Bhawna</v>
      </c>
      <c r="J372" t="str">
        <f>_xlfn.XLOOKUP(A372,Orders[OrderID],Orders[State])</f>
        <v>Madhya Pradesh</v>
      </c>
      <c r="K372" t="str">
        <f>_xlfn.XLOOKUP(A372,Orders[OrderID],Orders[City])</f>
        <v>Indore</v>
      </c>
      <c r="L372" s="3">
        <f>YEAR(Clean_Data[[#This Row],[OrderDate]])</f>
        <v>2018</v>
      </c>
      <c r="M372" s="3">
        <f>MONTH(Clean_Data[[#This Row],[OrderDate]])</f>
        <v>6</v>
      </c>
      <c r="N372" s="8" t="str">
        <f>TEXT(Clean_Data[[#This Row],[OrderDate]],"mmm")</f>
        <v>Jun</v>
      </c>
      <c r="O372" s="8" t="str">
        <f>TEXT(Clean_Data[[#This Row],[OrderDate]], "yyyy-mm")</f>
        <v>2018-06</v>
      </c>
      <c r="P372" s="7">
        <f>Clean_Data[[#This Row],[Profit]]/Clean_Data[[#This Row],[Revenue ]]</f>
        <v>-5.7613168724279837E-2</v>
      </c>
      <c r="Q372" t="str">
        <f>"Q"&amp;ROUNDUP(MONTH(Clean_Data[[#This Row],[OrderDate]])/3,0)</f>
        <v>Q2</v>
      </c>
      <c r="R372" t="str">
        <f>TEXT(Clean_Data[[#This Row],[OrderDate]], "dddd")</f>
        <v>Monday</v>
      </c>
    </row>
    <row r="373" spans="1:18" x14ac:dyDescent="0.25">
      <c r="A373" t="s">
        <v>535</v>
      </c>
      <c r="B373" s="4">
        <v>241</v>
      </c>
      <c r="C373" s="4">
        <v>-77</v>
      </c>
      <c r="D373" s="3">
        <v>4</v>
      </c>
      <c r="E373" t="s">
        <v>885</v>
      </c>
      <c r="F373" t="s">
        <v>886</v>
      </c>
      <c r="G373" t="s">
        <v>887</v>
      </c>
      <c r="H373" s="6">
        <f>_xlfn.XLOOKUP(A373,Orders[OrderID],Orders[OrderDate])</f>
        <v>43174</v>
      </c>
      <c r="I373" t="str">
        <f>_xlfn.XLOOKUP(A373,Orders[OrderID],Orders[CustomerName])</f>
        <v>Farah</v>
      </c>
      <c r="J373" t="str">
        <f>_xlfn.XLOOKUP(A373,Orders[OrderID],Orders[State])</f>
        <v>Nagaland</v>
      </c>
      <c r="K373" t="str">
        <f>_xlfn.XLOOKUP(A373,Orders[OrderID],Orders[City])</f>
        <v>Kohima</v>
      </c>
      <c r="L373" s="3">
        <f>YEAR(Clean_Data[[#This Row],[OrderDate]])</f>
        <v>2018</v>
      </c>
      <c r="M373" s="3">
        <f>MONTH(Clean_Data[[#This Row],[OrderDate]])</f>
        <v>3</v>
      </c>
      <c r="N373" s="8" t="str">
        <f>TEXT(Clean_Data[[#This Row],[OrderDate]],"mmm")</f>
        <v>Mar</v>
      </c>
      <c r="O373" s="8" t="str">
        <f>TEXT(Clean_Data[[#This Row],[OrderDate]], "yyyy-mm")</f>
        <v>2018-03</v>
      </c>
      <c r="P373" s="7">
        <f>Clean_Data[[#This Row],[Profit]]/Clean_Data[[#This Row],[Revenue ]]</f>
        <v>-0.31950207468879666</v>
      </c>
      <c r="Q373" t="str">
        <f>"Q"&amp;ROUNDUP(MONTH(Clean_Data[[#This Row],[OrderDate]])/3,0)</f>
        <v>Q1</v>
      </c>
      <c r="R373" t="str">
        <f>TEXT(Clean_Data[[#This Row],[OrderDate]], "dddd")</f>
        <v>Thursday</v>
      </c>
    </row>
    <row r="374" spans="1:18" x14ac:dyDescent="0.25">
      <c r="A374" t="s">
        <v>805</v>
      </c>
      <c r="B374" s="4">
        <v>47</v>
      </c>
      <c r="C374" s="4">
        <v>15</v>
      </c>
      <c r="D374" s="3">
        <v>5</v>
      </c>
      <c r="E374" t="s">
        <v>895</v>
      </c>
      <c r="F374" t="s">
        <v>897</v>
      </c>
      <c r="G374" t="s">
        <v>907</v>
      </c>
      <c r="H374" s="6">
        <f>_xlfn.XLOOKUP(A374,Orders[OrderID],Orders[OrderDate])</f>
        <v>43153</v>
      </c>
      <c r="I374" t="str">
        <f>_xlfn.XLOOKUP(A374,Orders[OrderID],Orders[CustomerName])</f>
        <v>Monisha</v>
      </c>
      <c r="J374" t="str">
        <f>_xlfn.XLOOKUP(A374,Orders[OrderID],Orders[State])</f>
        <v>Rajasthan</v>
      </c>
      <c r="K374" t="str">
        <f>_xlfn.XLOOKUP(A374,Orders[OrderID],Orders[City])</f>
        <v>Jaipur</v>
      </c>
      <c r="L374" s="3">
        <f>YEAR(Clean_Data[[#This Row],[OrderDate]])</f>
        <v>2018</v>
      </c>
      <c r="M374" s="3">
        <f>MONTH(Clean_Data[[#This Row],[OrderDate]])</f>
        <v>2</v>
      </c>
      <c r="N374" s="8" t="str">
        <f>TEXT(Clean_Data[[#This Row],[OrderDate]],"mmm")</f>
        <v>Feb</v>
      </c>
      <c r="O374" s="8" t="str">
        <f>TEXT(Clean_Data[[#This Row],[OrderDate]], "yyyy-mm")</f>
        <v>2018-02</v>
      </c>
      <c r="P374" s="7">
        <f>Clean_Data[[#This Row],[Profit]]/Clean_Data[[#This Row],[Revenue ]]</f>
        <v>0.31914893617021278</v>
      </c>
      <c r="Q374" t="str">
        <f>"Q"&amp;ROUNDUP(MONTH(Clean_Data[[#This Row],[OrderDate]])/3,0)</f>
        <v>Q1</v>
      </c>
      <c r="R374" t="str">
        <f>TEXT(Clean_Data[[#This Row],[OrderDate]], "dddd")</f>
        <v>Thursday</v>
      </c>
    </row>
    <row r="375" spans="1:18" x14ac:dyDescent="0.25">
      <c r="A375" t="s">
        <v>625</v>
      </c>
      <c r="B375" s="4">
        <v>50</v>
      </c>
      <c r="C375" s="4">
        <v>-10</v>
      </c>
      <c r="D375" s="3">
        <v>6</v>
      </c>
      <c r="E375" t="s">
        <v>895</v>
      </c>
      <c r="F375" t="s">
        <v>901</v>
      </c>
      <c r="G375" t="s">
        <v>907</v>
      </c>
      <c r="H375" s="6">
        <f>_xlfn.XLOOKUP(A375,Orders[OrderID],Orders[OrderDate])</f>
        <v>43138</v>
      </c>
      <c r="I375" t="str">
        <f>_xlfn.XLOOKUP(A375,Orders[OrderID],Orders[CustomerName])</f>
        <v>Patil</v>
      </c>
      <c r="J375" t="str">
        <f>_xlfn.XLOOKUP(A375,Orders[OrderID],Orders[State])</f>
        <v>Delhi</v>
      </c>
      <c r="K375" t="str">
        <f>_xlfn.XLOOKUP(A375,Orders[OrderID],Orders[City])</f>
        <v>Delhi</v>
      </c>
      <c r="L375" s="3">
        <f>YEAR(Clean_Data[[#This Row],[OrderDate]])</f>
        <v>2018</v>
      </c>
      <c r="M375" s="3">
        <f>MONTH(Clean_Data[[#This Row],[OrderDate]])</f>
        <v>2</v>
      </c>
      <c r="N375" s="8" t="str">
        <f>TEXT(Clean_Data[[#This Row],[OrderDate]],"mmm")</f>
        <v>Feb</v>
      </c>
      <c r="O375" s="8" t="str">
        <f>TEXT(Clean_Data[[#This Row],[OrderDate]], "yyyy-mm")</f>
        <v>2018-02</v>
      </c>
      <c r="P375" s="7">
        <f>Clean_Data[[#This Row],[Profit]]/Clean_Data[[#This Row],[Revenue ]]</f>
        <v>-0.2</v>
      </c>
      <c r="Q375" t="str">
        <f>"Q"&amp;ROUNDUP(MONTH(Clean_Data[[#This Row],[OrderDate]])/3,0)</f>
        <v>Q1</v>
      </c>
      <c r="R375" t="str">
        <f>TEXT(Clean_Data[[#This Row],[OrderDate]], "dddd")</f>
        <v>Wednesday</v>
      </c>
    </row>
    <row r="376" spans="1:18" x14ac:dyDescent="0.25">
      <c r="A376" t="s">
        <v>425</v>
      </c>
      <c r="B376" s="4">
        <v>15</v>
      </c>
      <c r="C376" s="4">
        <v>6</v>
      </c>
      <c r="D376" s="3">
        <v>2</v>
      </c>
      <c r="E376" t="s">
        <v>895</v>
      </c>
      <c r="F376" t="s">
        <v>899</v>
      </c>
      <c r="G376" t="s">
        <v>887</v>
      </c>
      <c r="H376" s="6">
        <f>_xlfn.XLOOKUP(A376,Orders[OrderID],Orders[OrderDate])</f>
        <v>43169</v>
      </c>
      <c r="I376" t="str">
        <f>_xlfn.XLOOKUP(A376,Orders[OrderID],Orders[CustomerName])</f>
        <v>Sonal</v>
      </c>
      <c r="J376" t="str">
        <f>_xlfn.XLOOKUP(A376,Orders[OrderID],Orders[State])</f>
        <v>Bihar</v>
      </c>
      <c r="K376" t="str">
        <f>_xlfn.XLOOKUP(A376,Orders[OrderID],Orders[City])</f>
        <v>Patna</v>
      </c>
      <c r="L376" s="3">
        <f>YEAR(Clean_Data[[#This Row],[OrderDate]])</f>
        <v>2018</v>
      </c>
      <c r="M376" s="3">
        <f>MONTH(Clean_Data[[#This Row],[OrderDate]])</f>
        <v>3</v>
      </c>
      <c r="N376" s="8" t="str">
        <f>TEXT(Clean_Data[[#This Row],[OrderDate]],"mmm")</f>
        <v>Mar</v>
      </c>
      <c r="O376" s="8" t="str">
        <f>TEXT(Clean_Data[[#This Row],[OrderDate]], "yyyy-mm")</f>
        <v>2018-03</v>
      </c>
      <c r="P376" s="7">
        <f>Clean_Data[[#This Row],[Profit]]/Clean_Data[[#This Row],[Revenue ]]</f>
        <v>0.4</v>
      </c>
      <c r="Q376" t="str">
        <f>"Q"&amp;ROUNDUP(MONTH(Clean_Data[[#This Row],[OrderDate]])/3,0)</f>
        <v>Q1</v>
      </c>
      <c r="R376" t="str">
        <f>TEXT(Clean_Data[[#This Row],[OrderDate]], "dddd")</f>
        <v>Saturday</v>
      </c>
    </row>
    <row r="377" spans="1:18" x14ac:dyDescent="0.25">
      <c r="A377" t="s">
        <v>228</v>
      </c>
      <c r="B377" s="4">
        <v>148</v>
      </c>
      <c r="C377" s="4">
        <v>24</v>
      </c>
      <c r="D377" s="3">
        <v>3</v>
      </c>
      <c r="E377" t="s">
        <v>895</v>
      </c>
      <c r="F377" t="s">
        <v>903</v>
      </c>
      <c r="G377" t="s">
        <v>887</v>
      </c>
      <c r="H377" s="6">
        <f>_xlfn.XLOOKUP(A377,Orders[OrderID],Orders[OrderDate])</f>
        <v>43409</v>
      </c>
      <c r="I377" t="str">
        <f>_xlfn.XLOOKUP(A377,Orders[OrderID],Orders[CustomerName])</f>
        <v>Abhishek</v>
      </c>
      <c r="J377" t="str">
        <f>_xlfn.XLOOKUP(A377,Orders[OrderID],Orders[State])</f>
        <v>Goa</v>
      </c>
      <c r="K377" t="str">
        <f>_xlfn.XLOOKUP(A377,Orders[OrderID],Orders[City])</f>
        <v>Goa</v>
      </c>
      <c r="L377" s="3">
        <f>YEAR(Clean_Data[[#This Row],[OrderDate]])</f>
        <v>2018</v>
      </c>
      <c r="M377" s="3">
        <f>MONTH(Clean_Data[[#This Row],[OrderDate]])</f>
        <v>11</v>
      </c>
      <c r="N377" s="8" t="str">
        <f>TEXT(Clean_Data[[#This Row],[OrderDate]],"mmm")</f>
        <v>Nov</v>
      </c>
      <c r="O377" s="8" t="str">
        <f>TEXT(Clean_Data[[#This Row],[OrderDate]], "yyyy-mm")</f>
        <v>2018-11</v>
      </c>
      <c r="P377" s="7">
        <f>Clean_Data[[#This Row],[Profit]]/Clean_Data[[#This Row],[Revenue ]]</f>
        <v>0.16216216216216217</v>
      </c>
      <c r="Q377" t="str">
        <f>"Q"&amp;ROUNDUP(MONTH(Clean_Data[[#This Row],[OrderDate]])/3,0)</f>
        <v>Q4</v>
      </c>
      <c r="R377" t="str">
        <f>TEXT(Clean_Data[[#This Row],[OrderDate]], "dddd")</f>
        <v>Monday</v>
      </c>
    </row>
    <row r="378" spans="1:18" x14ac:dyDescent="0.25">
      <c r="A378" t="s">
        <v>497</v>
      </c>
      <c r="B378" s="4">
        <v>299</v>
      </c>
      <c r="C378" s="4">
        <v>-28</v>
      </c>
      <c r="D378" s="3">
        <v>3</v>
      </c>
      <c r="E378" t="s">
        <v>885</v>
      </c>
      <c r="F378" t="s">
        <v>886</v>
      </c>
      <c r="G378" t="s">
        <v>898</v>
      </c>
      <c r="H378" s="6">
        <f>_xlfn.XLOOKUP(A378,Orders[OrderID],Orders[OrderDate])</f>
        <v>43343</v>
      </c>
      <c r="I378" t="str">
        <f>_xlfn.XLOOKUP(A378,Orders[OrderID],Orders[CustomerName])</f>
        <v>Ashmeet</v>
      </c>
      <c r="J378" t="str">
        <f>_xlfn.XLOOKUP(A378,Orders[OrderID],Orders[State])</f>
        <v>West Bengal</v>
      </c>
      <c r="K378" t="str">
        <f>_xlfn.XLOOKUP(A378,Orders[OrderID],Orders[City])</f>
        <v>Kolkata</v>
      </c>
      <c r="L378" s="3">
        <f>YEAR(Clean_Data[[#This Row],[OrderDate]])</f>
        <v>2018</v>
      </c>
      <c r="M378" s="3">
        <f>MONTH(Clean_Data[[#This Row],[OrderDate]])</f>
        <v>8</v>
      </c>
      <c r="N378" s="8" t="str">
        <f>TEXT(Clean_Data[[#This Row],[OrderDate]],"mmm")</f>
        <v>Aug</v>
      </c>
      <c r="O378" s="8" t="str">
        <f>TEXT(Clean_Data[[#This Row],[OrderDate]], "yyyy-mm")</f>
        <v>2018-08</v>
      </c>
      <c r="P378" s="7">
        <f>Clean_Data[[#This Row],[Profit]]/Clean_Data[[#This Row],[Revenue ]]</f>
        <v>-9.3645484949832769E-2</v>
      </c>
      <c r="Q378" t="str">
        <f>"Q"&amp;ROUNDUP(MONTH(Clean_Data[[#This Row],[OrderDate]])/3,0)</f>
        <v>Q3</v>
      </c>
      <c r="R378" t="str">
        <f>TEXT(Clean_Data[[#This Row],[OrderDate]], "dddd")</f>
        <v>Friday</v>
      </c>
    </row>
    <row r="379" spans="1:18" x14ac:dyDescent="0.25">
      <c r="A379" t="s">
        <v>335</v>
      </c>
      <c r="B379" s="4">
        <v>68</v>
      </c>
      <c r="C379" s="4">
        <v>-30</v>
      </c>
      <c r="D379" s="3">
        <v>1</v>
      </c>
      <c r="E379" t="s">
        <v>885</v>
      </c>
      <c r="F379" t="s">
        <v>894</v>
      </c>
      <c r="G379" t="s">
        <v>898</v>
      </c>
      <c r="H379" s="6">
        <f>_xlfn.XLOOKUP(A379,Orders[OrderID],Orders[OrderDate])</f>
        <v>43269</v>
      </c>
      <c r="I379" t="str">
        <f>_xlfn.XLOOKUP(A379,Orders[OrderID],Orders[CustomerName])</f>
        <v>Parna</v>
      </c>
      <c r="J379" t="str">
        <f>_xlfn.XLOOKUP(A379,Orders[OrderID],Orders[State])</f>
        <v>Madhya Pradesh</v>
      </c>
      <c r="K379" t="str">
        <f>_xlfn.XLOOKUP(A379,Orders[OrderID],Orders[City])</f>
        <v>Bhopal</v>
      </c>
      <c r="L379" s="3">
        <f>YEAR(Clean_Data[[#This Row],[OrderDate]])</f>
        <v>2018</v>
      </c>
      <c r="M379" s="3">
        <f>MONTH(Clean_Data[[#This Row],[OrderDate]])</f>
        <v>6</v>
      </c>
      <c r="N379" s="8" t="str">
        <f>TEXT(Clean_Data[[#This Row],[OrderDate]],"mmm")</f>
        <v>Jun</v>
      </c>
      <c r="O379" s="8" t="str">
        <f>TEXT(Clean_Data[[#This Row],[OrderDate]], "yyyy-mm")</f>
        <v>2018-06</v>
      </c>
      <c r="P379" s="7">
        <f>Clean_Data[[#This Row],[Profit]]/Clean_Data[[#This Row],[Revenue ]]</f>
        <v>-0.44117647058823528</v>
      </c>
      <c r="Q379" t="str">
        <f>"Q"&amp;ROUNDUP(MONTH(Clean_Data[[#This Row],[OrderDate]])/3,0)</f>
        <v>Q2</v>
      </c>
      <c r="R379" t="str">
        <f>TEXT(Clean_Data[[#This Row],[OrderDate]], "dddd")</f>
        <v>Monday</v>
      </c>
    </row>
    <row r="380" spans="1:18" x14ac:dyDescent="0.25">
      <c r="A380" t="s">
        <v>228</v>
      </c>
      <c r="B380" s="4">
        <v>52</v>
      </c>
      <c r="C380" s="4">
        <v>18</v>
      </c>
      <c r="D380" s="3">
        <v>5</v>
      </c>
      <c r="E380" t="s">
        <v>895</v>
      </c>
      <c r="F380" t="s">
        <v>904</v>
      </c>
      <c r="G380" t="s">
        <v>907</v>
      </c>
      <c r="H380" s="6">
        <f>_xlfn.XLOOKUP(A380,Orders[OrderID],Orders[OrderDate])</f>
        <v>43409</v>
      </c>
      <c r="I380" t="str">
        <f>_xlfn.XLOOKUP(A380,Orders[OrderID],Orders[CustomerName])</f>
        <v>Abhishek</v>
      </c>
      <c r="J380" t="str">
        <f>_xlfn.XLOOKUP(A380,Orders[OrderID],Orders[State])</f>
        <v>Goa</v>
      </c>
      <c r="K380" t="str">
        <f>_xlfn.XLOOKUP(A380,Orders[OrderID],Orders[City])</f>
        <v>Goa</v>
      </c>
      <c r="L380" s="3">
        <f>YEAR(Clean_Data[[#This Row],[OrderDate]])</f>
        <v>2018</v>
      </c>
      <c r="M380" s="3">
        <f>MONTH(Clean_Data[[#This Row],[OrderDate]])</f>
        <v>11</v>
      </c>
      <c r="N380" s="8" t="str">
        <f>TEXT(Clean_Data[[#This Row],[OrderDate]],"mmm")</f>
        <v>Nov</v>
      </c>
      <c r="O380" s="8" t="str">
        <f>TEXT(Clean_Data[[#This Row],[OrderDate]], "yyyy-mm")</f>
        <v>2018-11</v>
      </c>
      <c r="P380" s="7">
        <f>Clean_Data[[#This Row],[Profit]]/Clean_Data[[#This Row],[Revenue ]]</f>
        <v>0.34615384615384615</v>
      </c>
      <c r="Q380" t="str">
        <f>"Q"&amp;ROUNDUP(MONTH(Clean_Data[[#This Row],[OrderDate]])/3,0)</f>
        <v>Q4</v>
      </c>
      <c r="R380" t="str">
        <f>TEXT(Clean_Data[[#This Row],[OrderDate]], "dddd")</f>
        <v>Monday</v>
      </c>
    </row>
    <row r="381" spans="1:18" x14ac:dyDescent="0.25">
      <c r="A381" t="s">
        <v>337</v>
      </c>
      <c r="B381" s="4">
        <v>239</v>
      </c>
      <c r="C381" s="4">
        <v>-162</v>
      </c>
      <c r="D381" s="3">
        <v>5</v>
      </c>
      <c r="E381" t="s">
        <v>888</v>
      </c>
      <c r="F381" t="s">
        <v>889</v>
      </c>
      <c r="G381" t="s">
        <v>887</v>
      </c>
      <c r="H381" s="6">
        <f>_xlfn.XLOOKUP(A381,Orders[OrderID],Orders[OrderDate])</f>
        <v>43367</v>
      </c>
      <c r="I381" t="str">
        <f>_xlfn.XLOOKUP(A381,Orders[OrderID],Orders[CustomerName])</f>
        <v>Sukrith</v>
      </c>
      <c r="J381" t="str">
        <f>_xlfn.XLOOKUP(A381,Orders[OrderID],Orders[State])</f>
        <v>Maharashtra</v>
      </c>
      <c r="K381" t="str">
        <f>_xlfn.XLOOKUP(A381,Orders[OrderID],Orders[City])</f>
        <v>Mumbai</v>
      </c>
      <c r="L381" s="3">
        <f>YEAR(Clean_Data[[#This Row],[OrderDate]])</f>
        <v>2018</v>
      </c>
      <c r="M381" s="3">
        <f>MONTH(Clean_Data[[#This Row],[OrderDate]])</f>
        <v>9</v>
      </c>
      <c r="N381" s="8" t="str">
        <f>TEXT(Clean_Data[[#This Row],[OrderDate]],"mmm")</f>
        <v>Sep</v>
      </c>
      <c r="O381" s="8" t="str">
        <f>TEXT(Clean_Data[[#This Row],[OrderDate]], "yyyy-mm")</f>
        <v>2018-09</v>
      </c>
      <c r="P381" s="7">
        <f>Clean_Data[[#This Row],[Profit]]/Clean_Data[[#This Row],[Revenue ]]</f>
        <v>-0.67782426778242677</v>
      </c>
      <c r="Q381" t="str">
        <f>"Q"&amp;ROUNDUP(MONTH(Clean_Data[[#This Row],[OrderDate]])/3,0)</f>
        <v>Q3</v>
      </c>
      <c r="R381" t="str">
        <f>TEXT(Clean_Data[[#This Row],[OrderDate]], "dddd")</f>
        <v>Monday</v>
      </c>
    </row>
    <row r="382" spans="1:18" x14ac:dyDescent="0.25">
      <c r="A382" t="s">
        <v>350</v>
      </c>
      <c r="B382" s="4">
        <v>27</v>
      </c>
      <c r="C382" s="4">
        <v>6</v>
      </c>
      <c r="D382" s="3">
        <v>3</v>
      </c>
      <c r="E382" t="s">
        <v>895</v>
      </c>
      <c r="F382" t="s">
        <v>901</v>
      </c>
      <c r="G382" t="s">
        <v>887</v>
      </c>
      <c r="H382" s="6">
        <f>_xlfn.XLOOKUP(A382,Orders[OrderID],Orders[OrderDate])</f>
        <v>43168</v>
      </c>
      <c r="I382" t="str">
        <f>_xlfn.XLOOKUP(A382,Orders[OrderID],Orders[CustomerName])</f>
        <v>Kirti</v>
      </c>
      <c r="J382" t="str">
        <f>_xlfn.XLOOKUP(A382,Orders[OrderID],Orders[State])</f>
        <v>Jammu and Kashmir</v>
      </c>
      <c r="K382" t="str">
        <f>_xlfn.XLOOKUP(A382,Orders[OrderID],Orders[City])</f>
        <v>Kashmir</v>
      </c>
      <c r="L382" s="3">
        <f>YEAR(Clean_Data[[#This Row],[OrderDate]])</f>
        <v>2018</v>
      </c>
      <c r="M382" s="3">
        <f>MONTH(Clean_Data[[#This Row],[OrderDate]])</f>
        <v>3</v>
      </c>
      <c r="N382" s="8" t="str">
        <f>TEXT(Clean_Data[[#This Row],[OrderDate]],"mmm")</f>
        <v>Mar</v>
      </c>
      <c r="O382" s="8" t="str">
        <f>TEXT(Clean_Data[[#This Row],[OrderDate]], "yyyy-mm")</f>
        <v>2018-03</v>
      </c>
      <c r="P382" s="7">
        <f>Clean_Data[[#This Row],[Profit]]/Clean_Data[[#This Row],[Revenue ]]</f>
        <v>0.22222222222222221</v>
      </c>
      <c r="Q382" t="str">
        <f>"Q"&amp;ROUNDUP(MONTH(Clean_Data[[#This Row],[OrderDate]])/3,0)</f>
        <v>Q1</v>
      </c>
      <c r="R382" t="str">
        <f>TEXT(Clean_Data[[#This Row],[OrderDate]], "dddd")</f>
        <v>Friday</v>
      </c>
    </row>
    <row r="383" spans="1:18" x14ac:dyDescent="0.25">
      <c r="A383" t="s">
        <v>224</v>
      </c>
      <c r="B383" s="4">
        <v>238</v>
      </c>
      <c r="C383" s="4">
        <v>20</v>
      </c>
      <c r="D383" s="3">
        <v>2</v>
      </c>
      <c r="E383" t="s">
        <v>895</v>
      </c>
      <c r="F383" t="s">
        <v>897</v>
      </c>
      <c r="G383" t="s">
        <v>887</v>
      </c>
      <c r="H383" s="6">
        <f>_xlfn.XLOOKUP(A383,Orders[OrderID],Orders[OrderDate])</f>
        <v>43226</v>
      </c>
      <c r="I383" t="str">
        <f>_xlfn.XLOOKUP(A383,Orders[OrderID],Orders[CustomerName])</f>
        <v>Chirag</v>
      </c>
      <c r="J383" t="str">
        <f>_xlfn.XLOOKUP(A383,Orders[OrderID],Orders[State])</f>
        <v>Maharashtra</v>
      </c>
      <c r="K383" t="str">
        <f>_xlfn.XLOOKUP(A383,Orders[OrderID],Orders[City])</f>
        <v>Mumbai</v>
      </c>
      <c r="L383" s="3">
        <f>YEAR(Clean_Data[[#This Row],[OrderDate]])</f>
        <v>2018</v>
      </c>
      <c r="M383" s="3">
        <f>MONTH(Clean_Data[[#This Row],[OrderDate]])</f>
        <v>5</v>
      </c>
      <c r="N383" s="8" t="str">
        <f>TEXT(Clean_Data[[#This Row],[OrderDate]],"mmm")</f>
        <v>May</v>
      </c>
      <c r="O383" s="8" t="str">
        <f>TEXT(Clean_Data[[#This Row],[OrderDate]], "yyyy-mm")</f>
        <v>2018-05</v>
      </c>
      <c r="P383" s="7">
        <f>Clean_Data[[#This Row],[Profit]]/Clean_Data[[#This Row],[Revenue ]]</f>
        <v>8.4033613445378158E-2</v>
      </c>
      <c r="Q383" t="str">
        <f>"Q"&amp;ROUNDUP(MONTH(Clean_Data[[#This Row],[OrderDate]])/3,0)</f>
        <v>Q2</v>
      </c>
      <c r="R383" t="str">
        <f>TEXT(Clean_Data[[#This Row],[OrderDate]], "dddd")</f>
        <v>Sunday</v>
      </c>
    </row>
    <row r="384" spans="1:18" x14ac:dyDescent="0.25">
      <c r="A384" t="s">
        <v>417</v>
      </c>
      <c r="B384" s="4">
        <v>48</v>
      </c>
      <c r="C384" s="4">
        <v>16</v>
      </c>
      <c r="D384" s="3">
        <v>3</v>
      </c>
      <c r="E384" t="s">
        <v>895</v>
      </c>
      <c r="F384" t="s">
        <v>909</v>
      </c>
      <c r="G384" t="s">
        <v>887</v>
      </c>
      <c r="H384" s="6">
        <f>_xlfn.XLOOKUP(A384,Orders[OrderID],Orders[OrderDate])</f>
        <v>43118</v>
      </c>
      <c r="I384" t="str">
        <f>_xlfn.XLOOKUP(A384,Orders[OrderID],Orders[CustomerName])</f>
        <v>Surbhi</v>
      </c>
      <c r="J384" t="str">
        <f>_xlfn.XLOOKUP(A384,Orders[OrderID],Orders[State])</f>
        <v>Gujarat</v>
      </c>
      <c r="K384" t="str">
        <f>_xlfn.XLOOKUP(A384,Orders[OrderID],Orders[City])</f>
        <v>Ahmedabad</v>
      </c>
      <c r="L384" s="3">
        <f>YEAR(Clean_Data[[#This Row],[OrderDate]])</f>
        <v>2018</v>
      </c>
      <c r="M384" s="3">
        <f>MONTH(Clean_Data[[#This Row],[OrderDate]])</f>
        <v>1</v>
      </c>
      <c r="N384" s="8" t="str">
        <f>TEXT(Clean_Data[[#This Row],[OrderDate]],"mmm")</f>
        <v>Jan</v>
      </c>
      <c r="O384" s="8" t="str">
        <f>TEXT(Clean_Data[[#This Row],[OrderDate]], "yyyy-mm")</f>
        <v>2018-01</v>
      </c>
      <c r="P384" s="7">
        <f>Clean_Data[[#This Row],[Profit]]/Clean_Data[[#This Row],[Revenue ]]</f>
        <v>0.33333333333333331</v>
      </c>
      <c r="Q384" t="str">
        <f>"Q"&amp;ROUNDUP(MONTH(Clean_Data[[#This Row],[OrderDate]])/3,0)</f>
        <v>Q1</v>
      </c>
      <c r="R384" t="str">
        <f>TEXT(Clean_Data[[#This Row],[OrderDate]], "dddd")</f>
        <v>Thursday</v>
      </c>
    </row>
    <row r="385" spans="1:18" x14ac:dyDescent="0.25">
      <c r="A385" t="s">
        <v>192</v>
      </c>
      <c r="B385" s="4">
        <v>66</v>
      </c>
      <c r="C385" s="4">
        <v>22</v>
      </c>
      <c r="D385" s="3">
        <v>3</v>
      </c>
      <c r="E385" t="s">
        <v>895</v>
      </c>
      <c r="F385" t="s">
        <v>903</v>
      </c>
      <c r="G385" t="s">
        <v>898</v>
      </c>
      <c r="H385" s="6">
        <f>_xlfn.XLOOKUP(A385,Orders[OrderID],Orders[OrderDate])</f>
        <v>43150</v>
      </c>
      <c r="I385" t="str">
        <f>_xlfn.XLOOKUP(A385,Orders[OrderID],Orders[CustomerName])</f>
        <v>Mukesh</v>
      </c>
      <c r="J385" t="str">
        <f>_xlfn.XLOOKUP(A385,Orders[OrderID],Orders[State])</f>
        <v>Haryana</v>
      </c>
      <c r="K385" t="str">
        <f>_xlfn.XLOOKUP(A385,Orders[OrderID],Orders[City])</f>
        <v>Chandigarh</v>
      </c>
      <c r="L385" s="3">
        <f>YEAR(Clean_Data[[#This Row],[OrderDate]])</f>
        <v>2018</v>
      </c>
      <c r="M385" s="3">
        <f>MONTH(Clean_Data[[#This Row],[OrderDate]])</f>
        <v>2</v>
      </c>
      <c r="N385" s="8" t="str">
        <f>TEXT(Clean_Data[[#This Row],[OrderDate]],"mmm")</f>
        <v>Feb</v>
      </c>
      <c r="O385" s="8" t="str">
        <f>TEXT(Clean_Data[[#This Row],[OrderDate]], "yyyy-mm")</f>
        <v>2018-02</v>
      </c>
      <c r="P385" s="7">
        <f>Clean_Data[[#This Row],[Profit]]/Clean_Data[[#This Row],[Revenue ]]</f>
        <v>0.33333333333333331</v>
      </c>
      <c r="Q385" t="str">
        <f>"Q"&amp;ROUNDUP(MONTH(Clean_Data[[#This Row],[OrderDate]])/3,0)</f>
        <v>Q1</v>
      </c>
      <c r="R385" t="str">
        <f>TEXT(Clean_Data[[#This Row],[OrderDate]], "dddd")</f>
        <v>Monday</v>
      </c>
    </row>
    <row r="386" spans="1:18" x14ac:dyDescent="0.25">
      <c r="A386" t="s">
        <v>616</v>
      </c>
      <c r="B386" s="4">
        <v>53</v>
      </c>
      <c r="C386" s="4">
        <v>24</v>
      </c>
      <c r="D386" s="3">
        <v>1</v>
      </c>
      <c r="E386" t="s">
        <v>895</v>
      </c>
      <c r="F386" t="s">
        <v>899</v>
      </c>
      <c r="G386" t="s">
        <v>907</v>
      </c>
      <c r="H386" s="6">
        <f>_xlfn.XLOOKUP(A386,Orders[OrderID],Orders[OrderDate])</f>
        <v>43382</v>
      </c>
      <c r="I386" t="str">
        <f>_xlfn.XLOOKUP(A386,Orders[OrderID],Orders[CustomerName])</f>
        <v>Suman</v>
      </c>
      <c r="J386" t="str">
        <f>_xlfn.XLOOKUP(A386,Orders[OrderID],Orders[State])</f>
        <v xml:space="preserve">Kerala </v>
      </c>
      <c r="K386" t="str">
        <f>_xlfn.XLOOKUP(A386,Orders[OrderID],Orders[City])</f>
        <v>Thiruvananthapuram</v>
      </c>
      <c r="L386" s="3">
        <f>YEAR(Clean_Data[[#This Row],[OrderDate]])</f>
        <v>2018</v>
      </c>
      <c r="M386" s="3">
        <f>MONTH(Clean_Data[[#This Row],[OrderDate]])</f>
        <v>10</v>
      </c>
      <c r="N386" s="8" t="str">
        <f>TEXT(Clean_Data[[#This Row],[OrderDate]],"mmm")</f>
        <v>Oct</v>
      </c>
      <c r="O386" s="8" t="str">
        <f>TEXT(Clean_Data[[#This Row],[OrderDate]], "yyyy-mm")</f>
        <v>2018-10</v>
      </c>
      <c r="P386" s="7">
        <f>Clean_Data[[#This Row],[Profit]]/Clean_Data[[#This Row],[Revenue ]]</f>
        <v>0.45283018867924529</v>
      </c>
      <c r="Q386" t="str">
        <f>"Q"&amp;ROUNDUP(MONTH(Clean_Data[[#This Row],[OrderDate]])/3,0)</f>
        <v>Q4</v>
      </c>
      <c r="R386" t="str">
        <f>TEXT(Clean_Data[[#This Row],[OrderDate]], "dddd")</f>
        <v>Tuesday</v>
      </c>
    </row>
    <row r="387" spans="1:18" x14ac:dyDescent="0.25">
      <c r="A387" t="s">
        <v>474</v>
      </c>
      <c r="B387" s="4">
        <v>233</v>
      </c>
      <c r="C387" s="4">
        <v>-10</v>
      </c>
      <c r="D387" s="3">
        <v>5</v>
      </c>
      <c r="E387" t="s">
        <v>885</v>
      </c>
      <c r="F387" t="s">
        <v>886</v>
      </c>
      <c r="G387" t="s">
        <v>887</v>
      </c>
      <c r="H387" s="6">
        <f>_xlfn.XLOOKUP(A387,Orders[OrderID],Orders[OrderDate])</f>
        <v>43210</v>
      </c>
      <c r="I387" t="str">
        <f>_xlfn.XLOOKUP(A387,Orders[OrderID],Orders[CustomerName])</f>
        <v>Deepak</v>
      </c>
      <c r="J387" t="str">
        <f>_xlfn.XLOOKUP(A387,Orders[OrderID],Orders[State])</f>
        <v>Madhya Pradesh</v>
      </c>
      <c r="K387" t="str">
        <f>_xlfn.XLOOKUP(A387,Orders[OrderID],Orders[City])</f>
        <v>Bhopal</v>
      </c>
      <c r="L387" s="3">
        <f>YEAR(Clean_Data[[#This Row],[OrderDate]])</f>
        <v>2018</v>
      </c>
      <c r="M387" s="3">
        <f>MONTH(Clean_Data[[#This Row],[OrderDate]])</f>
        <v>4</v>
      </c>
      <c r="N387" s="8" t="str">
        <f>TEXT(Clean_Data[[#This Row],[OrderDate]],"mmm")</f>
        <v>Apr</v>
      </c>
      <c r="O387" s="8" t="str">
        <f>TEXT(Clean_Data[[#This Row],[OrderDate]], "yyyy-mm")</f>
        <v>2018-04</v>
      </c>
      <c r="P387" s="7">
        <f>Clean_Data[[#This Row],[Profit]]/Clean_Data[[#This Row],[Revenue ]]</f>
        <v>-4.2918454935622317E-2</v>
      </c>
      <c r="Q387" t="str">
        <f>"Q"&amp;ROUNDUP(MONTH(Clean_Data[[#This Row],[OrderDate]])/3,0)</f>
        <v>Q2</v>
      </c>
      <c r="R387" t="str">
        <f>TEXT(Clean_Data[[#This Row],[OrderDate]], "dddd")</f>
        <v>Friday</v>
      </c>
    </row>
    <row r="388" spans="1:18" x14ac:dyDescent="0.25">
      <c r="A388" t="s">
        <v>419</v>
      </c>
      <c r="B388" s="4">
        <v>53</v>
      </c>
      <c r="C388" s="4">
        <v>-2</v>
      </c>
      <c r="D388" s="3">
        <v>3</v>
      </c>
      <c r="E388" t="s">
        <v>895</v>
      </c>
      <c r="F388" t="s">
        <v>897</v>
      </c>
      <c r="G388" t="s">
        <v>907</v>
      </c>
      <c r="H388" s="6">
        <f>_xlfn.XLOOKUP(A388,Orders[OrderID],Orders[OrderDate])</f>
        <v>43412</v>
      </c>
      <c r="I388" t="str">
        <f>_xlfn.XLOOKUP(A388,Orders[OrderID],Orders[CustomerName])</f>
        <v>Shubham</v>
      </c>
      <c r="J388" t="str">
        <f>_xlfn.XLOOKUP(A388,Orders[OrderID],Orders[State])</f>
        <v>Maharashtra</v>
      </c>
      <c r="K388" t="str">
        <f>_xlfn.XLOOKUP(A388,Orders[OrderID],Orders[City])</f>
        <v>Pune</v>
      </c>
      <c r="L388" s="3">
        <f>YEAR(Clean_Data[[#This Row],[OrderDate]])</f>
        <v>2018</v>
      </c>
      <c r="M388" s="3">
        <f>MONTH(Clean_Data[[#This Row],[OrderDate]])</f>
        <v>11</v>
      </c>
      <c r="N388" s="8" t="str">
        <f>TEXT(Clean_Data[[#This Row],[OrderDate]],"mmm")</f>
        <v>Nov</v>
      </c>
      <c r="O388" s="8" t="str">
        <f>TEXT(Clean_Data[[#This Row],[OrderDate]], "yyyy-mm")</f>
        <v>2018-11</v>
      </c>
      <c r="P388" s="7">
        <f>Clean_Data[[#This Row],[Profit]]/Clean_Data[[#This Row],[Revenue ]]</f>
        <v>-3.7735849056603772E-2</v>
      </c>
      <c r="Q388" t="str">
        <f>"Q"&amp;ROUNDUP(MONTH(Clean_Data[[#This Row],[OrderDate]])/3,0)</f>
        <v>Q4</v>
      </c>
      <c r="R388" t="str">
        <f>TEXT(Clean_Data[[#This Row],[OrderDate]], "dddd")</f>
        <v>Thursday</v>
      </c>
    </row>
    <row r="389" spans="1:18" x14ac:dyDescent="0.25">
      <c r="A389" t="s">
        <v>290</v>
      </c>
      <c r="B389" s="4">
        <v>54</v>
      </c>
      <c r="C389" s="4">
        <v>8</v>
      </c>
      <c r="D389" s="3">
        <v>4</v>
      </c>
      <c r="E389" t="s">
        <v>895</v>
      </c>
      <c r="F389" t="s">
        <v>906</v>
      </c>
      <c r="G389" t="s">
        <v>907</v>
      </c>
      <c r="H389" s="6">
        <f>_xlfn.XLOOKUP(A389,Orders[OrderID],Orders[OrderDate])</f>
        <v>43169</v>
      </c>
      <c r="I389" t="str">
        <f>_xlfn.XLOOKUP(A389,Orders[OrderID],Orders[CustomerName])</f>
        <v>Sharda</v>
      </c>
      <c r="J389" t="str">
        <f>_xlfn.XLOOKUP(A389,Orders[OrderID],Orders[State])</f>
        <v xml:space="preserve">Kerala </v>
      </c>
      <c r="K389" t="str">
        <f>_xlfn.XLOOKUP(A389,Orders[OrderID],Orders[City])</f>
        <v>Thiruvananthapuram</v>
      </c>
      <c r="L389" s="3">
        <f>YEAR(Clean_Data[[#This Row],[OrderDate]])</f>
        <v>2018</v>
      </c>
      <c r="M389" s="3">
        <f>MONTH(Clean_Data[[#This Row],[OrderDate]])</f>
        <v>3</v>
      </c>
      <c r="N389" s="8" t="str">
        <f>TEXT(Clean_Data[[#This Row],[OrderDate]],"mmm")</f>
        <v>Mar</v>
      </c>
      <c r="O389" s="8" t="str">
        <f>TEXT(Clean_Data[[#This Row],[OrderDate]], "yyyy-mm")</f>
        <v>2018-03</v>
      </c>
      <c r="P389" s="7">
        <f>Clean_Data[[#This Row],[Profit]]/Clean_Data[[#This Row],[Revenue ]]</f>
        <v>0.14814814814814814</v>
      </c>
      <c r="Q389" t="str">
        <f>"Q"&amp;ROUNDUP(MONTH(Clean_Data[[#This Row],[OrderDate]])/3,0)</f>
        <v>Q1</v>
      </c>
      <c r="R389" t="str">
        <f>TEXT(Clean_Data[[#This Row],[OrderDate]], "dddd")</f>
        <v>Saturday</v>
      </c>
    </row>
    <row r="390" spans="1:18" x14ac:dyDescent="0.25">
      <c r="A390" t="s">
        <v>460</v>
      </c>
      <c r="B390" s="4">
        <v>352</v>
      </c>
      <c r="C390" s="4">
        <v>-345</v>
      </c>
      <c r="D390" s="3">
        <v>5</v>
      </c>
      <c r="E390" t="s">
        <v>895</v>
      </c>
      <c r="F390" t="s">
        <v>897</v>
      </c>
      <c r="G390" t="s">
        <v>893</v>
      </c>
      <c r="H390" s="6">
        <f>_xlfn.XLOOKUP(A390,Orders[OrderID],Orders[OrderDate])</f>
        <v>43262</v>
      </c>
      <c r="I390" t="str">
        <f>_xlfn.XLOOKUP(A390,Orders[OrderID],Orders[CustomerName])</f>
        <v>Swetha</v>
      </c>
      <c r="J390" t="str">
        <f>_xlfn.XLOOKUP(A390,Orders[OrderID],Orders[State])</f>
        <v>Madhya Pradesh</v>
      </c>
      <c r="K390" t="str">
        <f>_xlfn.XLOOKUP(A390,Orders[OrderID],Orders[City])</f>
        <v>Indore</v>
      </c>
      <c r="L390" s="3">
        <f>YEAR(Clean_Data[[#This Row],[OrderDate]])</f>
        <v>2018</v>
      </c>
      <c r="M390" s="3">
        <f>MONTH(Clean_Data[[#This Row],[OrderDate]])</f>
        <v>6</v>
      </c>
      <c r="N390" s="8" t="str">
        <f>TEXT(Clean_Data[[#This Row],[OrderDate]],"mmm")</f>
        <v>Jun</v>
      </c>
      <c r="O390" s="8" t="str">
        <f>TEXT(Clean_Data[[#This Row],[OrderDate]], "yyyy-mm")</f>
        <v>2018-06</v>
      </c>
      <c r="P390" s="7">
        <f>Clean_Data[[#This Row],[Profit]]/Clean_Data[[#This Row],[Revenue ]]</f>
        <v>-0.98011363636363635</v>
      </c>
      <c r="Q390" t="str">
        <f>"Q"&amp;ROUNDUP(MONTH(Clean_Data[[#This Row],[OrderDate]])/3,0)</f>
        <v>Q2</v>
      </c>
      <c r="R390" t="str">
        <f>TEXT(Clean_Data[[#This Row],[OrderDate]], "dddd")</f>
        <v>Monday</v>
      </c>
    </row>
    <row r="391" spans="1:18" x14ac:dyDescent="0.25">
      <c r="A391" t="s">
        <v>292</v>
      </c>
      <c r="B391" s="4">
        <v>349</v>
      </c>
      <c r="C391" s="4">
        <v>0</v>
      </c>
      <c r="D391" s="3">
        <v>7</v>
      </c>
      <c r="E391" t="s">
        <v>895</v>
      </c>
      <c r="F391" t="s">
        <v>903</v>
      </c>
      <c r="G391" t="s">
        <v>893</v>
      </c>
      <c r="H391" s="6">
        <f>_xlfn.XLOOKUP(A391,Orders[OrderID],Orders[OrderDate])</f>
        <v>43432</v>
      </c>
      <c r="I391" t="str">
        <f>_xlfn.XLOOKUP(A391,Orders[OrderID],Orders[CustomerName])</f>
        <v>Shatayu</v>
      </c>
      <c r="J391" t="str">
        <f>_xlfn.XLOOKUP(A391,Orders[OrderID],Orders[State])</f>
        <v>Madhya Pradesh</v>
      </c>
      <c r="K391" t="str">
        <f>_xlfn.XLOOKUP(A391,Orders[OrderID],Orders[City])</f>
        <v>Indore</v>
      </c>
      <c r="L391" s="3">
        <f>YEAR(Clean_Data[[#This Row],[OrderDate]])</f>
        <v>2018</v>
      </c>
      <c r="M391" s="3">
        <f>MONTH(Clean_Data[[#This Row],[OrderDate]])</f>
        <v>11</v>
      </c>
      <c r="N391" s="8" t="str">
        <f>TEXT(Clean_Data[[#This Row],[OrderDate]],"mmm")</f>
        <v>Nov</v>
      </c>
      <c r="O391" s="8" t="str">
        <f>TEXT(Clean_Data[[#This Row],[OrderDate]], "yyyy-mm")</f>
        <v>2018-11</v>
      </c>
      <c r="P391" s="7">
        <f>Clean_Data[[#This Row],[Profit]]/Clean_Data[[#This Row],[Revenue ]]</f>
        <v>0</v>
      </c>
      <c r="Q391" t="str">
        <f>"Q"&amp;ROUNDUP(MONTH(Clean_Data[[#This Row],[OrderDate]])/3,0)</f>
        <v>Q4</v>
      </c>
      <c r="R391" t="str">
        <f>TEXT(Clean_Data[[#This Row],[OrderDate]], "dddd")</f>
        <v>Wednesday</v>
      </c>
    </row>
    <row r="392" spans="1:18" x14ac:dyDescent="0.25">
      <c r="A392" t="s">
        <v>212</v>
      </c>
      <c r="B392" s="4">
        <v>341</v>
      </c>
      <c r="C392" s="4">
        <v>-85</v>
      </c>
      <c r="D392" s="3">
        <v>6</v>
      </c>
      <c r="E392" t="s">
        <v>895</v>
      </c>
      <c r="F392" t="s">
        <v>896</v>
      </c>
      <c r="G392" t="s">
        <v>893</v>
      </c>
      <c r="H392" s="6">
        <f>_xlfn.XLOOKUP(A392,Orders[OrderID],Orders[OrderDate])</f>
        <v>43329</v>
      </c>
      <c r="I392" t="str">
        <f>_xlfn.XLOOKUP(A392,Orders[OrderID],Orders[CustomerName])</f>
        <v>Shivam</v>
      </c>
      <c r="J392" t="str">
        <f>_xlfn.XLOOKUP(A392,Orders[OrderID],Orders[State])</f>
        <v>Uttar Pradesh</v>
      </c>
      <c r="K392" t="str">
        <f>_xlfn.XLOOKUP(A392,Orders[OrderID],Orders[City])</f>
        <v>Lucknow</v>
      </c>
      <c r="L392" s="3">
        <f>YEAR(Clean_Data[[#This Row],[OrderDate]])</f>
        <v>2018</v>
      </c>
      <c r="M392" s="3">
        <f>MONTH(Clean_Data[[#This Row],[OrderDate]])</f>
        <v>8</v>
      </c>
      <c r="N392" s="8" t="str">
        <f>TEXT(Clean_Data[[#This Row],[OrderDate]],"mmm")</f>
        <v>Aug</v>
      </c>
      <c r="O392" s="8" t="str">
        <f>TEXT(Clean_Data[[#This Row],[OrderDate]], "yyyy-mm")</f>
        <v>2018-08</v>
      </c>
      <c r="P392" s="7">
        <f>Clean_Data[[#This Row],[Profit]]/Clean_Data[[#This Row],[Revenue ]]</f>
        <v>-0.24926686217008798</v>
      </c>
      <c r="Q392" t="str">
        <f>"Q"&amp;ROUNDUP(MONTH(Clean_Data[[#This Row],[OrderDate]])/3,0)</f>
        <v>Q3</v>
      </c>
      <c r="R392" t="str">
        <f>TEXT(Clean_Data[[#This Row],[OrderDate]], "dddd")</f>
        <v>Friday</v>
      </c>
    </row>
    <row r="393" spans="1:18" x14ac:dyDescent="0.25">
      <c r="A393" t="s">
        <v>246</v>
      </c>
      <c r="B393" s="4">
        <v>54</v>
      </c>
      <c r="C393" s="4">
        <v>12</v>
      </c>
      <c r="D393" s="3">
        <v>3</v>
      </c>
      <c r="E393" t="s">
        <v>895</v>
      </c>
      <c r="F393" t="s">
        <v>897</v>
      </c>
      <c r="G393" t="s">
        <v>907</v>
      </c>
      <c r="H393" s="6">
        <f>_xlfn.XLOOKUP(A393,Orders[OrderID],Orders[OrderDate])</f>
        <v>43128</v>
      </c>
      <c r="I393" t="str">
        <f>_xlfn.XLOOKUP(A393,Orders[OrderID],Orders[CustomerName])</f>
        <v>Amruta</v>
      </c>
      <c r="J393" t="str">
        <f>_xlfn.XLOOKUP(A393,Orders[OrderID],Orders[State])</f>
        <v>Delhi</v>
      </c>
      <c r="K393" t="str">
        <f>_xlfn.XLOOKUP(A393,Orders[OrderID],Orders[City])</f>
        <v>Delhi</v>
      </c>
      <c r="L393" s="3">
        <f>YEAR(Clean_Data[[#This Row],[OrderDate]])</f>
        <v>2018</v>
      </c>
      <c r="M393" s="3">
        <f>MONTH(Clean_Data[[#This Row],[OrderDate]])</f>
        <v>1</v>
      </c>
      <c r="N393" s="8" t="str">
        <f>TEXT(Clean_Data[[#This Row],[OrderDate]],"mmm")</f>
        <v>Jan</v>
      </c>
      <c r="O393" s="8" t="str">
        <f>TEXT(Clean_Data[[#This Row],[OrderDate]], "yyyy-mm")</f>
        <v>2018-01</v>
      </c>
      <c r="P393" s="7">
        <f>Clean_Data[[#This Row],[Profit]]/Clean_Data[[#This Row],[Revenue ]]</f>
        <v>0.22222222222222221</v>
      </c>
      <c r="Q393" t="str">
        <f>"Q"&amp;ROUNDUP(MONTH(Clean_Data[[#This Row],[OrderDate]])/3,0)</f>
        <v>Q1</v>
      </c>
      <c r="R393" t="str">
        <f>TEXT(Clean_Data[[#This Row],[OrderDate]], "dddd")</f>
        <v>Sunday</v>
      </c>
    </row>
    <row r="394" spans="1:18" x14ac:dyDescent="0.25">
      <c r="A394" t="s">
        <v>3</v>
      </c>
      <c r="B394" s="4">
        <v>57</v>
      </c>
      <c r="C394" s="4">
        <v>7</v>
      </c>
      <c r="D394" s="3">
        <v>2</v>
      </c>
      <c r="E394" t="s">
        <v>895</v>
      </c>
      <c r="F394" t="s">
        <v>909</v>
      </c>
      <c r="G394" t="s">
        <v>898</v>
      </c>
      <c r="H394" s="6">
        <f>_xlfn.XLOOKUP(A394,Orders[OrderID],Orders[OrderDate])</f>
        <v>43169</v>
      </c>
      <c r="I394" t="str">
        <f>_xlfn.XLOOKUP(A394,Orders[OrderID],Orders[CustomerName])</f>
        <v>Harivansh</v>
      </c>
      <c r="J394" t="str">
        <f>_xlfn.XLOOKUP(A394,Orders[OrderID],Orders[State])</f>
        <v>Uttar Pradesh</v>
      </c>
      <c r="K394" t="str">
        <f>_xlfn.XLOOKUP(A394,Orders[OrderID],Orders[City])</f>
        <v>Mathura</v>
      </c>
      <c r="L394" s="3">
        <f>YEAR(Clean_Data[[#This Row],[OrderDate]])</f>
        <v>2018</v>
      </c>
      <c r="M394" s="3">
        <f>MONTH(Clean_Data[[#This Row],[OrderDate]])</f>
        <v>3</v>
      </c>
      <c r="N394" s="8" t="str">
        <f>TEXT(Clean_Data[[#This Row],[OrderDate]],"mmm")</f>
        <v>Mar</v>
      </c>
      <c r="O394" s="8" t="str">
        <f>TEXT(Clean_Data[[#This Row],[OrderDate]], "yyyy-mm")</f>
        <v>2018-03</v>
      </c>
      <c r="P394" s="7">
        <f>Clean_Data[[#This Row],[Profit]]/Clean_Data[[#This Row],[Revenue ]]</f>
        <v>0.12280701754385964</v>
      </c>
      <c r="Q394" t="str">
        <f>"Q"&amp;ROUNDUP(MONTH(Clean_Data[[#This Row],[OrderDate]])/3,0)</f>
        <v>Q1</v>
      </c>
      <c r="R394" t="str">
        <f>TEXT(Clean_Data[[#This Row],[OrderDate]], "dddd")</f>
        <v>Saturday</v>
      </c>
    </row>
    <row r="395" spans="1:18" x14ac:dyDescent="0.25">
      <c r="A395" t="s">
        <v>465</v>
      </c>
      <c r="B395" s="4">
        <v>340</v>
      </c>
      <c r="C395" s="4">
        <v>20</v>
      </c>
      <c r="D395" s="3">
        <v>7</v>
      </c>
      <c r="E395" t="s">
        <v>895</v>
      </c>
      <c r="F395" t="s">
        <v>909</v>
      </c>
      <c r="G395" t="s">
        <v>893</v>
      </c>
      <c r="H395" s="6">
        <f>_xlfn.XLOOKUP(A395,Orders[OrderID],Orders[OrderDate])</f>
        <v>43290</v>
      </c>
      <c r="I395" t="str">
        <f>_xlfn.XLOOKUP(A395,Orders[OrderID],Orders[CustomerName])</f>
        <v>Stuti</v>
      </c>
      <c r="J395" t="str">
        <f>_xlfn.XLOOKUP(A395,Orders[OrderID],Orders[State])</f>
        <v>Karnataka</v>
      </c>
      <c r="K395" t="str">
        <f>_xlfn.XLOOKUP(A395,Orders[OrderID],Orders[City])</f>
        <v>Bangalore</v>
      </c>
      <c r="L395" s="3">
        <f>YEAR(Clean_Data[[#This Row],[OrderDate]])</f>
        <v>2018</v>
      </c>
      <c r="M395" s="3">
        <f>MONTH(Clean_Data[[#This Row],[OrderDate]])</f>
        <v>7</v>
      </c>
      <c r="N395" s="8" t="str">
        <f>TEXT(Clean_Data[[#This Row],[OrderDate]],"mmm")</f>
        <v>Jul</v>
      </c>
      <c r="O395" s="8" t="str">
        <f>TEXT(Clean_Data[[#This Row],[OrderDate]], "yyyy-mm")</f>
        <v>2018-07</v>
      </c>
      <c r="P395" s="7">
        <f>Clean_Data[[#This Row],[Profit]]/Clean_Data[[#This Row],[Revenue ]]</f>
        <v>5.8823529411764705E-2</v>
      </c>
      <c r="Q395" t="str">
        <f>"Q"&amp;ROUNDUP(MONTH(Clean_Data[[#This Row],[OrderDate]])/3,0)</f>
        <v>Q3</v>
      </c>
      <c r="R395" t="str">
        <f>TEXT(Clean_Data[[#This Row],[OrderDate]], "dddd")</f>
        <v>Monday</v>
      </c>
    </row>
    <row r="396" spans="1:18" x14ac:dyDescent="0.25">
      <c r="A396" t="s">
        <v>3</v>
      </c>
      <c r="B396" s="4">
        <v>227</v>
      </c>
      <c r="C396" s="4">
        <v>48</v>
      </c>
      <c r="D396" s="3">
        <v>5</v>
      </c>
      <c r="E396" t="s">
        <v>895</v>
      </c>
      <c r="F396" t="s">
        <v>903</v>
      </c>
      <c r="G396" t="s">
        <v>887</v>
      </c>
      <c r="H396" s="6">
        <f>_xlfn.XLOOKUP(A396,Orders[OrderID],Orders[OrderDate])</f>
        <v>43169</v>
      </c>
      <c r="I396" t="str">
        <f>_xlfn.XLOOKUP(A396,Orders[OrderID],Orders[CustomerName])</f>
        <v>Harivansh</v>
      </c>
      <c r="J396" t="str">
        <f>_xlfn.XLOOKUP(A396,Orders[OrderID],Orders[State])</f>
        <v>Uttar Pradesh</v>
      </c>
      <c r="K396" t="str">
        <f>_xlfn.XLOOKUP(A396,Orders[OrderID],Orders[City])</f>
        <v>Mathura</v>
      </c>
      <c r="L396" s="3">
        <f>YEAR(Clean_Data[[#This Row],[OrderDate]])</f>
        <v>2018</v>
      </c>
      <c r="M396" s="3">
        <f>MONTH(Clean_Data[[#This Row],[OrderDate]])</f>
        <v>3</v>
      </c>
      <c r="N396" s="8" t="str">
        <f>TEXT(Clean_Data[[#This Row],[OrderDate]],"mmm")</f>
        <v>Mar</v>
      </c>
      <c r="O396" s="8" t="str">
        <f>TEXT(Clean_Data[[#This Row],[OrderDate]], "yyyy-mm")</f>
        <v>2018-03</v>
      </c>
      <c r="P396" s="7">
        <f>Clean_Data[[#This Row],[Profit]]/Clean_Data[[#This Row],[Revenue ]]</f>
        <v>0.21145374449339208</v>
      </c>
      <c r="Q396" t="str">
        <f>"Q"&amp;ROUNDUP(MONTH(Clean_Data[[#This Row],[OrderDate]])/3,0)</f>
        <v>Q1</v>
      </c>
      <c r="R396" t="str">
        <f>TEXT(Clean_Data[[#This Row],[OrderDate]], "dddd")</f>
        <v>Saturday</v>
      </c>
    </row>
    <row r="397" spans="1:18" x14ac:dyDescent="0.25">
      <c r="A397" t="s">
        <v>467</v>
      </c>
      <c r="B397" s="4">
        <v>330</v>
      </c>
      <c r="C397" s="4">
        <v>81</v>
      </c>
      <c r="D397" s="3">
        <v>1</v>
      </c>
      <c r="E397" t="s">
        <v>888</v>
      </c>
      <c r="F397" t="s">
        <v>891</v>
      </c>
      <c r="G397" t="s">
        <v>893</v>
      </c>
      <c r="H397" s="6">
        <f>_xlfn.XLOOKUP(A397,Orders[OrderID],Orders[OrderDate])</f>
        <v>43132</v>
      </c>
      <c r="I397" t="str">
        <f>_xlfn.XLOOKUP(A397,Orders[OrderID],Orders[CustomerName])</f>
        <v>Anjali</v>
      </c>
      <c r="J397" t="str">
        <f>_xlfn.XLOOKUP(A397,Orders[OrderID],Orders[State])</f>
        <v>Delhi</v>
      </c>
      <c r="K397" t="str">
        <f>_xlfn.XLOOKUP(A397,Orders[OrderID],Orders[City])</f>
        <v>Delhi</v>
      </c>
      <c r="L397" s="3">
        <f>YEAR(Clean_Data[[#This Row],[OrderDate]])</f>
        <v>2018</v>
      </c>
      <c r="M397" s="3">
        <f>MONTH(Clean_Data[[#This Row],[OrderDate]])</f>
        <v>2</v>
      </c>
      <c r="N397" s="8" t="str">
        <f>TEXT(Clean_Data[[#This Row],[OrderDate]],"mmm")</f>
        <v>Feb</v>
      </c>
      <c r="O397" s="8" t="str">
        <f>TEXT(Clean_Data[[#This Row],[OrderDate]], "yyyy-mm")</f>
        <v>2018-02</v>
      </c>
      <c r="P397" s="7">
        <f>Clean_Data[[#This Row],[Profit]]/Clean_Data[[#This Row],[Revenue ]]</f>
        <v>0.24545454545454545</v>
      </c>
      <c r="Q397" t="str">
        <f>"Q"&amp;ROUNDUP(MONTH(Clean_Data[[#This Row],[OrderDate]])/3,0)</f>
        <v>Q1</v>
      </c>
      <c r="R397" t="str">
        <f>TEXT(Clean_Data[[#This Row],[OrderDate]], "dddd")</f>
        <v>Thursday</v>
      </c>
    </row>
    <row r="398" spans="1:18" x14ac:dyDescent="0.25">
      <c r="A398" t="s">
        <v>341</v>
      </c>
      <c r="B398" s="4">
        <v>216</v>
      </c>
      <c r="C398" s="4">
        <v>-38</v>
      </c>
      <c r="D398" s="3">
        <v>6</v>
      </c>
      <c r="E398" t="s">
        <v>888</v>
      </c>
      <c r="F398" t="s">
        <v>908</v>
      </c>
      <c r="G398" t="s">
        <v>898</v>
      </c>
      <c r="H398" s="6">
        <f>_xlfn.XLOOKUP(A398,Orders[OrderID],Orders[OrderDate])</f>
        <v>43286</v>
      </c>
      <c r="I398" t="str">
        <f>_xlfn.XLOOKUP(A398,Orders[OrderID],Orders[CustomerName])</f>
        <v>Megha</v>
      </c>
      <c r="J398" t="str">
        <f>_xlfn.XLOOKUP(A398,Orders[OrderID],Orders[State])</f>
        <v>Maharashtra</v>
      </c>
      <c r="K398" t="str">
        <f>_xlfn.XLOOKUP(A398,Orders[OrderID],Orders[City])</f>
        <v>Pune</v>
      </c>
      <c r="L398" s="3">
        <f>YEAR(Clean_Data[[#This Row],[OrderDate]])</f>
        <v>2018</v>
      </c>
      <c r="M398" s="3">
        <f>MONTH(Clean_Data[[#This Row],[OrderDate]])</f>
        <v>7</v>
      </c>
      <c r="N398" s="8" t="str">
        <f>TEXT(Clean_Data[[#This Row],[OrderDate]],"mmm")</f>
        <v>Jul</v>
      </c>
      <c r="O398" s="8" t="str">
        <f>TEXT(Clean_Data[[#This Row],[OrderDate]], "yyyy-mm")</f>
        <v>2018-07</v>
      </c>
      <c r="P398" s="7">
        <f>Clean_Data[[#This Row],[Profit]]/Clean_Data[[#This Row],[Revenue ]]</f>
        <v>-0.17592592592592593</v>
      </c>
      <c r="Q398" t="str">
        <f>"Q"&amp;ROUNDUP(MONTH(Clean_Data[[#This Row],[OrderDate]])/3,0)</f>
        <v>Q3</v>
      </c>
      <c r="R398" t="str">
        <f>TEXT(Clean_Data[[#This Row],[OrderDate]], "dddd")</f>
        <v>Thursday</v>
      </c>
    </row>
    <row r="399" spans="1:18" x14ac:dyDescent="0.25">
      <c r="A399" t="s">
        <v>528</v>
      </c>
      <c r="B399" s="4">
        <v>224</v>
      </c>
      <c r="C399" s="4">
        <v>-143</v>
      </c>
      <c r="D399" s="3">
        <v>3</v>
      </c>
      <c r="E399" t="s">
        <v>888</v>
      </c>
      <c r="F399" t="s">
        <v>889</v>
      </c>
      <c r="G399" t="s">
        <v>887</v>
      </c>
      <c r="H399" s="6">
        <f>_xlfn.XLOOKUP(A399,Orders[OrderID],Orders[OrderDate])</f>
        <v>43349</v>
      </c>
      <c r="I399" t="str">
        <f>_xlfn.XLOOKUP(A399,Orders[OrderID],Orders[CustomerName])</f>
        <v>Shreya</v>
      </c>
      <c r="J399" t="str">
        <f>_xlfn.XLOOKUP(A399,Orders[OrderID],Orders[State])</f>
        <v xml:space="preserve">Kerala </v>
      </c>
      <c r="K399" t="str">
        <f>_xlfn.XLOOKUP(A399,Orders[OrderID],Orders[City])</f>
        <v>Thiruvananthapuram</v>
      </c>
      <c r="L399" s="3">
        <f>YEAR(Clean_Data[[#This Row],[OrderDate]])</f>
        <v>2018</v>
      </c>
      <c r="M399" s="3">
        <f>MONTH(Clean_Data[[#This Row],[OrderDate]])</f>
        <v>9</v>
      </c>
      <c r="N399" s="8" t="str">
        <f>TEXT(Clean_Data[[#This Row],[OrderDate]],"mmm")</f>
        <v>Sep</v>
      </c>
      <c r="O399" s="8" t="str">
        <f>TEXT(Clean_Data[[#This Row],[OrderDate]], "yyyy-mm")</f>
        <v>2018-09</v>
      </c>
      <c r="P399" s="7">
        <f>Clean_Data[[#This Row],[Profit]]/Clean_Data[[#This Row],[Revenue ]]</f>
        <v>-0.6383928571428571</v>
      </c>
      <c r="Q399" t="str">
        <f>"Q"&amp;ROUNDUP(MONTH(Clean_Data[[#This Row],[OrderDate]])/3,0)</f>
        <v>Q3</v>
      </c>
      <c r="R399" t="str">
        <f>TEXT(Clean_Data[[#This Row],[OrderDate]], "dddd")</f>
        <v>Thursday</v>
      </c>
    </row>
    <row r="400" spans="1:18" x14ac:dyDescent="0.25">
      <c r="A400" t="s">
        <v>539</v>
      </c>
      <c r="B400" s="4">
        <v>55</v>
      </c>
      <c r="C400" s="4">
        <v>-33</v>
      </c>
      <c r="D400" s="3">
        <v>2</v>
      </c>
      <c r="E400" t="s">
        <v>888</v>
      </c>
      <c r="F400" t="s">
        <v>889</v>
      </c>
      <c r="G400" t="s">
        <v>907</v>
      </c>
      <c r="H400" s="6">
        <f>_xlfn.XLOOKUP(A400,Orders[OrderID],Orders[OrderDate])</f>
        <v>43237</v>
      </c>
      <c r="I400" t="str">
        <f>_xlfn.XLOOKUP(A400,Orders[OrderID],Orders[CustomerName])</f>
        <v>Subhashree</v>
      </c>
      <c r="J400" t="str">
        <f>_xlfn.XLOOKUP(A400,Orders[OrderID],Orders[State])</f>
        <v>Jammu and Kashmir</v>
      </c>
      <c r="K400" t="str">
        <f>_xlfn.XLOOKUP(A400,Orders[OrderID],Orders[City])</f>
        <v>Kashmir</v>
      </c>
      <c r="L400" s="3">
        <f>YEAR(Clean_Data[[#This Row],[OrderDate]])</f>
        <v>2018</v>
      </c>
      <c r="M400" s="3">
        <f>MONTH(Clean_Data[[#This Row],[OrderDate]])</f>
        <v>5</v>
      </c>
      <c r="N400" s="8" t="str">
        <f>TEXT(Clean_Data[[#This Row],[OrderDate]],"mmm")</f>
        <v>May</v>
      </c>
      <c r="O400" s="8" t="str">
        <f>TEXT(Clean_Data[[#This Row],[OrderDate]], "yyyy-mm")</f>
        <v>2018-05</v>
      </c>
      <c r="P400" s="7">
        <f>Clean_Data[[#This Row],[Profit]]/Clean_Data[[#This Row],[Revenue ]]</f>
        <v>-0.6</v>
      </c>
      <c r="Q400" t="str">
        <f>"Q"&amp;ROUNDUP(MONTH(Clean_Data[[#This Row],[OrderDate]])/3,0)</f>
        <v>Q2</v>
      </c>
      <c r="R400" t="str">
        <f>TEXT(Clean_Data[[#This Row],[OrderDate]], "dddd")</f>
        <v>Thursday</v>
      </c>
    </row>
    <row r="401" spans="1:18" x14ac:dyDescent="0.25">
      <c r="A401" t="s">
        <v>675</v>
      </c>
      <c r="B401" s="4">
        <v>49</v>
      </c>
      <c r="C401" s="4">
        <v>21</v>
      </c>
      <c r="D401" s="3">
        <v>1</v>
      </c>
      <c r="E401" t="s">
        <v>895</v>
      </c>
      <c r="F401" t="s">
        <v>903</v>
      </c>
      <c r="G401" t="s">
        <v>898</v>
      </c>
      <c r="H401" s="6">
        <f>_xlfn.XLOOKUP(A401,Orders[OrderID],Orders[OrderDate])</f>
        <v>43148</v>
      </c>
      <c r="I401" t="str">
        <f>_xlfn.XLOOKUP(A401,Orders[OrderID],Orders[CustomerName])</f>
        <v>Anita</v>
      </c>
      <c r="J401" t="str">
        <f>_xlfn.XLOOKUP(A401,Orders[OrderID],Orders[State])</f>
        <v xml:space="preserve">Kerala </v>
      </c>
      <c r="K401" t="str">
        <f>_xlfn.XLOOKUP(A401,Orders[OrderID],Orders[City])</f>
        <v>Thiruvananthapuram</v>
      </c>
      <c r="L401" s="3">
        <f>YEAR(Clean_Data[[#This Row],[OrderDate]])</f>
        <v>2018</v>
      </c>
      <c r="M401" s="3">
        <f>MONTH(Clean_Data[[#This Row],[OrderDate]])</f>
        <v>2</v>
      </c>
      <c r="N401" s="8" t="str">
        <f>TEXT(Clean_Data[[#This Row],[OrderDate]],"mmm")</f>
        <v>Feb</v>
      </c>
      <c r="O401" s="8" t="str">
        <f>TEXT(Clean_Data[[#This Row],[OrderDate]], "yyyy-mm")</f>
        <v>2018-02</v>
      </c>
      <c r="P401" s="7">
        <f>Clean_Data[[#This Row],[Profit]]/Clean_Data[[#This Row],[Revenue ]]</f>
        <v>0.42857142857142855</v>
      </c>
      <c r="Q401" t="str">
        <f>"Q"&amp;ROUNDUP(MONTH(Clean_Data[[#This Row],[OrderDate]])/3,0)</f>
        <v>Q1</v>
      </c>
      <c r="R401" t="str">
        <f>TEXT(Clean_Data[[#This Row],[OrderDate]], "dddd")</f>
        <v>Saturday</v>
      </c>
    </row>
    <row r="402" spans="1:18" x14ac:dyDescent="0.25">
      <c r="A402" t="s">
        <v>290</v>
      </c>
      <c r="B402" s="4">
        <v>224</v>
      </c>
      <c r="C402" s="4">
        <v>87</v>
      </c>
      <c r="D402" s="3">
        <v>3</v>
      </c>
      <c r="E402" t="s">
        <v>895</v>
      </c>
      <c r="F402" t="s">
        <v>896</v>
      </c>
      <c r="G402" t="s">
        <v>887</v>
      </c>
      <c r="H402" s="6">
        <f>_xlfn.XLOOKUP(A402,Orders[OrderID],Orders[OrderDate])</f>
        <v>43169</v>
      </c>
      <c r="I402" t="str">
        <f>_xlfn.XLOOKUP(A402,Orders[OrderID],Orders[CustomerName])</f>
        <v>Sharda</v>
      </c>
      <c r="J402" t="str">
        <f>_xlfn.XLOOKUP(A402,Orders[OrderID],Orders[State])</f>
        <v xml:space="preserve">Kerala </v>
      </c>
      <c r="K402" t="str">
        <f>_xlfn.XLOOKUP(A402,Orders[OrderID],Orders[City])</f>
        <v>Thiruvananthapuram</v>
      </c>
      <c r="L402" s="3">
        <f>YEAR(Clean_Data[[#This Row],[OrderDate]])</f>
        <v>2018</v>
      </c>
      <c r="M402" s="3">
        <f>MONTH(Clean_Data[[#This Row],[OrderDate]])</f>
        <v>3</v>
      </c>
      <c r="N402" s="8" t="str">
        <f>TEXT(Clean_Data[[#This Row],[OrderDate]],"mmm")</f>
        <v>Mar</v>
      </c>
      <c r="O402" s="8" t="str">
        <f>TEXT(Clean_Data[[#This Row],[OrderDate]], "yyyy-mm")</f>
        <v>2018-03</v>
      </c>
      <c r="P402" s="7">
        <f>Clean_Data[[#This Row],[Profit]]/Clean_Data[[#This Row],[Revenue ]]</f>
        <v>0.38839285714285715</v>
      </c>
      <c r="Q402" t="str">
        <f>"Q"&amp;ROUNDUP(MONTH(Clean_Data[[#This Row],[OrderDate]])/3,0)</f>
        <v>Q1</v>
      </c>
      <c r="R402" t="str">
        <f>TEXT(Clean_Data[[#This Row],[OrderDate]], "dddd")</f>
        <v>Saturday</v>
      </c>
    </row>
    <row r="403" spans="1:18" x14ac:dyDescent="0.25">
      <c r="A403" t="s">
        <v>34</v>
      </c>
      <c r="B403" s="4">
        <v>223</v>
      </c>
      <c r="C403" s="4">
        <v>27</v>
      </c>
      <c r="D403" s="3">
        <v>2</v>
      </c>
      <c r="E403" t="s">
        <v>888</v>
      </c>
      <c r="F403" t="s">
        <v>891</v>
      </c>
      <c r="G403" t="s">
        <v>887</v>
      </c>
      <c r="H403" s="6">
        <f>_xlfn.XLOOKUP(A403,Orders[OrderID],Orders[OrderDate])</f>
        <v>43417</v>
      </c>
      <c r="I403" t="str">
        <f>_xlfn.XLOOKUP(A403,Orders[OrderID],Orders[CustomerName])</f>
        <v>Uudhav</v>
      </c>
      <c r="J403" t="str">
        <f>_xlfn.XLOOKUP(A403,Orders[OrderID],Orders[State])</f>
        <v>Maharashtra</v>
      </c>
      <c r="K403" t="str">
        <f>_xlfn.XLOOKUP(A403,Orders[OrderID],Orders[City])</f>
        <v>Mumbai</v>
      </c>
      <c r="L403" s="3">
        <f>YEAR(Clean_Data[[#This Row],[OrderDate]])</f>
        <v>2018</v>
      </c>
      <c r="M403" s="3">
        <f>MONTH(Clean_Data[[#This Row],[OrderDate]])</f>
        <v>11</v>
      </c>
      <c r="N403" s="8" t="str">
        <f>TEXT(Clean_Data[[#This Row],[OrderDate]],"mmm")</f>
        <v>Nov</v>
      </c>
      <c r="O403" s="8" t="str">
        <f>TEXT(Clean_Data[[#This Row],[OrderDate]], "yyyy-mm")</f>
        <v>2018-11</v>
      </c>
      <c r="P403" s="7">
        <f>Clean_Data[[#This Row],[Profit]]/Clean_Data[[#This Row],[Revenue ]]</f>
        <v>0.1210762331838565</v>
      </c>
      <c r="Q403" t="str">
        <f>"Q"&amp;ROUNDUP(MONTH(Clean_Data[[#This Row],[OrderDate]])/3,0)</f>
        <v>Q4</v>
      </c>
      <c r="R403" t="str">
        <f>TEXT(Clean_Data[[#This Row],[OrderDate]], "dddd")</f>
        <v>Tuesday</v>
      </c>
    </row>
    <row r="404" spans="1:18" x14ac:dyDescent="0.25">
      <c r="A404" t="s">
        <v>345</v>
      </c>
      <c r="B404" s="4">
        <v>324</v>
      </c>
      <c r="C404" s="4">
        <v>39</v>
      </c>
      <c r="D404" s="3">
        <v>8</v>
      </c>
      <c r="E404" t="s">
        <v>885</v>
      </c>
      <c r="F404" t="s">
        <v>905</v>
      </c>
      <c r="G404" t="s">
        <v>893</v>
      </c>
      <c r="H404" s="6">
        <f>_xlfn.XLOOKUP(A404,Orders[OrderID],Orders[OrderDate])</f>
        <v>43414</v>
      </c>
      <c r="I404" t="str">
        <f>_xlfn.XLOOKUP(A404,Orders[OrderID],Orders[CustomerName])</f>
        <v>Anand</v>
      </c>
      <c r="J404" t="str">
        <f>_xlfn.XLOOKUP(A404,Orders[OrderID],Orders[State])</f>
        <v>Madhya Pradesh</v>
      </c>
      <c r="K404" t="str">
        <f>_xlfn.XLOOKUP(A404,Orders[OrderID],Orders[City])</f>
        <v>Indore</v>
      </c>
      <c r="L404" s="3">
        <f>YEAR(Clean_Data[[#This Row],[OrderDate]])</f>
        <v>2018</v>
      </c>
      <c r="M404" s="3">
        <f>MONTH(Clean_Data[[#This Row],[OrderDate]])</f>
        <v>11</v>
      </c>
      <c r="N404" s="8" t="str">
        <f>TEXT(Clean_Data[[#This Row],[OrderDate]],"mmm")</f>
        <v>Nov</v>
      </c>
      <c r="O404" s="8" t="str">
        <f>TEXT(Clean_Data[[#This Row],[OrderDate]], "yyyy-mm")</f>
        <v>2018-11</v>
      </c>
      <c r="P404" s="7">
        <f>Clean_Data[[#This Row],[Profit]]/Clean_Data[[#This Row],[Revenue ]]</f>
        <v>0.12037037037037036</v>
      </c>
      <c r="Q404" t="str">
        <f>"Q"&amp;ROUNDUP(MONTH(Clean_Data[[#This Row],[OrderDate]])/3,0)</f>
        <v>Q4</v>
      </c>
      <c r="R404" t="str">
        <f>TEXT(Clean_Data[[#This Row],[OrderDate]], "dddd")</f>
        <v>Saturday</v>
      </c>
    </row>
    <row r="405" spans="1:18" x14ac:dyDescent="0.25">
      <c r="A405" t="s">
        <v>124</v>
      </c>
      <c r="B405" s="4">
        <v>56</v>
      </c>
      <c r="C405" s="4">
        <v>18</v>
      </c>
      <c r="D405" s="3">
        <v>2</v>
      </c>
      <c r="E405" t="s">
        <v>895</v>
      </c>
      <c r="F405" t="s">
        <v>899</v>
      </c>
      <c r="G405" t="s">
        <v>907</v>
      </c>
      <c r="H405" s="6">
        <f>_xlfn.XLOOKUP(A405,Orders[OrderID],Orders[OrderDate])</f>
        <v>43231</v>
      </c>
      <c r="I405" t="str">
        <f>_xlfn.XLOOKUP(A405,Orders[OrderID],Orders[CustomerName])</f>
        <v>Priyanka</v>
      </c>
      <c r="J405" t="str">
        <f>_xlfn.XLOOKUP(A405,Orders[OrderID],Orders[State])</f>
        <v>Maharashtra</v>
      </c>
      <c r="K405" t="str">
        <f>_xlfn.XLOOKUP(A405,Orders[OrderID],Orders[City])</f>
        <v>Pune</v>
      </c>
      <c r="L405" s="3">
        <f>YEAR(Clean_Data[[#This Row],[OrderDate]])</f>
        <v>2018</v>
      </c>
      <c r="M405" s="3">
        <f>MONTH(Clean_Data[[#This Row],[OrderDate]])</f>
        <v>5</v>
      </c>
      <c r="N405" s="8" t="str">
        <f>TEXT(Clean_Data[[#This Row],[OrderDate]],"mmm")</f>
        <v>May</v>
      </c>
      <c r="O405" s="8" t="str">
        <f>TEXT(Clean_Data[[#This Row],[OrderDate]], "yyyy-mm")</f>
        <v>2018-05</v>
      </c>
      <c r="P405" s="7">
        <f>Clean_Data[[#This Row],[Profit]]/Clean_Data[[#This Row],[Revenue ]]</f>
        <v>0.32142857142857145</v>
      </c>
      <c r="Q405" t="str">
        <f>"Q"&amp;ROUNDUP(MONTH(Clean_Data[[#This Row],[OrderDate]])/3,0)</f>
        <v>Q2</v>
      </c>
      <c r="R405" t="str">
        <f>TEXT(Clean_Data[[#This Row],[OrderDate]], "dddd")</f>
        <v>Friday</v>
      </c>
    </row>
    <row r="406" spans="1:18" x14ac:dyDescent="0.25">
      <c r="A406" t="s">
        <v>269</v>
      </c>
      <c r="B406" s="4">
        <v>223</v>
      </c>
      <c r="C406" s="4">
        <v>62</v>
      </c>
      <c r="D406" s="3">
        <v>7</v>
      </c>
      <c r="E406" t="s">
        <v>895</v>
      </c>
      <c r="F406" t="s">
        <v>909</v>
      </c>
      <c r="G406" t="s">
        <v>887</v>
      </c>
      <c r="H406" s="6">
        <f>_xlfn.XLOOKUP(A406,Orders[OrderID],Orders[OrderDate])</f>
        <v>43136</v>
      </c>
      <c r="I406" t="str">
        <f>_xlfn.XLOOKUP(A406,Orders[OrderID],Orders[CustomerName])</f>
        <v>Diwakar</v>
      </c>
      <c r="J406" t="str">
        <f>_xlfn.XLOOKUP(A406,Orders[OrderID],Orders[State])</f>
        <v>Delhi</v>
      </c>
      <c r="K406" t="str">
        <f>_xlfn.XLOOKUP(A406,Orders[OrderID],Orders[City])</f>
        <v>Delhi</v>
      </c>
      <c r="L406" s="3">
        <f>YEAR(Clean_Data[[#This Row],[OrderDate]])</f>
        <v>2018</v>
      </c>
      <c r="M406" s="3">
        <f>MONTH(Clean_Data[[#This Row],[OrderDate]])</f>
        <v>2</v>
      </c>
      <c r="N406" s="8" t="str">
        <f>TEXT(Clean_Data[[#This Row],[OrderDate]],"mmm")</f>
        <v>Feb</v>
      </c>
      <c r="O406" s="8" t="str">
        <f>TEXT(Clean_Data[[#This Row],[OrderDate]], "yyyy-mm")</f>
        <v>2018-02</v>
      </c>
      <c r="P406" s="7">
        <f>Clean_Data[[#This Row],[Profit]]/Clean_Data[[#This Row],[Revenue ]]</f>
        <v>0.27802690582959644</v>
      </c>
      <c r="Q406" t="str">
        <f>"Q"&amp;ROUNDUP(MONTH(Clean_Data[[#This Row],[OrderDate]])/3,0)</f>
        <v>Q1</v>
      </c>
      <c r="R406" t="str">
        <f>TEXT(Clean_Data[[#This Row],[OrderDate]], "dddd")</f>
        <v>Monday</v>
      </c>
    </row>
    <row r="407" spans="1:18" x14ac:dyDescent="0.25">
      <c r="A407" t="s">
        <v>307</v>
      </c>
      <c r="B407" s="4">
        <v>10</v>
      </c>
      <c r="C407" s="4">
        <v>2</v>
      </c>
      <c r="D407" s="3">
        <v>2</v>
      </c>
      <c r="E407" t="s">
        <v>895</v>
      </c>
      <c r="F407" t="s">
        <v>901</v>
      </c>
      <c r="G407" t="s">
        <v>887</v>
      </c>
      <c r="H407" s="6">
        <f>_xlfn.XLOOKUP(A407,Orders[OrderID],Orders[OrderDate])</f>
        <v>43414</v>
      </c>
      <c r="I407" t="str">
        <f>_xlfn.XLOOKUP(A407,Orders[OrderID],Orders[CustomerName])</f>
        <v>Abhijeet</v>
      </c>
      <c r="J407" t="str">
        <f>_xlfn.XLOOKUP(A407,Orders[OrderID],Orders[State])</f>
        <v>Maharashtra</v>
      </c>
      <c r="K407" t="str">
        <f>_xlfn.XLOOKUP(A407,Orders[OrderID],Orders[City])</f>
        <v>Mumbai</v>
      </c>
      <c r="L407" s="3">
        <f>YEAR(Clean_Data[[#This Row],[OrderDate]])</f>
        <v>2018</v>
      </c>
      <c r="M407" s="3">
        <f>MONTH(Clean_Data[[#This Row],[OrderDate]])</f>
        <v>11</v>
      </c>
      <c r="N407" s="8" t="str">
        <f>TEXT(Clean_Data[[#This Row],[OrderDate]],"mmm")</f>
        <v>Nov</v>
      </c>
      <c r="O407" s="8" t="str">
        <f>TEXT(Clean_Data[[#This Row],[OrderDate]], "yyyy-mm")</f>
        <v>2018-11</v>
      </c>
      <c r="P407" s="7">
        <f>Clean_Data[[#This Row],[Profit]]/Clean_Data[[#This Row],[Revenue ]]</f>
        <v>0.2</v>
      </c>
      <c r="Q407" t="str">
        <f>"Q"&amp;ROUNDUP(MONTH(Clean_Data[[#This Row],[OrderDate]])/3,0)</f>
        <v>Q4</v>
      </c>
      <c r="R407" t="str">
        <f>TEXT(Clean_Data[[#This Row],[OrderDate]], "dddd")</f>
        <v>Saturday</v>
      </c>
    </row>
    <row r="408" spans="1:18" x14ac:dyDescent="0.25">
      <c r="A408" t="s">
        <v>781</v>
      </c>
      <c r="B408" s="4">
        <v>57</v>
      </c>
      <c r="C408" s="4">
        <v>6</v>
      </c>
      <c r="D408" s="3">
        <v>5</v>
      </c>
      <c r="E408" t="s">
        <v>895</v>
      </c>
      <c r="F408" t="s">
        <v>904</v>
      </c>
      <c r="G408" t="s">
        <v>907</v>
      </c>
      <c r="H408" s="6">
        <f>_xlfn.XLOOKUP(A408,Orders[OrderID],Orders[OrderDate])</f>
        <v>43464</v>
      </c>
      <c r="I408" t="str">
        <f>_xlfn.XLOOKUP(A408,Orders[OrderID],Orders[CustomerName])</f>
        <v>Dipali</v>
      </c>
      <c r="J408" t="str">
        <f>_xlfn.XLOOKUP(A408,Orders[OrderID],Orders[State])</f>
        <v>Madhya Pradesh</v>
      </c>
      <c r="K408" t="str">
        <f>_xlfn.XLOOKUP(A408,Orders[OrderID],Orders[City])</f>
        <v>Indore</v>
      </c>
      <c r="L408" s="3">
        <f>YEAR(Clean_Data[[#This Row],[OrderDate]])</f>
        <v>2018</v>
      </c>
      <c r="M408" s="3">
        <f>MONTH(Clean_Data[[#This Row],[OrderDate]])</f>
        <v>12</v>
      </c>
      <c r="N408" s="8" t="str">
        <f>TEXT(Clean_Data[[#This Row],[OrderDate]],"mmm")</f>
        <v>Dec</v>
      </c>
      <c r="O408" s="8" t="str">
        <f>TEXT(Clean_Data[[#This Row],[OrderDate]], "yyyy-mm")</f>
        <v>2018-12</v>
      </c>
      <c r="P408" s="7">
        <f>Clean_Data[[#This Row],[Profit]]/Clean_Data[[#This Row],[Revenue ]]</f>
        <v>0.10526315789473684</v>
      </c>
      <c r="Q408" t="str">
        <f>"Q"&amp;ROUNDUP(MONTH(Clean_Data[[#This Row],[OrderDate]])/3,0)</f>
        <v>Q4</v>
      </c>
      <c r="R408" t="str">
        <f>TEXT(Clean_Data[[#This Row],[OrderDate]], "dddd")</f>
        <v>Sunday</v>
      </c>
    </row>
    <row r="409" spans="1:18" x14ac:dyDescent="0.25">
      <c r="A409" t="s">
        <v>206</v>
      </c>
      <c r="B409" s="4">
        <v>322</v>
      </c>
      <c r="C409" s="4">
        <v>-113</v>
      </c>
      <c r="D409" s="3">
        <v>4</v>
      </c>
      <c r="E409" t="s">
        <v>895</v>
      </c>
      <c r="F409" t="s">
        <v>897</v>
      </c>
      <c r="G409" t="s">
        <v>893</v>
      </c>
      <c r="H409" s="6">
        <f>_xlfn.XLOOKUP(A409,Orders[OrderID],Orders[OrderDate])</f>
        <v>43303</v>
      </c>
      <c r="I409" t="str">
        <f>_xlfn.XLOOKUP(A409,Orders[OrderID],Orders[CustomerName])</f>
        <v>Ameesha</v>
      </c>
      <c r="J409" t="str">
        <f>_xlfn.XLOOKUP(A409,Orders[OrderID],Orders[State])</f>
        <v>Maharashtra</v>
      </c>
      <c r="K409" t="str">
        <f>_xlfn.XLOOKUP(A409,Orders[OrderID],Orders[City])</f>
        <v>Pune</v>
      </c>
      <c r="L409" s="3">
        <f>YEAR(Clean_Data[[#This Row],[OrderDate]])</f>
        <v>2018</v>
      </c>
      <c r="M409" s="3">
        <f>MONTH(Clean_Data[[#This Row],[OrderDate]])</f>
        <v>7</v>
      </c>
      <c r="N409" s="8" t="str">
        <f>TEXT(Clean_Data[[#This Row],[OrderDate]],"mmm")</f>
        <v>Jul</v>
      </c>
      <c r="O409" s="8" t="str">
        <f>TEXT(Clean_Data[[#This Row],[OrderDate]], "yyyy-mm")</f>
        <v>2018-07</v>
      </c>
      <c r="P409" s="7">
        <f>Clean_Data[[#This Row],[Profit]]/Clean_Data[[#This Row],[Revenue ]]</f>
        <v>-0.35093167701863354</v>
      </c>
      <c r="Q409" t="str">
        <f>"Q"&amp;ROUNDUP(MONTH(Clean_Data[[#This Row],[OrderDate]])/3,0)</f>
        <v>Q3</v>
      </c>
      <c r="R409" t="str">
        <f>TEXT(Clean_Data[[#This Row],[OrderDate]], "dddd")</f>
        <v>Sunday</v>
      </c>
    </row>
    <row r="410" spans="1:18" x14ac:dyDescent="0.25">
      <c r="A410" t="s">
        <v>416</v>
      </c>
      <c r="B410" s="4">
        <v>219</v>
      </c>
      <c r="C410" s="4">
        <v>4</v>
      </c>
      <c r="D410" s="3">
        <v>2</v>
      </c>
      <c r="E410" t="s">
        <v>895</v>
      </c>
      <c r="F410" t="s">
        <v>897</v>
      </c>
      <c r="G410" t="s">
        <v>887</v>
      </c>
      <c r="H410" s="6">
        <f>_xlfn.XLOOKUP(A410,Orders[OrderID],Orders[OrderDate])</f>
        <v>43180</v>
      </c>
      <c r="I410" t="str">
        <f>_xlfn.XLOOKUP(A410,Orders[OrderID],Orders[CustomerName])</f>
        <v>Jahan</v>
      </c>
      <c r="J410" t="str">
        <f>_xlfn.XLOOKUP(A410,Orders[OrderID],Orders[State])</f>
        <v>Madhya Pradesh</v>
      </c>
      <c r="K410" t="str">
        <f>_xlfn.XLOOKUP(A410,Orders[OrderID],Orders[City])</f>
        <v>Bhopal</v>
      </c>
      <c r="L410" s="3">
        <f>YEAR(Clean_Data[[#This Row],[OrderDate]])</f>
        <v>2018</v>
      </c>
      <c r="M410" s="3">
        <f>MONTH(Clean_Data[[#This Row],[OrderDate]])</f>
        <v>3</v>
      </c>
      <c r="N410" s="8" t="str">
        <f>TEXT(Clean_Data[[#This Row],[OrderDate]],"mmm")</f>
        <v>Mar</v>
      </c>
      <c r="O410" s="8" t="str">
        <f>TEXT(Clean_Data[[#This Row],[OrderDate]], "yyyy-mm")</f>
        <v>2018-03</v>
      </c>
      <c r="P410" s="7">
        <f>Clean_Data[[#This Row],[Profit]]/Clean_Data[[#This Row],[Revenue ]]</f>
        <v>1.8264840182648401E-2</v>
      </c>
      <c r="Q410" t="str">
        <f>"Q"&amp;ROUNDUP(MONTH(Clean_Data[[#This Row],[OrderDate]])/3,0)</f>
        <v>Q1</v>
      </c>
      <c r="R410" t="str">
        <f>TEXT(Clean_Data[[#This Row],[OrderDate]], "dddd")</f>
        <v>Wednesday</v>
      </c>
    </row>
    <row r="411" spans="1:18" x14ac:dyDescent="0.25">
      <c r="A411" t="s">
        <v>703</v>
      </c>
      <c r="B411" s="4">
        <v>103</v>
      </c>
      <c r="C411" s="4">
        <v>21</v>
      </c>
      <c r="D411" s="3">
        <v>7</v>
      </c>
      <c r="E411" t="s">
        <v>895</v>
      </c>
      <c r="F411" t="s">
        <v>903</v>
      </c>
      <c r="G411" t="s">
        <v>898</v>
      </c>
      <c r="H411" s="6">
        <f>_xlfn.XLOOKUP(A411,Orders[OrderID],Orders[OrderDate])</f>
        <v>43451</v>
      </c>
      <c r="I411" t="str">
        <f>_xlfn.XLOOKUP(A411,Orders[OrderID],Orders[CustomerName])</f>
        <v>Geetanjali</v>
      </c>
      <c r="J411" t="str">
        <f>_xlfn.XLOOKUP(A411,Orders[OrderID],Orders[State])</f>
        <v>Delhi</v>
      </c>
      <c r="K411" t="str">
        <f>_xlfn.XLOOKUP(A411,Orders[OrderID],Orders[City])</f>
        <v>Delhi</v>
      </c>
      <c r="L411" s="3">
        <f>YEAR(Clean_Data[[#This Row],[OrderDate]])</f>
        <v>2018</v>
      </c>
      <c r="M411" s="3">
        <f>MONTH(Clean_Data[[#This Row],[OrderDate]])</f>
        <v>12</v>
      </c>
      <c r="N411" s="8" t="str">
        <f>TEXT(Clean_Data[[#This Row],[OrderDate]],"mmm")</f>
        <v>Dec</v>
      </c>
      <c r="O411" s="8" t="str">
        <f>TEXT(Clean_Data[[#This Row],[OrderDate]], "yyyy-mm")</f>
        <v>2018-12</v>
      </c>
      <c r="P411" s="7">
        <f>Clean_Data[[#This Row],[Profit]]/Clean_Data[[#This Row],[Revenue ]]</f>
        <v>0.20388349514563106</v>
      </c>
      <c r="Q411" t="str">
        <f>"Q"&amp;ROUNDUP(MONTH(Clean_Data[[#This Row],[OrderDate]])/3,0)</f>
        <v>Q4</v>
      </c>
      <c r="R411" t="str">
        <f>TEXT(Clean_Data[[#This Row],[OrderDate]], "dddd")</f>
        <v>Monday</v>
      </c>
    </row>
    <row r="412" spans="1:18" x14ac:dyDescent="0.25">
      <c r="A412" t="s">
        <v>537</v>
      </c>
      <c r="B412" s="4">
        <v>47</v>
      </c>
      <c r="C412" s="4">
        <v>-27</v>
      </c>
      <c r="D412" s="3">
        <v>4</v>
      </c>
      <c r="E412" t="s">
        <v>895</v>
      </c>
      <c r="F412" t="s">
        <v>897</v>
      </c>
      <c r="G412" t="s">
        <v>887</v>
      </c>
      <c r="H412" s="6">
        <f>_xlfn.XLOOKUP(A412,Orders[OrderID],Orders[OrderDate])</f>
        <v>43279</v>
      </c>
      <c r="I412" t="str">
        <f>_xlfn.XLOOKUP(A412,Orders[OrderID],Orders[CustomerName])</f>
        <v>Ekta</v>
      </c>
      <c r="J412" t="str">
        <f>_xlfn.XLOOKUP(A412,Orders[OrderID],Orders[State])</f>
        <v>Madhya Pradesh</v>
      </c>
      <c r="K412" t="str">
        <f>_xlfn.XLOOKUP(A412,Orders[OrderID],Orders[City])</f>
        <v>Indore</v>
      </c>
      <c r="L412" s="3">
        <f>YEAR(Clean_Data[[#This Row],[OrderDate]])</f>
        <v>2018</v>
      </c>
      <c r="M412" s="3">
        <f>MONTH(Clean_Data[[#This Row],[OrderDate]])</f>
        <v>6</v>
      </c>
      <c r="N412" s="8" t="str">
        <f>TEXT(Clean_Data[[#This Row],[OrderDate]],"mmm")</f>
        <v>Jun</v>
      </c>
      <c r="O412" s="8" t="str">
        <f>TEXT(Clean_Data[[#This Row],[OrderDate]], "yyyy-mm")</f>
        <v>2018-06</v>
      </c>
      <c r="P412" s="7">
        <f>Clean_Data[[#This Row],[Profit]]/Clean_Data[[#This Row],[Revenue ]]</f>
        <v>-0.57446808510638303</v>
      </c>
      <c r="Q412" t="str">
        <f>"Q"&amp;ROUNDUP(MONTH(Clean_Data[[#This Row],[OrderDate]])/3,0)</f>
        <v>Q2</v>
      </c>
      <c r="R412" t="str">
        <f>TEXT(Clean_Data[[#This Row],[OrderDate]], "dddd")</f>
        <v>Thursday</v>
      </c>
    </row>
    <row r="413" spans="1:18" x14ac:dyDescent="0.25">
      <c r="A413" t="s">
        <v>34</v>
      </c>
      <c r="B413" s="4">
        <v>219</v>
      </c>
      <c r="C413" s="4">
        <v>0</v>
      </c>
      <c r="D413" s="3">
        <v>1</v>
      </c>
      <c r="E413" t="s">
        <v>895</v>
      </c>
      <c r="F413" t="s">
        <v>897</v>
      </c>
      <c r="G413" t="s">
        <v>887</v>
      </c>
      <c r="H413" s="6">
        <f>_xlfn.XLOOKUP(A413,Orders[OrderID],Orders[OrderDate])</f>
        <v>43417</v>
      </c>
      <c r="I413" t="str">
        <f>_xlfn.XLOOKUP(A413,Orders[OrderID],Orders[CustomerName])</f>
        <v>Uudhav</v>
      </c>
      <c r="J413" t="str">
        <f>_xlfn.XLOOKUP(A413,Orders[OrderID],Orders[State])</f>
        <v>Maharashtra</v>
      </c>
      <c r="K413" t="str">
        <f>_xlfn.XLOOKUP(A413,Orders[OrderID],Orders[City])</f>
        <v>Mumbai</v>
      </c>
      <c r="L413" s="3">
        <f>YEAR(Clean_Data[[#This Row],[OrderDate]])</f>
        <v>2018</v>
      </c>
      <c r="M413" s="3">
        <f>MONTH(Clean_Data[[#This Row],[OrderDate]])</f>
        <v>11</v>
      </c>
      <c r="N413" s="8" t="str">
        <f>TEXT(Clean_Data[[#This Row],[OrderDate]],"mmm")</f>
        <v>Nov</v>
      </c>
      <c r="O413" s="8" t="str">
        <f>TEXT(Clean_Data[[#This Row],[OrderDate]], "yyyy-mm")</f>
        <v>2018-11</v>
      </c>
      <c r="P413" s="7">
        <f>Clean_Data[[#This Row],[Profit]]/Clean_Data[[#This Row],[Revenue ]]</f>
        <v>0</v>
      </c>
      <c r="Q413" t="str">
        <f>"Q"&amp;ROUNDUP(MONTH(Clean_Data[[#This Row],[OrderDate]])/3,0)</f>
        <v>Q4</v>
      </c>
      <c r="R413" t="str">
        <f>TEXT(Clean_Data[[#This Row],[OrderDate]], "dddd")</f>
        <v>Tuesday</v>
      </c>
    </row>
    <row r="414" spans="1:18" x14ac:dyDescent="0.25">
      <c r="A414" t="s">
        <v>480</v>
      </c>
      <c r="B414" s="4">
        <v>57</v>
      </c>
      <c r="C414" s="4">
        <v>-48</v>
      </c>
      <c r="D414" s="3">
        <v>6</v>
      </c>
      <c r="E414" t="s">
        <v>895</v>
      </c>
      <c r="F414" t="s">
        <v>904</v>
      </c>
      <c r="G414" t="s">
        <v>907</v>
      </c>
      <c r="H414" s="6">
        <f>_xlfn.XLOOKUP(A414,Orders[OrderID],Orders[OrderDate])</f>
        <v>43303</v>
      </c>
      <c r="I414" t="str">
        <f>_xlfn.XLOOKUP(A414,Orders[OrderID],Orders[CustomerName])</f>
        <v>Turumella</v>
      </c>
      <c r="J414" t="str">
        <f>_xlfn.XLOOKUP(A414,Orders[OrderID],Orders[State])</f>
        <v>Madhya Pradesh</v>
      </c>
      <c r="K414" t="str">
        <f>_xlfn.XLOOKUP(A414,Orders[OrderID],Orders[City])</f>
        <v>Indore</v>
      </c>
      <c r="L414" s="3">
        <f>YEAR(Clean_Data[[#This Row],[OrderDate]])</f>
        <v>2018</v>
      </c>
      <c r="M414" s="3">
        <f>MONTH(Clean_Data[[#This Row],[OrderDate]])</f>
        <v>7</v>
      </c>
      <c r="N414" s="8" t="str">
        <f>TEXT(Clean_Data[[#This Row],[OrderDate]],"mmm")</f>
        <v>Jul</v>
      </c>
      <c r="O414" s="8" t="str">
        <f>TEXT(Clean_Data[[#This Row],[OrderDate]], "yyyy-mm")</f>
        <v>2018-07</v>
      </c>
      <c r="P414" s="7">
        <f>Clean_Data[[#This Row],[Profit]]/Clean_Data[[#This Row],[Revenue ]]</f>
        <v>-0.84210526315789469</v>
      </c>
      <c r="Q414" t="str">
        <f>"Q"&amp;ROUNDUP(MONTH(Clean_Data[[#This Row],[OrderDate]])/3,0)</f>
        <v>Q3</v>
      </c>
      <c r="R414" t="str">
        <f>TEXT(Clean_Data[[#This Row],[OrderDate]], "dddd")</f>
        <v>Sunday</v>
      </c>
    </row>
    <row r="415" spans="1:18" x14ac:dyDescent="0.25">
      <c r="A415" t="s">
        <v>488</v>
      </c>
      <c r="B415" s="4">
        <v>319</v>
      </c>
      <c r="C415" s="4">
        <v>102</v>
      </c>
      <c r="D415" s="3">
        <v>6</v>
      </c>
      <c r="E415" t="s">
        <v>885</v>
      </c>
      <c r="F415" t="s">
        <v>905</v>
      </c>
      <c r="G415" t="s">
        <v>893</v>
      </c>
      <c r="H415" s="6">
        <f>_xlfn.XLOOKUP(A415,Orders[OrderID],Orders[OrderDate])</f>
        <v>43147</v>
      </c>
      <c r="I415" t="str">
        <f>_xlfn.XLOOKUP(A415,Orders[OrderID],Orders[CustomerName])</f>
        <v>Yogesh</v>
      </c>
      <c r="J415" t="str">
        <f>_xlfn.XLOOKUP(A415,Orders[OrderID],Orders[State])</f>
        <v>Bihar</v>
      </c>
      <c r="K415" t="str">
        <f>_xlfn.XLOOKUP(A415,Orders[OrderID],Orders[City])</f>
        <v>Patna</v>
      </c>
      <c r="L415" s="3">
        <f>YEAR(Clean_Data[[#This Row],[OrderDate]])</f>
        <v>2018</v>
      </c>
      <c r="M415" s="3">
        <f>MONTH(Clean_Data[[#This Row],[OrderDate]])</f>
        <v>2</v>
      </c>
      <c r="N415" s="8" t="str">
        <f>TEXT(Clean_Data[[#This Row],[OrderDate]],"mmm")</f>
        <v>Feb</v>
      </c>
      <c r="O415" s="8" t="str">
        <f>TEXT(Clean_Data[[#This Row],[OrderDate]], "yyyy-mm")</f>
        <v>2018-02</v>
      </c>
      <c r="P415" s="7">
        <f>Clean_Data[[#This Row],[Profit]]/Clean_Data[[#This Row],[Revenue ]]</f>
        <v>0.31974921630094044</v>
      </c>
      <c r="Q415" t="str">
        <f>"Q"&amp;ROUNDUP(MONTH(Clean_Data[[#This Row],[OrderDate]])/3,0)</f>
        <v>Q1</v>
      </c>
      <c r="R415" t="str">
        <f>TEXT(Clean_Data[[#This Row],[OrderDate]], "dddd")</f>
        <v>Friday</v>
      </c>
    </row>
    <row r="416" spans="1:18" x14ac:dyDescent="0.25">
      <c r="A416" t="s">
        <v>68</v>
      </c>
      <c r="B416" s="4">
        <v>315</v>
      </c>
      <c r="C416" s="4">
        <v>-8</v>
      </c>
      <c r="D416" s="3">
        <v>3</v>
      </c>
      <c r="E416" t="s">
        <v>888</v>
      </c>
      <c r="F416" t="s">
        <v>889</v>
      </c>
      <c r="G416" t="s">
        <v>893</v>
      </c>
      <c r="H416" s="6">
        <f>_xlfn.XLOOKUP(A416,Orders[OrderID],Orders[OrderDate])</f>
        <v>43139</v>
      </c>
      <c r="I416" t="str">
        <f>_xlfn.XLOOKUP(A416,Orders[OrderID],Orders[CustomerName])</f>
        <v>Hitesh</v>
      </c>
      <c r="J416" t="str">
        <f>_xlfn.XLOOKUP(A416,Orders[OrderID],Orders[State])</f>
        <v>Madhya Pradesh</v>
      </c>
      <c r="K416" t="str">
        <f>_xlfn.XLOOKUP(A416,Orders[OrderID],Orders[City])</f>
        <v>Bhopal</v>
      </c>
      <c r="L416" s="3">
        <f>YEAR(Clean_Data[[#This Row],[OrderDate]])</f>
        <v>2018</v>
      </c>
      <c r="M416" s="3">
        <f>MONTH(Clean_Data[[#This Row],[OrderDate]])</f>
        <v>2</v>
      </c>
      <c r="N416" s="8" t="str">
        <f>TEXT(Clean_Data[[#This Row],[OrderDate]],"mmm")</f>
        <v>Feb</v>
      </c>
      <c r="O416" s="8" t="str">
        <f>TEXT(Clean_Data[[#This Row],[OrderDate]], "yyyy-mm")</f>
        <v>2018-02</v>
      </c>
      <c r="P416" s="7">
        <f>Clean_Data[[#This Row],[Profit]]/Clean_Data[[#This Row],[Revenue ]]</f>
        <v>-2.5396825396825397E-2</v>
      </c>
      <c r="Q416" t="str">
        <f>"Q"&amp;ROUNDUP(MONTH(Clean_Data[[#This Row],[OrderDate]])/3,0)</f>
        <v>Q1</v>
      </c>
      <c r="R416" t="str">
        <f>TEXT(Clean_Data[[#This Row],[OrderDate]], "dddd")</f>
        <v>Thursday</v>
      </c>
    </row>
    <row r="417" spans="1:18" x14ac:dyDescent="0.25">
      <c r="A417" t="s">
        <v>174</v>
      </c>
      <c r="B417" s="4">
        <v>314</v>
      </c>
      <c r="C417" s="4">
        <v>-41</v>
      </c>
      <c r="D417" s="3">
        <v>3</v>
      </c>
      <c r="E417" t="s">
        <v>885</v>
      </c>
      <c r="F417" t="s">
        <v>886</v>
      </c>
      <c r="G417" t="s">
        <v>893</v>
      </c>
      <c r="H417" s="6">
        <f>_xlfn.XLOOKUP(A417,Orders[OrderID],Orders[OrderDate])</f>
        <v>43463</v>
      </c>
      <c r="I417" t="str">
        <f>_xlfn.XLOOKUP(A417,Orders[OrderID],Orders[CustomerName])</f>
        <v>Shruti</v>
      </c>
      <c r="J417" t="str">
        <f>_xlfn.XLOOKUP(A417,Orders[OrderID],Orders[State])</f>
        <v>Maharashtra</v>
      </c>
      <c r="K417" t="str">
        <f>_xlfn.XLOOKUP(A417,Orders[OrderID],Orders[City])</f>
        <v>Mumbai</v>
      </c>
      <c r="L417" s="3">
        <f>YEAR(Clean_Data[[#This Row],[OrderDate]])</f>
        <v>2018</v>
      </c>
      <c r="M417" s="3">
        <f>MONTH(Clean_Data[[#This Row],[OrderDate]])</f>
        <v>12</v>
      </c>
      <c r="N417" s="8" t="str">
        <f>TEXT(Clean_Data[[#This Row],[OrderDate]],"mmm")</f>
        <v>Dec</v>
      </c>
      <c r="O417" s="8" t="str">
        <f>TEXT(Clean_Data[[#This Row],[OrderDate]], "yyyy-mm")</f>
        <v>2018-12</v>
      </c>
      <c r="P417" s="7">
        <f>Clean_Data[[#This Row],[Profit]]/Clean_Data[[#This Row],[Revenue ]]</f>
        <v>-0.13057324840764331</v>
      </c>
      <c r="Q417" t="str">
        <f>"Q"&amp;ROUNDUP(MONTH(Clean_Data[[#This Row],[OrderDate]])/3,0)</f>
        <v>Q4</v>
      </c>
      <c r="R417" t="str">
        <f>TEXT(Clean_Data[[#This Row],[OrderDate]], "dddd")</f>
        <v>Saturday</v>
      </c>
    </row>
    <row r="418" spans="1:18" x14ac:dyDescent="0.25">
      <c r="A418" t="s">
        <v>493</v>
      </c>
      <c r="B418" s="4">
        <v>311</v>
      </c>
      <c r="C418" s="4">
        <v>40</v>
      </c>
      <c r="D418" s="3">
        <v>1</v>
      </c>
      <c r="E418" t="s">
        <v>885</v>
      </c>
      <c r="F418" t="s">
        <v>886</v>
      </c>
      <c r="G418" t="s">
        <v>890</v>
      </c>
      <c r="H418" s="6">
        <f>_xlfn.XLOOKUP(A418,Orders[OrderID],Orders[OrderDate])</f>
        <v>43185</v>
      </c>
      <c r="I418" t="str">
        <f>_xlfn.XLOOKUP(A418,Orders[OrderID],Orders[CustomerName])</f>
        <v>Vandana</v>
      </c>
      <c r="J418" t="str">
        <f>_xlfn.XLOOKUP(A418,Orders[OrderID],Orders[State])</f>
        <v>Himachal Pradesh</v>
      </c>
      <c r="K418" t="str">
        <f>_xlfn.XLOOKUP(A418,Orders[OrderID],Orders[City])</f>
        <v>Simla</v>
      </c>
      <c r="L418" s="3">
        <f>YEAR(Clean_Data[[#This Row],[OrderDate]])</f>
        <v>2018</v>
      </c>
      <c r="M418" s="3">
        <f>MONTH(Clean_Data[[#This Row],[OrderDate]])</f>
        <v>3</v>
      </c>
      <c r="N418" s="8" t="str">
        <f>TEXT(Clean_Data[[#This Row],[OrderDate]],"mmm")</f>
        <v>Mar</v>
      </c>
      <c r="O418" s="8" t="str">
        <f>TEXT(Clean_Data[[#This Row],[OrderDate]], "yyyy-mm")</f>
        <v>2018-03</v>
      </c>
      <c r="P418" s="7">
        <f>Clean_Data[[#This Row],[Profit]]/Clean_Data[[#This Row],[Revenue ]]</f>
        <v>0.12861736334405144</v>
      </c>
      <c r="Q418" t="str">
        <f>"Q"&amp;ROUNDUP(MONTH(Clean_Data[[#This Row],[OrderDate]])/3,0)</f>
        <v>Q1</v>
      </c>
      <c r="R418" t="str">
        <f>TEXT(Clean_Data[[#This Row],[OrderDate]], "dddd")</f>
        <v>Monday</v>
      </c>
    </row>
    <row r="419" spans="1:18" x14ac:dyDescent="0.25">
      <c r="A419" t="s">
        <v>187</v>
      </c>
      <c r="B419" s="4">
        <v>307</v>
      </c>
      <c r="C419" s="4">
        <v>74</v>
      </c>
      <c r="D419" s="3">
        <v>3</v>
      </c>
      <c r="E419" t="s">
        <v>885</v>
      </c>
      <c r="F419" t="s">
        <v>905</v>
      </c>
      <c r="G419" t="s">
        <v>890</v>
      </c>
      <c r="H419" s="6">
        <f>_xlfn.XLOOKUP(A419,Orders[OrderID],Orders[OrderDate])</f>
        <v>43383</v>
      </c>
      <c r="I419" t="str">
        <f>_xlfn.XLOOKUP(A419,Orders[OrderID],Orders[CustomerName])</f>
        <v>Nripraj</v>
      </c>
      <c r="J419" t="str">
        <f>_xlfn.XLOOKUP(A419,Orders[OrderID],Orders[State])</f>
        <v>Punjab</v>
      </c>
      <c r="K419" t="str">
        <f>_xlfn.XLOOKUP(A419,Orders[OrderID],Orders[City])</f>
        <v>Chandigarh</v>
      </c>
      <c r="L419" s="3">
        <f>YEAR(Clean_Data[[#This Row],[OrderDate]])</f>
        <v>2018</v>
      </c>
      <c r="M419" s="3">
        <f>MONTH(Clean_Data[[#This Row],[OrderDate]])</f>
        <v>10</v>
      </c>
      <c r="N419" s="8" t="str">
        <f>TEXT(Clean_Data[[#This Row],[OrderDate]],"mmm")</f>
        <v>Oct</v>
      </c>
      <c r="O419" s="8" t="str">
        <f>TEXT(Clean_Data[[#This Row],[OrderDate]], "yyyy-mm")</f>
        <v>2018-10</v>
      </c>
      <c r="P419" s="7">
        <f>Clean_Data[[#This Row],[Profit]]/Clean_Data[[#This Row],[Revenue ]]</f>
        <v>0.24104234527687296</v>
      </c>
      <c r="Q419" t="str">
        <f>"Q"&amp;ROUNDUP(MONTH(Clean_Data[[#This Row],[OrderDate]])/3,0)</f>
        <v>Q4</v>
      </c>
      <c r="R419" t="str">
        <f>TEXT(Clean_Data[[#This Row],[OrderDate]], "dddd")</f>
        <v>Wednesday</v>
      </c>
    </row>
    <row r="420" spans="1:18" x14ac:dyDescent="0.25">
      <c r="A420" t="s">
        <v>34</v>
      </c>
      <c r="B420" s="4">
        <v>294</v>
      </c>
      <c r="C420" s="4">
        <v>109</v>
      </c>
      <c r="D420" s="3">
        <v>7</v>
      </c>
      <c r="E420" t="s">
        <v>885</v>
      </c>
      <c r="F420" t="s">
        <v>905</v>
      </c>
      <c r="G420" t="s">
        <v>890</v>
      </c>
      <c r="H420" s="6">
        <f>_xlfn.XLOOKUP(A420,Orders[OrderID],Orders[OrderDate])</f>
        <v>43417</v>
      </c>
      <c r="I420" t="str">
        <f>_xlfn.XLOOKUP(A420,Orders[OrderID],Orders[CustomerName])</f>
        <v>Uudhav</v>
      </c>
      <c r="J420" t="str">
        <f>_xlfn.XLOOKUP(A420,Orders[OrderID],Orders[State])</f>
        <v>Maharashtra</v>
      </c>
      <c r="K420" t="str">
        <f>_xlfn.XLOOKUP(A420,Orders[OrderID],Orders[City])</f>
        <v>Mumbai</v>
      </c>
      <c r="L420" s="3">
        <f>YEAR(Clean_Data[[#This Row],[OrderDate]])</f>
        <v>2018</v>
      </c>
      <c r="M420" s="3">
        <f>MONTH(Clean_Data[[#This Row],[OrderDate]])</f>
        <v>11</v>
      </c>
      <c r="N420" s="8" t="str">
        <f>TEXT(Clean_Data[[#This Row],[OrderDate]],"mmm")</f>
        <v>Nov</v>
      </c>
      <c r="O420" s="8" t="str">
        <f>TEXT(Clean_Data[[#This Row],[OrderDate]], "yyyy-mm")</f>
        <v>2018-11</v>
      </c>
      <c r="P420" s="7">
        <f>Clean_Data[[#This Row],[Profit]]/Clean_Data[[#This Row],[Revenue ]]</f>
        <v>0.37074829931972791</v>
      </c>
      <c r="Q420" t="str">
        <f>"Q"&amp;ROUNDUP(MONTH(Clean_Data[[#This Row],[OrderDate]])/3,0)</f>
        <v>Q4</v>
      </c>
      <c r="R420" t="str">
        <f>TEXT(Clean_Data[[#This Row],[OrderDate]], "dddd")</f>
        <v>Tuesday</v>
      </c>
    </row>
    <row r="421" spans="1:18" x14ac:dyDescent="0.25">
      <c r="A421" t="s">
        <v>544</v>
      </c>
      <c r="B421" s="4">
        <v>216</v>
      </c>
      <c r="C421" s="4">
        <v>-83</v>
      </c>
      <c r="D421" s="3">
        <v>3</v>
      </c>
      <c r="E421" t="s">
        <v>885</v>
      </c>
      <c r="F421" t="s">
        <v>886</v>
      </c>
      <c r="G421" t="s">
        <v>887</v>
      </c>
      <c r="H421" s="6">
        <f>_xlfn.XLOOKUP(A421,Orders[OrderID],Orders[OrderDate])</f>
        <v>43419</v>
      </c>
      <c r="I421" t="str">
        <f>_xlfn.XLOOKUP(A421,Orders[OrderID],Orders[CustomerName])</f>
        <v>Aayush</v>
      </c>
      <c r="J421" t="str">
        <f>_xlfn.XLOOKUP(A421,Orders[OrderID],Orders[State])</f>
        <v>Uttar Pradesh</v>
      </c>
      <c r="K421" t="str">
        <f>_xlfn.XLOOKUP(A421,Orders[OrderID],Orders[City])</f>
        <v>Lucknow</v>
      </c>
      <c r="L421" s="3">
        <f>YEAR(Clean_Data[[#This Row],[OrderDate]])</f>
        <v>2018</v>
      </c>
      <c r="M421" s="3">
        <f>MONTH(Clean_Data[[#This Row],[OrderDate]])</f>
        <v>11</v>
      </c>
      <c r="N421" s="8" t="str">
        <f>TEXT(Clean_Data[[#This Row],[OrderDate]],"mmm")</f>
        <v>Nov</v>
      </c>
      <c r="O421" s="8" t="str">
        <f>TEXT(Clean_Data[[#This Row],[OrderDate]], "yyyy-mm")</f>
        <v>2018-11</v>
      </c>
      <c r="P421" s="7">
        <f>Clean_Data[[#This Row],[Profit]]/Clean_Data[[#This Row],[Revenue ]]</f>
        <v>-0.38425925925925924</v>
      </c>
      <c r="Q421" t="str">
        <f>"Q"&amp;ROUNDUP(MONTH(Clean_Data[[#This Row],[OrderDate]])/3,0)</f>
        <v>Q4</v>
      </c>
      <c r="R421" t="str">
        <f>TEXT(Clean_Data[[#This Row],[OrderDate]], "dddd")</f>
        <v>Thursday</v>
      </c>
    </row>
    <row r="422" spans="1:18" x14ac:dyDescent="0.25">
      <c r="A422" t="s">
        <v>539</v>
      </c>
      <c r="B422" s="4">
        <v>58</v>
      </c>
      <c r="C422" s="4">
        <v>-42</v>
      </c>
      <c r="D422" s="3">
        <v>2</v>
      </c>
      <c r="E422" t="s">
        <v>888</v>
      </c>
      <c r="F422" t="s">
        <v>889</v>
      </c>
      <c r="G422" t="s">
        <v>907</v>
      </c>
      <c r="H422" s="6">
        <f>_xlfn.XLOOKUP(A422,Orders[OrderID],Orders[OrderDate])</f>
        <v>43237</v>
      </c>
      <c r="I422" t="str">
        <f>_xlfn.XLOOKUP(A422,Orders[OrderID],Orders[CustomerName])</f>
        <v>Subhashree</v>
      </c>
      <c r="J422" t="str">
        <f>_xlfn.XLOOKUP(A422,Orders[OrderID],Orders[State])</f>
        <v>Jammu and Kashmir</v>
      </c>
      <c r="K422" t="str">
        <f>_xlfn.XLOOKUP(A422,Orders[OrderID],Orders[City])</f>
        <v>Kashmir</v>
      </c>
      <c r="L422" s="3">
        <f>YEAR(Clean_Data[[#This Row],[OrderDate]])</f>
        <v>2018</v>
      </c>
      <c r="M422" s="3">
        <f>MONTH(Clean_Data[[#This Row],[OrderDate]])</f>
        <v>5</v>
      </c>
      <c r="N422" s="8" t="str">
        <f>TEXT(Clean_Data[[#This Row],[OrderDate]],"mmm")</f>
        <v>May</v>
      </c>
      <c r="O422" s="8" t="str">
        <f>TEXT(Clean_Data[[#This Row],[OrderDate]], "yyyy-mm")</f>
        <v>2018-05</v>
      </c>
      <c r="P422" s="7">
        <f>Clean_Data[[#This Row],[Profit]]/Clean_Data[[#This Row],[Revenue ]]</f>
        <v>-0.72413793103448276</v>
      </c>
      <c r="Q422" t="str">
        <f>"Q"&amp;ROUNDUP(MONTH(Clean_Data[[#This Row],[OrderDate]])/3,0)</f>
        <v>Q2</v>
      </c>
      <c r="R422" t="str">
        <f>TEXT(Clean_Data[[#This Row],[OrderDate]], "dddd")</f>
        <v>Thursday</v>
      </c>
    </row>
    <row r="423" spans="1:18" x14ac:dyDescent="0.25">
      <c r="A423" t="s">
        <v>108</v>
      </c>
      <c r="B423" s="4">
        <v>48</v>
      </c>
      <c r="C423" s="4">
        <v>20</v>
      </c>
      <c r="D423" s="3">
        <v>4</v>
      </c>
      <c r="E423" t="s">
        <v>895</v>
      </c>
      <c r="F423" t="s">
        <v>903</v>
      </c>
      <c r="G423" t="s">
        <v>898</v>
      </c>
      <c r="H423" s="6">
        <f>_xlfn.XLOOKUP(A423,Orders[OrderID],Orders[OrderDate])</f>
        <v>43109</v>
      </c>
      <c r="I423" t="str">
        <f>_xlfn.XLOOKUP(A423,Orders[OrderID],Orders[CustomerName])</f>
        <v>Shardul</v>
      </c>
      <c r="J423" t="str">
        <f>_xlfn.XLOOKUP(A423,Orders[OrderID],Orders[State])</f>
        <v>Gujarat</v>
      </c>
      <c r="K423" t="str">
        <f>_xlfn.XLOOKUP(A423,Orders[OrderID],Orders[City])</f>
        <v>Ahmedabad</v>
      </c>
      <c r="L423" s="3">
        <f>YEAR(Clean_Data[[#This Row],[OrderDate]])</f>
        <v>2018</v>
      </c>
      <c r="M423" s="3">
        <f>MONTH(Clean_Data[[#This Row],[OrderDate]])</f>
        <v>1</v>
      </c>
      <c r="N423" s="8" t="str">
        <f>TEXT(Clean_Data[[#This Row],[OrderDate]],"mmm")</f>
        <v>Jan</v>
      </c>
      <c r="O423" s="8" t="str">
        <f>TEXT(Clean_Data[[#This Row],[OrderDate]], "yyyy-mm")</f>
        <v>2018-01</v>
      </c>
      <c r="P423" s="7">
        <f>Clean_Data[[#This Row],[Profit]]/Clean_Data[[#This Row],[Revenue ]]</f>
        <v>0.41666666666666669</v>
      </c>
      <c r="Q423" t="str">
        <f>"Q"&amp;ROUNDUP(MONTH(Clean_Data[[#This Row],[OrderDate]])/3,0)</f>
        <v>Q1</v>
      </c>
      <c r="R423" t="str">
        <f>TEXT(Clean_Data[[#This Row],[OrderDate]], "dddd")</f>
        <v>Tuesday</v>
      </c>
    </row>
    <row r="424" spans="1:18" x14ac:dyDescent="0.25">
      <c r="A424" t="s">
        <v>23</v>
      </c>
      <c r="B424" s="4">
        <v>54</v>
      </c>
      <c r="C424" s="4">
        <v>14</v>
      </c>
      <c r="D424" s="3">
        <v>3</v>
      </c>
      <c r="E424" t="s">
        <v>895</v>
      </c>
      <c r="F424" t="s">
        <v>906</v>
      </c>
      <c r="G424" t="s">
        <v>898</v>
      </c>
      <c r="H424" s="6">
        <f>_xlfn.XLOOKUP(A424,Orders[OrderID],Orders[OrderDate])</f>
        <v>43116</v>
      </c>
      <c r="I424" t="str">
        <f>_xlfn.XLOOKUP(A424,Orders[OrderID],Orders[CustomerName])</f>
        <v>Shiva</v>
      </c>
      <c r="J424" t="str">
        <f>_xlfn.XLOOKUP(A424,Orders[OrderID],Orders[State])</f>
        <v>Maharashtra</v>
      </c>
      <c r="K424" t="str">
        <f>_xlfn.XLOOKUP(A424,Orders[OrderID],Orders[City])</f>
        <v>Pune</v>
      </c>
      <c r="L424" s="3">
        <f>YEAR(Clean_Data[[#This Row],[OrderDate]])</f>
        <v>2018</v>
      </c>
      <c r="M424" s="3">
        <f>MONTH(Clean_Data[[#This Row],[OrderDate]])</f>
        <v>1</v>
      </c>
      <c r="N424" s="8" t="str">
        <f>TEXT(Clean_Data[[#This Row],[OrderDate]],"mmm")</f>
        <v>Jan</v>
      </c>
      <c r="O424" s="8" t="str">
        <f>TEXT(Clean_Data[[#This Row],[OrderDate]], "yyyy-mm")</f>
        <v>2018-01</v>
      </c>
      <c r="P424" s="7">
        <f>Clean_Data[[#This Row],[Profit]]/Clean_Data[[#This Row],[Revenue ]]</f>
        <v>0.25925925925925924</v>
      </c>
      <c r="Q424" t="str">
        <f>"Q"&amp;ROUNDUP(MONTH(Clean_Data[[#This Row],[OrderDate]])/3,0)</f>
        <v>Q1</v>
      </c>
      <c r="R424" t="str">
        <f>TEXT(Clean_Data[[#This Row],[OrderDate]], "dddd")</f>
        <v>Tuesday</v>
      </c>
    </row>
    <row r="425" spans="1:18" x14ac:dyDescent="0.25">
      <c r="A425" t="s">
        <v>136</v>
      </c>
      <c r="B425" s="4">
        <v>216</v>
      </c>
      <c r="C425" s="4">
        <v>50</v>
      </c>
      <c r="D425" s="3">
        <v>4</v>
      </c>
      <c r="E425" t="s">
        <v>895</v>
      </c>
      <c r="F425" t="s">
        <v>903</v>
      </c>
      <c r="G425" t="s">
        <v>887</v>
      </c>
      <c r="H425" s="6">
        <f>_xlfn.XLOOKUP(A425,Orders[OrderID],Orders[OrderDate])</f>
        <v>43166</v>
      </c>
      <c r="I425" t="str">
        <f>_xlfn.XLOOKUP(A425,Orders[OrderID],Orders[CustomerName])</f>
        <v>Parishi</v>
      </c>
      <c r="J425" t="str">
        <f>_xlfn.XLOOKUP(A425,Orders[OrderID],Orders[State])</f>
        <v>West Bengal</v>
      </c>
      <c r="K425" t="str">
        <f>_xlfn.XLOOKUP(A425,Orders[OrderID],Orders[City])</f>
        <v>Kolkata</v>
      </c>
      <c r="L425" s="3">
        <f>YEAR(Clean_Data[[#This Row],[OrderDate]])</f>
        <v>2018</v>
      </c>
      <c r="M425" s="3">
        <f>MONTH(Clean_Data[[#This Row],[OrderDate]])</f>
        <v>3</v>
      </c>
      <c r="N425" s="8" t="str">
        <f>TEXT(Clean_Data[[#This Row],[OrderDate]],"mmm")</f>
        <v>Mar</v>
      </c>
      <c r="O425" s="8" t="str">
        <f>TEXT(Clean_Data[[#This Row],[OrderDate]], "yyyy-mm")</f>
        <v>2018-03</v>
      </c>
      <c r="P425" s="7">
        <f>Clean_Data[[#This Row],[Profit]]/Clean_Data[[#This Row],[Revenue ]]</f>
        <v>0.23148148148148148</v>
      </c>
      <c r="Q425" t="str">
        <f>"Q"&amp;ROUNDUP(MONTH(Clean_Data[[#This Row],[OrderDate]])/3,0)</f>
        <v>Q1</v>
      </c>
      <c r="R425" t="str">
        <f>TEXT(Clean_Data[[#This Row],[OrderDate]], "dddd")</f>
        <v>Wednesday</v>
      </c>
    </row>
    <row r="426" spans="1:18" x14ac:dyDescent="0.25">
      <c r="A426" t="s">
        <v>269</v>
      </c>
      <c r="B426" s="4">
        <v>215</v>
      </c>
      <c r="C426" s="4">
        <v>-30</v>
      </c>
      <c r="D426" s="3">
        <v>2</v>
      </c>
      <c r="E426" t="s">
        <v>895</v>
      </c>
      <c r="F426" t="s">
        <v>897</v>
      </c>
      <c r="G426" t="s">
        <v>887</v>
      </c>
      <c r="H426" s="6">
        <f>_xlfn.XLOOKUP(A426,Orders[OrderID],Orders[OrderDate])</f>
        <v>43136</v>
      </c>
      <c r="I426" t="str">
        <f>_xlfn.XLOOKUP(A426,Orders[OrderID],Orders[CustomerName])</f>
        <v>Diwakar</v>
      </c>
      <c r="J426" t="str">
        <f>_xlfn.XLOOKUP(A426,Orders[OrderID],Orders[State])</f>
        <v>Delhi</v>
      </c>
      <c r="K426" t="str">
        <f>_xlfn.XLOOKUP(A426,Orders[OrderID],Orders[City])</f>
        <v>Delhi</v>
      </c>
      <c r="L426" s="3">
        <f>YEAR(Clean_Data[[#This Row],[OrderDate]])</f>
        <v>2018</v>
      </c>
      <c r="M426" s="3">
        <f>MONTH(Clean_Data[[#This Row],[OrderDate]])</f>
        <v>2</v>
      </c>
      <c r="N426" s="8" t="str">
        <f>TEXT(Clean_Data[[#This Row],[OrderDate]],"mmm")</f>
        <v>Feb</v>
      </c>
      <c r="O426" s="8" t="str">
        <f>TEXT(Clean_Data[[#This Row],[OrderDate]], "yyyy-mm")</f>
        <v>2018-02</v>
      </c>
      <c r="P426" s="7">
        <f>Clean_Data[[#This Row],[Profit]]/Clean_Data[[#This Row],[Revenue ]]</f>
        <v>-0.13953488372093023</v>
      </c>
      <c r="Q426" t="str">
        <f>"Q"&amp;ROUNDUP(MONTH(Clean_Data[[#This Row],[OrderDate]])/3,0)</f>
        <v>Q1</v>
      </c>
      <c r="R426" t="str">
        <f>TEXT(Clean_Data[[#This Row],[OrderDate]], "dddd")</f>
        <v>Monday</v>
      </c>
    </row>
    <row r="427" spans="1:18" x14ac:dyDescent="0.25">
      <c r="A427" t="s">
        <v>638</v>
      </c>
      <c r="B427" s="4">
        <v>43</v>
      </c>
      <c r="C427" s="4">
        <v>8</v>
      </c>
      <c r="D427" s="3">
        <v>3</v>
      </c>
      <c r="E427" t="s">
        <v>895</v>
      </c>
      <c r="F427" t="s">
        <v>904</v>
      </c>
      <c r="G427" t="s">
        <v>887</v>
      </c>
      <c r="H427" s="6">
        <f>_xlfn.XLOOKUP(A427,Orders[OrderID],Orders[OrderDate])</f>
        <v>43183</v>
      </c>
      <c r="I427" t="str">
        <f>_xlfn.XLOOKUP(A427,Orders[OrderID],Orders[CustomerName])</f>
        <v>Yogesh</v>
      </c>
      <c r="J427" t="str">
        <f>_xlfn.XLOOKUP(A427,Orders[OrderID],Orders[State])</f>
        <v>Bihar</v>
      </c>
      <c r="K427" t="str">
        <f>_xlfn.XLOOKUP(A427,Orders[OrderID],Orders[City])</f>
        <v>Patna</v>
      </c>
      <c r="L427" s="3">
        <f>YEAR(Clean_Data[[#This Row],[OrderDate]])</f>
        <v>2018</v>
      </c>
      <c r="M427" s="3">
        <f>MONTH(Clean_Data[[#This Row],[OrderDate]])</f>
        <v>3</v>
      </c>
      <c r="N427" s="8" t="str">
        <f>TEXT(Clean_Data[[#This Row],[OrderDate]],"mmm")</f>
        <v>Mar</v>
      </c>
      <c r="O427" s="8" t="str">
        <f>TEXT(Clean_Data[[#This Row],[OrderDate]], "yyyy-mm")</f>
        <v>2018-03</v>
      </c>
      <c r="P427" s="7">
        <f>Clean_Data[[#This Row],[Profit]]/Clean_Data[[#This Row],[Revenue ]]</f>
        <v>0.18604651162790697</v>
      </c>
      <c r="Q427" t="str">
        <f>"Q"&amp;ROUNDUP(MONTH(Clean_Data[[#This Row],[OrderDate]])/3,0)</f>
        <v>Q1</v>
      </c>
      <c r="R427" t="str">
        <f>TEXT(Clean_Data[[#This Row],[OrderDate]], "dddd")</f>
        <v>Saturday</v>
      </c>
    </row>
    <row r="428" spans="1:18" x14ac:dyDescent="0.25">
      <c r="A428" t="s">
        <v>91</v>
      </c>
      <c r="B428" s="4">
        <v>136</v>
      </c>
      <c r="C428" s="4">
        <v>-33</v>
      </c>
      <c r="D428" s="3">
        <v>5</v>
      </c>
      <c r="E428" t="s">
        <v>895</v>
      </c>
      <c r="F428" t="s">
        <v>897</v>
      </c>
      <c r="G428" t="s">
        <v>887</v>
      </c>
      <c r="H428" s="6">
        <f>_xlfn.XLOOKUP(A428,Orders[OrderID],Orders[OrderDate])</f>
        <v>43113</v>
      </c>
      <c r="I428" t="str">
        <f>_xlfn.XLOOKUP(A428,Orders[OrderID],Orders[CustomerName])</f>
        <v>Shruti</v>
      </c>
      <c r="J428" t="str">
        <f>_xlfn.XLOOKUP(A428,Orders[OrderID],Orders[State])</f>
        <v>Madhya Pradesh</v>
      </c>
      <c r="K428" t="str">
        <f>_xlfn.XLOOKUP(A428,Orders[OrderID],Orders[City])</f>
        <v>Indore</v>
      </c>
      <c r="L428" s="3">
        <f>YEAR(Clean_Data[[#This Row],[OrderDate]])</f>
        <v>2018</v>
      </c>
      <c r="M428" s="3">
        <f>MONTH(Clean_Data[[#This Row],[OrderDate]])</f>
        <v>1</v>
      </c>
      <c r="N428" s="8" t="str">
        <f>TEXT(Clean_Data[[#This Row],[OrderDate]],"mmm")</f>
        <v>Jan</v>
      </c>
      <c r="O428" s="8" t="str">
        <f>TEXT(Clean_Data[[#This Row],[OrderDate]], "yyyy-mm")</f>
        <v>2018-01</v>
      </c>
      <c r="P428" s="7">
        <f>Clean_Data[[#This Row],[Profit]]/Clean_Data[[#This Row],[Revenue ]]</f>
        <v>-0.24264705882352941</v>
      </c>
      <c r="Q428" t="str">
        <f>"Q"&amp;ROUNDUP(MONTH(Clean_Data[[#This Row],[OrderDate]])/3,0)</f>
        <v>Q1</v>
      </c>
      <c r="R428" t="str">
        <f>TEXT(Clean_Data[[#This Row],[OrderDate]], "dddd")</f>
        <v>Saturday</v>
      </c>
    </row>
    <row r="429" spans="1:18" x14ac:dyDescent="0.25">
      <c r="A429" t="s">
        <v>331</v>
      </c>
      <c r="B429" s="4">
        <v>59</v>
      </c>
      <c r="C429" s="4">
        <v>-30</v>
      </c>
      <c r="D429" s="3">
        <v>3</v>
      </c>
      <c r="E429" t="s">
        <v>895</v>
      </c>
      <c r="F429" t="s">
        <v>904</v>
      </c>
      <c r="G429" t="s">
        <v>907</v>
      </c>
      <c r="H429" s="6">
        <f>_xlfn.XLOOKUP(A429,Orders[OrderID],Orders[OrderDate])</f>
        <v>43213</v>
      </c>
      <c r="I429" t="str">
        <f>_xlfn.XLOOKUP(A429,Orders[OrderID],Orders[CustomerName])</f>
        <v>Pinky</v>
      </c>
      <c r="J429" t="str">
        <f>_xlfn.XLOOKUP(A429,Orders[OrderID],Orders[State])</f>
        <v>Jammu and Kashmir</v>
      </c>
      <c r="K429" t="str">
        <f>_xlfn.XLOOKUP(A429,Orders[OrderID],Orders[City])</f>
        <v>Kashmir</v>
      </c>
      <c r="L429" s="3">
        <f>YEAR(Clean_Data[[#This Row],[OrderDate]])</f>
        <v>2018</v>
      </c>
      <c r="M429" s="3">
        <f>MONTH(Clean_Data[[#This Row],[OrderDate]])</f>
        <v>4</v>
      </c>
      <c r="N429" s="8" t="str">
        <f>TEXT(Clean_Data[[#This Row],[OrderDate]],"mmm")</f>
        <v>Apr</v>
      </c>
      <c r="O429" s="8" t="str">
        <f>TEXT(Clean_Data[[#This Row],[OrderDate]], "yyyy-mm")</f>
        <v>2018-04</v>
      </c>
      <c r="P429" s="7">
        <f>Clean_Data[[#This Row],[Profit]]/Clean_Data[[#This Row],[Revenue ]]</f>
        <v>-0.50847457627118642</v>
      </c>
      <c r="Q429" t="str">
        <f>"Q"&amp;ROUNDUP(MONTH(Clean_Data[[#This Row],[OrderDate]])/3,0)</f>
        <v>Q2</v>
      </c>
      <c r="R429" t="str">
        <f>TEXT(Clean_Data[[#This Row],[OrderDate]], "dddd")</f>
        <v>Monday</v>
      </c>
    </row>
    <row r="430" spans="1:18" x14ac:dyDescent="0.25">
      <c r="A430" t="s">
        <v>3</v>
      </c>
      <c r="B430" s="4">
        <v>213</v>
      </c>
      <c r="C430" s="4">
        <v>4</v>
      </c>
      <c r="D430" s="3">
        <v>14</v>
      </c>
      <c r="E430" t="s">
        <v>895</v>
      </c>
      <c r="F430" t="s">
        <v>909</v>
      </c>
      <c r="G430" t="s">
        <v>887</v>
      </c>
      <c r="H430" s="6">
        <f>_xlfn.XLOOKUP(A430,Orders[OrderID],Orders[OrderDate])</f>
        <v>43169</v>
      </c>
      <c r="I430" t="str">
        <f>_xlfn.XLOOKUP(A430,Orders[OrderID],Orders[CustomerName])</f>
        <v>Harivansh</v>
      </c>
      <c r="J430" t="str">
        <f>_xlfn.XLOOKUP(A430,Orders[OrderID],Orders[State])</f>
        <v>Uttar Pradesh</v>
      </c>
      <c r="K430" t="str">
        <f>_xlfn.XLOOKUP(A430,Orders[OrderID],Orders[City])</f>
        <v>Mathura</v>
      </c>
      <c r="L430" s="3">
        <f>YEAR(Clean_Data[[#This Row],[OrderDate]])</f>
        <v>2018</v>
      </c>
      <c r="M430" s="3">
        <f>MONTH(Clean_Data[[#This Row],[OrderDate]])</f>
        <v>3</v>
      </c>
      <c r="N430" s="8" t="str">
        <f>TEXT(Clean_Data[[#This Row],[OrderDate]],"mmm")</f>
        <v>Mar</v>
      </c>
      <c r="O430" s="8" t="str">
        <f>TEXT(Clean_Data[[#This Row],[OrderDate]], "yyyy-mm")</f>
        <v>2018-03</v>
      </c>
      <c r="P430" s="7">
        <f>Clean_Data[[#This Row],[Profit]]/Clean_Data[[#This Row],[Revenue ]]</f>
        <v>1.8779342723004695E-2</v>
      </c>
      <c r="Q430" t="str">
        <f>"Q"&amp;ROUNDUP(MONTH(Clean_Data[[#This Row],[OrderDate]])/3,0)</f>
        <v>Q1</v>
      </c>
      <c r="R430" t="str">
        <f>TEXT(Clean_Data[[#This Row],[OrderDate]], "dddd")</f>
        <v>Saturday</v>
      </c>
    </row>
    <row r="431" spans="1:18" x14ac:dyDescent="0.25">
      <c r="A431" t="s">
        <v>192</v>
      </c>
      <c r="B431" s="4">
        <v>59</v>
      </c>
      <c r="C431" s="4">
        <v>21</v>
      </c>
      <c r="D431" s="3">
        <v>2</v>
      </c>
      <c r="E431" t="s">
        <v>895</v>
      </c>
      <c r="F431" t="s">
        <v>903</v>
      </c>
      <c r="G431" t="s">
        <v>907</v>
      </c>
      <c r="H431" s="6">
        <f>_xlfn.XLOOKUP(A431,Orders[OrderID],Orders[OrderDate])</f>
        <v>43150</v>
      </c>
      <c r="I431" t="str">
        <f>_xlfn.XLOOKUP(A431,Orders[OrderID],Orders[CustomerName])</f>
        <v>Mukesh</v>
      </c>
      <c r="J431" t="str">
        <f>_xlfn.XLOOKUP(A431,Orders[OrderID],Orders[State])</f>
        <v>Haryana</v>
      </c>
      <c r="K431" t="str">
        <f>_xlfn.XLOOKUP(A431,Orders[OrderID],Orders[City])</f>
        <v>Chandigarh</v>
      </c>
      <c r="L431" s="3">
        <f>YEAR(Clean_Data[[#This Row],[OrderDate]])</f>
        <v>2018</v>
      </c>
      <c r="M431" s="3">
        <f>MONTH(Clean_Data[[#This Row],[OrderDate]])</f>
        <v>2</v>
      </c>
      <c r="N431" s="8" t="str">
        <f>TEXT(Clean_Data[[#This Row],[OrderDate]],"mmm")</f>
        <v>Feb</v>
      </c>
      <c r="O431" s="8" t="str">
        <f>TEXT(Clean_Data[[#This Row],[OrderDate]], "yyyy-mm")</f>
        <v>2018-02</v>
      </c>
      <c r="P431" s="7">
        <f>Clean_Data[[#This Row],[Profit]]/Clean_Data[[#This Row],[Revenue ]]</f>
        <v>0.3559322033898305</v>
      </c>
      <c r="Q431" t="str">
        <f>"Q"&amp;ROUNDUP(MONTH(Clean_Data[[#This Row],[OrderDate]])/3,0)</f>
        <v>Q1</v>
      </c>
      <c r="R431" t="str">
        <f>TEXT(Clean_Data[[#This Row],[OrderDate]], "dddd")</f>
        <v>Monday</v>
      </c>
    </row>
    <row r="432" spans="1:18" x14ac:dyDescent="0.25">
      <c r="A432" t="s">
        <v>376</v>
      </c>
      <c r="B432" s="4">
        <v>55</v>
      </c>
      <c r="C432" s="4">
        <v>3</v>
      </c>
      <c r="D432" s="3">
        <v>3</v>
      </c>
      <c r="E432" t="s">
        <v>895</v>
      </c>
      <c r="F432" t="s">
        <v>906</v>
      </c>
      <c r="G432" t="s">
        <v>887</v>
      </c>
      <c r="H432" s="6">
        <f>_xlfn.XLOOKUP(A432,Orders[OrderID],Orders[OrderDate])</f>
        <v>43142</v>
      </c>
      <c r="I432" t="str">
        <f>_xlfn.XLOOKUP(A432,Orders[OrderID],Orders[CustomerName])</f>
        <v>Kartikay</v>
      </c>
      <c r="J432" t="str">
        <f>_xlfn.XLOOKUP(A432,Orders[OrderID],Orders[State])</f>
        <v>Bihar</v>
      </c>
      <c r="K432" t="str">
        <f>_xlfn.XLOOKUP(A432,Orders[OrderID],Orders[City])</f>
        <v>Patna</v>
      </c>
      <c r="L432" s="3">
        <f>YEAR(Clean_Data[[#This Row],[OrderDate]])</f>
        <v>2018</v>
      </c>
      <c r="M432" s="3">
        <f>MONTH(Clean_Data[[#This Row],[OrderDate]])</f>
        <v>2</v>
      </c>
      <c r="N432" s="8" t="str">
        <f>TEXT(Clean_Data[[#This Row],[OrderDate]],"mmm")</f>
        <v>Feb</v>
      </c>
      <c r="O432" s="8" t="str">
        <f>TEXT(Clean_Data[[#This Row],[OrderDate]], "yyyy-mm")</f>
        <v>2018-02</v>
      </c>
      <c r="P432" s="7">
        <f>Clean_Data[[#This Row],[Profit]]/Clean_Data[[#This Row],[Revenue ]]</f>
        <v>5.4545454545454543E-2</v>
      </c>
      <c r="Q432" t="str">
        <f>"Q"&amp;ROUNDUP(MONTH(Clean_Data[[#This Row],[OrderDate]])/3,0)</f>
        <v>Q1</v>
      </c>
      <c r="R432" t="str">
        <f>TEXT(Clean_Data[[#This Row],[OrderDate]], "dddd")</f>
        <v>Sunday</v>
      </c>
    </row>
    <row r="433" spans="1:18" x14ac:dyDescent="0.25">
      <c r="A433" t="s">
        <v>23</v>
      </c>
      <c r="B433" s="4">
        <v>294</v>
      </c>
      <c r="C433" s="4">
        <v>62</v>
      </c>
      <c r="D433" s="3">
        <v>9</v>
      </c>
      <c r="E433" t="s">
        <v>895</v>
      </c>
      <c r="F433" t="s">
        <v>906</v>
      </c>
      <c r="G433" t="s">
        <v>890</v>
      </c>
      <c r="H433" s="6">
        <f>_xlfn.XLOOKUP(A433,Orders[OrderID],Orders[OrderDate])</f>
        <v>43116</v>
      </c>
      <c r="I433" t="str">
        <f>_xlfn.XLOOKUP(A433,Orders[OrderID],Orders[CustomerName])</f>
        <v>Shiva</v>
      </c>
      <c r="J433" t="str">
        <f>_xlfn.XLOOKUP(A433,Orders[OrderID],Orders[State])</f>
        <v>Maharashtra</v>
      </c>
      <c r="K433" t="str">
        <f>_xlfn.XLOOKUP(A433,Orders[OrderID],Orders[City])</f>
        <v>Pune</v>
      </c>
      <c r="L433" s="3">
        <f>YEAR(Clean_Data[[#This Row],[OrderDate]])</f>
        <v>2018</v>
      </c>
      <c r="M433" s="3">
        <f>MONTH(Clean_Data[[#This Row],[OrderDate]])</f>
        <v>1</v>
      </c>
      <c r="N433" s="8" t="str">
        <f>TEXT(Clean_Data[[#This Row],[OrderDate]],"mmm")</f>
        <v>Jan</v>
      </c>
      <c r="O433" s="8" t="str">
        <f>TEXT(Clean_Data[[#This Row],[OrderDate]], "yyyy-mm")</f>
        <v>2018-01</v>
      </c>
      <c r="P433" s="7">
        <f>Clean_Data[[#This Row],[Profit]]/Clean_Data[[#This Row],[Revenue ]]</f>
        <v>0.21088435374149661</v>
      </c>
      <c r="Q433" t="str">
        <f>"Q"&amp;ROUNDUP(MONTH(Clean_Data[[#This Row],[OrderDate]])/3,0)</f>
        <v>Q1</v>
      </c>
      <c r="R433" t="str">
        <f>TEXT(Clean_Data[[#This Row],[OrderDate]], "dddd")</f>
        <v>Tuesday</v>
      </c>
    </row>
    <row r="434" spans="1:18" x14ac:dyDescent="0.25">
      <c r="A434" t="s">
        <v>550</v>
      </c>
      <c r="B434" s="4">
        <v>210</v>
      </c>
      <c r="C434" s="4">
        <v>62</v>
      </c>
      <c r="D434" s="3">
        <v>2</v>
      </c>
      <c r="E434" t="s">
        <v>885</v>
      </c>
      <c r="F434" t="s">
        <v>894</v>
      </c>
      <c r="G434" t="s">
        <v>887</v>
      </c>
      <c r="H434" s="6">
        <f>_xlfn.XLOOKUP(A434,Orders[OrderID],Orders[OrderDate])</f>
        <v>43443</v>
      </c>
      <c r="I434" t="str">
        <f>_xlfn.XLOOKUP(A434,Orders[OrderID],Orders[CustomerName])</f>
        <v>Anand</v>
      </c>
      <c r="J434" t="str">
        <f>_xlfn.XLOOKUP(A434,Orders[OrderID],Orders[State])</f>
        <v>Punjab</v>
      </c>
      <c r="K434" t="str">
        <f>_xlfn.XLOOKUP(A434,Orders[OrderID],Orders[City])</f>
        <v>Amritsar</v>
      </c>
      <c r="L434" s="3">
        <f>YEAR(Clean_Data[[#This Row],[OrderDate]])</f>
        <v>2018</v>
      </c>
      <c r="M434" s="3">
        <f>MONTH(Clean_Data[[#This Row],[OrderDate]])</f>
        <v>12</v>
      </c>
      <c r="N434" s="8" t="str">
        <f>TEXT(Clean_Data[[#This Row],[OrderDate]],"mmm")</f>
        <v>Dec</v>
      </c>
      <c r="O434" s="8" t="str">
        <f>TEXT(Clean_Data[[#This Row],[OrderDate]], "yyyy-mm")</f>
        <v>2018-12</v>
      </c>
      <c r="P434" s="7">
        <f>Clean_Data[[#This Row],[Profit]]/Clean_Data[[#This Row],[Revenue ]]</f>
        <v>0.29523809523809524</v>
      </c>
      <c r="Q434" t="str">
        <f>"Q"&amp;ROUNDUP(MONTH(Clean_Data[[#This Row],[OrderDate]])/3,0)</f>
        <v>Q4</v>
      </c>
      <c r="R434" t="str">
        <f>TEXT(Clean_Data[[#This Row],[OrderDate]], "dddd")</f>
        <v>Sunday</v>
      </c>
    </row>
    <row r="435" spans="1:18" x14ac:dyDescent="0.25">
      <c r="A435" t="s">
        <v>650</v>
      </c>
      <c r="B435" s="4">
        <v>59</v>
      </c>
      <c r="C435" s="4">
        <v>24</v>
      </c>
      <c r="D435" s="3">
        <v>6</v>
      </c>
      <c r="E435" t="s">
        <v>895</v>
      </c>
      <c r="F435" t="s">
        <v>900</v>
      </c>
      <c r="G435" t="s">
        <v>907</v>
      </c>
      <c r="H435" s="6">
        <f>_xlfn.XLOOKUP(A435,Orders[OrderID],Orders[OrderDate])</f>
        <v>43185</v>
      </c>
      <c r="I435" t="str">
        <f>_xlfn.XLOOKUP(A435,Orders[OrderID],Orders[CustomerName])</f>
        <v>Kanak</v>
      </c>
      <c r="J435" t="str">
        <f>_xlfn.XLOOKUP(A435,Orders[OrderID],Orders[State])</f>
        <v>Goa</v>
      </c>
      <c r="K435" t="str">
        <f>_xlfn.XLOOKUP(A435,Orders[OrderID],Orders[City])</f>
        <v>Goa</v>
      </c>
      <c r="L435" s="3">
        <f>YEAR(Clean_Data[[#This Row],[OrderDate]])</f>
        <v>2018</v>
      </c>
      <c r="M435" s="3">
        <f>MONTH(Clean_Data[[#This Row],[OrderDate]])</f>
        <v>3</v>
      </c>
      <c r="N435" s="8" t="str">
        <f>TEXT(Clean_Data[[#This Row],[OrderDate]],"mmm")</f>
        <v>Mar</v>
      </c>
      <c r="O435" s="8" t="str">
        <f>TEXT(Clean_Data[[#This Row],[OrderDate]], "yyyy-mm")</f>
        <v>2018-03</v>
      </c>
      <c r="P435" s="7">
        <f>Clean_Data[[#This Row],[Profit]]/Clean_Data[[#This Row],[Revenue ]]</f>
        <v>0.40677966101694918</v>
      </c>
      <c r="Q435" t="str">
        <f>"Q"&amp;ROUNDUP(MONTH(Clean_Data[[#This Row],[OrderDate]])/3,0)</f>
        <v>Q1</v>
      </c>
      <c r="R435" t="str">
        <f>TEXT(Clean_Data[[#This Row],[OrderDate]], "dddd")</f>
        <v>Monday</v>
      </c>
    </row>
    <row r="436" spans="1:18" x14ac:dyDescent="0.25">
      <c r="A436" t="s">
        <v>434</v>
      </c>
      <c r="B436" s="4">
        <v>396</v>
      </c>
      <c r="C436" s="4">
        <v>-31</v>
      </c>
      <c r="D436" s="3">
        <v>9</v>
      </c>
      <c r="E436" t="s">
        <v>895</v>
      </c>
      <c r="F436" t="s">
        <v>897</v>
      </c>
      <c r="G436" t="s">
        <v>887</v>
      </c>
      <c r="H436" s="6">
        <f>_xlfn.XLOOKUP(A436,Orders[OrderID],Orders[OrderDate])</f>
        <v>43231</v>
      </c>
      <c r="I436" t="str">
        <f>_xlfn.XLOOKUP(A436,Orders[OrderID],Orders[CustomerName])</f>
        <v>Nida</v>
      </c>
      <c r="J436" t="str">
        <f>_xlfn.XLOOKUP(A436,Orders[OrderID],Orders[State])</f>
        <v>Madhya Pradesh</v>
      </c>
      <c r="K436" t="str">
        <f>_xlfn.XLOOKUP(A436,Orders[OrderID],Orders[City])</f>
        <v>Indore</v>
      </c>
      <c r="L436" s="3">
        <f>YEAR(Clean_Data[[#This Row],[OrderDate]])</f>
        <v>2018</v>
      </c>
      <c r="M436" s="3">
        <f>MONTH(Clean_Data[[#This Row],[OrderDate]])</f>
        <v>5</v>
      </c>
      <c r="N436" s="8" t="str">
        <f>TEXT(Clean_Data[[#This Row],[OrderDate]],"mmm")</f>
        <v>May</v>
      </c>
      <c r="O436" s="8" t="str">
        <f>TEXT(Clean_Data[[#This Row],[OrderDate]], "yyyy-mm")</f>
        <v>2018-05</v>
      </c>
      <c r="P436" s="7">
        <f>Clean_Data[[#This Row],[Profit]]/Clean_Data[[#This Row],[Revenue ]]</f>
        <v>-7.8282828282828287E-2</v>
      </c>
      <c r="Q436" t="str">
        <f>"Q"&amp;ROUNDUP(MONTH(Clean_Data[[#This Row],[OrderDate]])/3,0)</f>
        <v>Q2</v>
      </c>
      <c r="R436" t="str">
        <f>TEXT(Clean_Data[[#This Row],[OrderDate]], "dddd")</f>
        <v>Friday</v>
      </c>
    </row>
    <row r="437" spans="1:18" x14ac:dyDescent="0.25">
      <c r="A437" t="s">
        <v>356</v>
      </c>
      <c r="B437" s="4">
        <v>284</v>
      </c>
      <c r="C437" s="4">
        <v>45</v>
      </c>
      <c r="D437" s="3">
        <v>2</v>
      </c>
      <c r="E437" t="s">
        <v>888</v>
      </c>
      <c r="F437" t="s">
        <v>891</v>
      </c>
      <c r="G437" t="s">
        <v>890</v>
      </c>
      <c r="H437" s="6">
        <f>_xlfn.XLOOKUP(A437,Orders[OrderID],Orders[OrderDate])</f>
        <v>43127</v>
      </c>
      <c r="I437" t="str">
        <f>_xlfn.XLOOKUP(A437,Orders[OrderID],Orders[CustomerName])</f>
        <v>Shivangi</v>
      </c>
      <c r="J437" t="str">
        <f>_xlfn.XLOOKUP(A437,Orders[OrderID],Orders[State])</f>
        <v>Madhya Pradesh</v>
      </c>
      <c r="K437" t="str">
        <f>_xlfn.XLOOKUP(A437,Orders[OrderID],Orders[City])</f>
        <v>Indore</v>
      </c>
      <c r="L437" s="3">
        <f>YEAR(Clean_Data[[#This Row],[OrderDate]])</f>
        <v>2018</v>
      </c>
      <c r="M437" s="3">
        <f>MONTH(Clean_Data[[#This Row],[OrderDate]])</f>
        <v>1</v>
      </c>
      <c r="N437" s="8" t="str">
        <f>TEXT(Clean_Data[[#This Row],[OrderDate]],"mmm")</f>
        <v>Jan</v>
      </c>
      <c r="O437" s="8" t="str">
        <f>TEXT(Clean_Data[[#This Row],[OrderDate]], "yyyy-mm")</f>
        <v>2018-01</v>
      </c>
      <c r="P437" s="7">
        <f>Clean_Data[[#This Row],[Profit]]/Clean_Data[[#This Row],[Revenue ]]</f>
        <v>0.15845070422535212</v>
      </c>
      <c r="Q437" t="str">
        <f>"Q"&amp;ROUNDUP(MONTH(Clean_Data[[#This Row],[OrderDate]])/3,0)</f>
        <v>Q1</v>
      </c>
      <c r="R437" t="str">
        <f>TEXT(Clean_Data[[#This Row],[OrderDate]], "dddd")</f>
        <v>Saturday</v>
      </c>
    </row>
    <row r="438" spans="1:18" x14ac:dyDescent="0.25">
      <c r="A438" t="s">
        <v>516</v>
      </c>
      <c r="B438" s="4">
        <v>276</v>
      </c>
      <c r="C438" s="4">
        <v>52</v>
      </c>
      <c r="D438" s="3">
        <v>5</v>
      </c>
      <c r="E438" t="s">
        <v>895</v>
      </c>
      <c r="F438" t="s">
        <v>897</v>
      </c>
      <c r="G438" t="s">
        <v>890</v>
      </c>
      <c r="H438" s="6">
        <f>_xlfn.XLOOKUP(A438,Orders[OrderID],Orders[OrderDate])</f>
        <v>43139</v>
      </c>
      <c r="I438" t="str">
        <f>_xlfn.XLOOKUP(A438,Orders[OrderID],Orders[CustomerName])</f>
        <v>Harsh</v>
      </c>
      <c r="J438" t="str">
        <f>_xlfn.XLOOKUP(A438,Orders[OrderID],Orders[State])</f>
        <v>Delhi</v>
      </c>
      <c r="K438" t="str">
        <f>_xlfn.XLOOKUP(A438,Orders[OrderID],Orders[City])</f>
        <v>Delhi</v>
      </c>
      <c r="L438" s="3">
        <f>YEAR(Clean_Data[[#This Row],[OrderDate]])</f>
        <v>2018</v>
      </c>
      <c r="M438" s="3">
        <f>MONTH(Clean_Data[[#This Row],[OrderDate]])</f>
        <v>2</v>
      </c>
      <c r="N438" s="8" t="str">
        <f>TEXT(Clean_Data[[#This Row],[OrderDate]],"mmm")</f>
        <v>Feb</v>
      </c>
      <c r="O438" s="8" t="str">
        <f>TEXT(Clean_Data[[#This Row],[OrderDate]], "yyyy-mm")</f>
        <v>2018-02</v>
      </c>
      <c r="P438" s="7">
        <f>Clean_Data[[#This Row],[Profit]]/Clean_Data[[#This Row],[Revenue ]]</f>
        <v>0.18840579710144928</v>
      </c>
      <c r="Q438" t="str">
        <f>"Q"&amp;ROUNDUP(MONTH(Clean_Data[[#This Row],[OrderDate]])/3,0)</f>
        <v>Q1</v>
      </c>
      <c r="R438" t="str">
        <f>TEXT(Clean_Data[[#This Row],[OrderDate]], "dddd")</f>
        <v>Thursday</v>
      </c>
    </row>
    <row r="439" spans="1:18" x14ac:dyDescent="0.25">
      <c r="A439" t="s">
        <v>446</v>
      </c>
      <c r="B439" s="4">
        <v>23</v>
      </c>
      <c r="C439" s="4">
        <v>2</v>
      </c>
      <c r="D439" s="3">
        <v>2</v>
      </c>
      <c r="E439" t="s">
        <v>895</v>
      </c>
      <c r="F439" t="s">
        <v>901</v>
      </c>
      <c r="G439" t="s">
        <v>898</v>
      </c>
      <c r="H439" s="6">
        <f>_xlfn.XLOOKUP(A439,Orders[OrderID],Orders[OrderDate])</f>
        <v>43216</v>
      </c>
      <c r="I439" t="str">
        <f>_xlfn.XLOOKUP(A439,Orders[OrderID],Orders[CustomerName])</f>
        <v>Nidhi</v>
      </c>
      <c r="J439" t="str">
        <f>_xlfn.XLOOKUP(A439,Orders[OrderID],Orders[State])</f>
        <v>Nagaland</v>
      </c>
      <c r="K439" t="str">
        <f>_xlfn.XLOOKUP(A439,Orders[OrderID],Orders[City])</f>
        <v>Kohima</v>
      </c>
      <c r="L439" s="3">
        <f>YEAR(Clean_Data[[#This Row],[OrderDate]])</f>
        <v>2018</v>
      </c>
      <c r="M439" s="3">
        <f>MONTH(Clean_Data[[#This Row],[OrderDate]])</f>
        <v>4</v>
      </c>
      <c r="N439" s="8" t="str">
        <f>TEXT(Clean_Data[[#This Row],[OrderDate]],"mmm")</f>
        <v>Apr</v>
      </c>
      <c r="O439" s="8" t="str">
        <f>TEXT(Clean_Data[[#This Row],[OrderDate]], "yyyy-mm")</f>
        <v>2018-04</v>
      </c>
      <c r="P439" s="7">
        <f>Clean_Data[[#This Row],[Profit]]/Clean_Data[[#This Row],[Revenue ]]</f>
        <v>8.6956521739130432E-2</v>
      </c>
      <c r="Q439" t="str">
        <f>"Q"&amp;ROUNDUP(MONTH(Clean_Data[[#This Row],[OrderDate]])/3,0)</f>
        <v>Q2</v>
      </c>
      <c r="R439" t="str">
        <f>TEXT(Clean_Data[[#This Row],[OrderDate]], "dddd")</f>
        <v>Thursday</v>
      </c>
    </row>
    <row r="440" spans="1:18" x14ac:dyDescent="0.25">
      <c r="A440" t="s">
        <v>551</v>
      </c>
      <c r="B440" s="4">
        <v>209</v>
      </c>
      <c r="C440" s="4">
        <v>-63</v>
      </c>
      <c r="D440" s="3">
        <v>4</v>
      </c>
      <c r="E440" t="s">
        <v>885</v>
      </c>
      <c r="F440" t="s">
        <v>886</v>
      </c>
      <c r="G440" t="s">
        <v>887</v>
      </c>
      <c r="H440" s="6">
        <f>_xlfn.XLOOKUP(A440,Orders[OrderID],Orders[OrderDate])</f>
        <v>43184</v>
      </c>
      <c r="I440" t="str">
        <f>_xlfn.XLOOKUP(A440,Orders[OrderID],Orders[CustomerName])</f>
        <v>Anita</v>
      </c>
      <c r="J440" t="str">
        <f>_xlfn.XLOOKUP(A440,Orders[OrderID],Orders[State])</f>
        <v xml:space="preserve">Kerala </v>
      </c>
      <c r="K440" t="str">
        <f>_xlfn.XLOOKUP(A440,Orders[OrderID],Orders[City])</f>
        <v>Thiruvananthapuram</v>
      </c>
      <c r="L440" s="3">
        <f>YEAR(Clean_Data[[#This Row],[OrderDate]])</f>
        <v>2018</v>
      </c>
      <c r="M440" s="3">
        <f>MONTH(Clean_Data[[#This Row],[OrderDate]])</f>
        <v>3</v>
      </c>
      <c r="N440" s="8" t="str">
        <f>TEXT(Clean_Data[[#This Row],[OrderDate]],"mmm")</f>
        <v>Mar</v>
      </c>
      <c r="O440" s="8" t="str">
        <f>TEXT(Clean_Data[[#This Row],[OrderDate]], "yyyy-mm")</f>
        <v>2018-03</v>
      </c>
      <c r="P440" s="7">
        <f>Clean_Data[[#This Row],[Profit]]/Clean_Data[[#This Row],[Revenue ]]</f>
        <v>-0.30143540669856461</v>
      </c>
      <c r="Q440" t="str">
        <f>"Q"&amp;ROUNDUP(MONTH(Clean_Data[[#This Row],[OrderDate]])/3,0)</f>
        <v>Q1</v>
      </c>
      <c r="R440" t="str">
        <f>TEXT(Clean_Data[[#This Row],[OrderDate]], "dddd")</f>
        <v>Sunday</v>
      </c>
    </row>
    <row r="441" spans="1:18" x14ac:dyDescent="0.25">
      <c r="A441" t="s">
        <v>798</v>
      </c>
      <c r="B441" s="4">
        <v>50</v>
      </c>
      <c r="C441" s="4">
        <v>-28</v>
      </c>
      <c r="D441" s="3">
        <v>5</v>
      </c>
      <c r="E441" t="s">
        <v>888</v>
      </c>
      <c r="F441" t="s">
        <v>908</v>
      </c>
      <c r="G441" t="s">
        <v>887</v>
      </c>
      <c r="H441" s="6">
        <f>_xlfn.XLOOKUP(A441,Orders[OrderID],Orders[OrderDate])</f>
        <v>43135</v>
      </c>
      <c r="I441" t="str">
        <f>_xlfn.XLOOKUP(A441,Orders[OrderID],Orders[CustomerName])</f>
        <v>Anmol</v>
      </c>
      <c r="J441" t="str">
        <f>_xlfn.XLOOKUP(A441,Orders[OrderID],Orders[State])</f>
        <v>Rajasthan</v>
      </c>
      <c r="K441" t="str">
        <f>_xlfn.XLOOKUP(A441,Orders[OrderID],Orders[City])</f>
        <v>Udaipur</v>
      </c>
      <c r="L441" s="3">
        <f>YEAR(Clean_Data[[#This Row],[OrderDate]])</f>
        <v>2018</v>
      </c>
      <c r="M441" s="3">
        <f>MONTH(Clean_Data[[#This Row],[OrderDate]])</f>
        <v>2</v>
      </c>
      <c r="N441" s="8" t="str">
        <f>TEXT(Clean_Data[[#This Row],[OrderDate]],"mmm")</f>
        <v>Feb</v>
      </c>
      <c r="O441" s="8" t="str">
        <f>TEXT(Clean_Data[[#This Row],[OrderDate]], "yyyy-mm")</f>
        <v>2018-02</v>
      </c>
      <c r="P441" s="7">
        <f>Clean_Data[[#This Row],[Profit]]/Clean_Data[[#This Row],[Revenue ]]</f>
        <v>-0.56000000000000005</v>
      </c>
      <c r="Q441" t="str">
        <f>"Q"&amp;ROUNDUP(MONTH(Clean_Data[[#This Row],[OrderDate]])/3,0)</f>
        <v>Q1</v>
      </c>
      <c r="R441" t="str">
        <f>TEXT(Clean_Data[[#This Row],[OrderDate]], "dddd")</f>
        <v>Sunday</v>
      </c>
    </row>
    <row r="442" spans="1:18" x14ac:dyDescent="0.25">
      <c r="A442" t="s">
        <v>779</v>
      </c>
      <c r="B442" s="4">
        <v>57</v>
      </c>
      <c r="C442" s="4">
        <v>27</v>
      </c>
      <c r="D442" s="3">
        <v>2</v>
      </c>
      <c r="E442" t="s">
        <v>895</v>
      </c>
      <c r="F442" t="s">
        <v>909</v>
      </c>
      <c r="G442" t="s">
        <v>887</v>
      </c>
      <c r="H442" s="6">
        <f>_xlfn.XLOOKUP(A442,Orders[OrderID],Orders[OrderDate])</f>
        <v>43426</v>
      </c>
      <c r="I442" t="str">
        <f>_xlfn.XLOOKUP(A442,Orders[OrderID],Orders[CustomerName])</f>
        <v>Saurabh</v>
      </c>
      <c r="J442" t="str">
        <f>_xlfn.XLOOKUP(A442,Orders[OrderID],Orders[State])</f>
        <v>Maharashtra</v>
      </c>
      <c r="K442" t="str">
        <f>_xlfn.XLOOKUP(A442,Orders[OrderID],Orders[City])</f>
        <v>Mumbai</v>
      </c>
      <c r="L442" s="3">
        <f>YEAR(Clean_Data[[#This Row],[OrderDate]])</f>
        <v>2018</v>
      </c>
      <c r="M442" s="3">
        <f>MONTH(Clean_Data[[#This Row],[OrderDate]])</f>
        <v>11</v>
      </c>
      <c r="N442" s="8" t="str">
        <f>TEXT(Clean_Data[[#This Row],[OrderDate]],"mmm")</f>
        <v>Nov</v>
      </c>
      <c r="O442" s="8" t="str">
        <f>TEXT(Clean_Data[[#This Row],[OrderDate]], "yyyy-mm")</f>
        <v>2018-11</v>
      </c>
      <c r="P442" s="7">
        <f>Clean_Data[[#This Row],[Profit]]/Clean_Data[[#This Row],[Revenue ]]</f>
        <v>0.47368421052631576</v>
      </c>
      <c r="Q442" t="str">
        <f>"Q"&amp;ROUNDUP(MONTH(Clean_Data[[#This Row],[OrderDate]])/3,0)</f>
        <v>Q4</v>
      </c>
      <c r="R442" t="str">
        <f>TEXT(Clean_Data[[#This Row],[OrderDate]], "dddd")</f>
        <v>Thursday</v>
      </c>
    </row>
    <row r="443" spans="1:18" x14ac:dyDescent="0.25">
      <c r="A443" t="s">
        <v>514</v>
      </c>
      <c r="B443" s="4">
        <v>276</v>
      </c>
      <c r="C443" s="4">
        <v>-21</v>
      </c>
      <c r="D443" s="3">
        <v>2</v>
      </c>
      <c r="E443" t="s">
        <v>885</v>
      </c>
      <c r="F443" t="s">
        <v>894</v>
      </c>
      <c r="G443" t="s">
        <v>890</v>
      </c>
      <c r="H443" s="6">
        <f>_xlfn.XLOOKUP(A443,Orders[OrderID],Orders[OrderDate])</f>
        <v>43367</v>
      </c>
      <c r="I443" t="str">
        <f>_xlfn.XLOOKUP(A443,Orders[OrderID],Orders[CustomerName])</f>
        <v>Sukant</v>
      </c>
      <c r="J443" t="str">
        <f>_xlfn.XLOOKUP(A443,Orders[OrderID],Orders[State])</f>
        <v>Sikkim</v>
      </c>
      <c r="K443" t="str">
        <f>_xlfn.XLOOKUP(A443,Orders[OrderID],Orders[City])</f>
        <v>Gangtok</v>
      </c>
      <c r="L443" s="3">
        <f>YEAR(Clean_Data[[#This Row],[OrderDate]])</f>
        <v>2018</v>
      </c>
      <c r="M443" s="3">
        <f>MONTH(Clean_Data[[#This Row],[OrderDate]])</f>
        <v>9</v>
      </c>
      <c r="N443" s="8" t="str">
        <f>TEXT(Clean_Data[[#This Row],[OrderDate]],"mmm")</f>
        <v>Sep</v>
      </c>
      <c r="O443" s="8" t="str">
        <f>TEXT(Clean_Data[[#This Row],[OrderDate]], "yyyy-mm")</f>
        <v>2018-09</v>
      </c>
      <c r="P443" s="7">
        <f>Clean_Data[[#This Row],[Profit]]/Clean_Data[[#This Row],[Revenue ]]</f>
        <v>-7.6086956521739135E-2</v>
      </c>
      <c r="Q443" t="str">
        <f>"Q"&amp;ROUNDUP(MONTH(Clean_Data[[#This Row],[OrderDate]])/3,0)</f>
        <v>Q3</v>
      </c>
      <c r="R443" t="str">
        <f>TEXT(Clean_Data[[#This Row],[OrderDate]], "dddd")</f>
        <v>Monday</v>
      </c>
    </row>
    <row r="444" spans="1:18" x14ac:dyDescent="0.25">
      <c r="A444" t="s">
        <v>75</v>
      </c>
      <c r="B444" s="4">
        <v>268</v>
      </c>
      <c r="C444" s="4">
        <v>6</v>
      </c>
      <c r="D444" s="3">
        <v>2</v>
      </c>
      <c r="E444" t="s">
        <v>888</v>
      </c>
      <c r="F444" t="s">
        <v>891</v>
      </c>
      <c r="G444" t="s">
        <v>898</v>
      </c>
      <c r="H444" s="6">
        <f>_xlfn.XLOOKUP(A444,Orders[OrderID],Orders[OrderDate])</f>
        <v>43444</v>
      </c>
      <c r="I444" t="str">
        <f>_xlfn.XLOOKUP(A444,Orders[OrderID],Orders[CustomerName])</f>
        <v>Ishpreet</v>
      </c>
      <c r="J444" t="str">
        <f>_xlfn.XLOOKUP(A444,Orders[OrderID],Orders[State])</f>
        <v>Maharashtra</v>
      </c>
      <c r="K444" t="str">
        <f>_xlfn.XLOOKUP(A444,Orders[OrderID],Orders[City])</f>
        <v>Mumbai</v>
      </c>
      <c r="L444" s="3">
        <f>YEAR(Clean_Data[[#This Row],[OrderDate]])</f>
        <v>2018</v>
      </c>
      <c r="M444" s="3">
        <f>MONTH(Clean_Data[[#This Row],[OrderDate]])</f>
        <v>12</v>
      </c>
      <c r="N444" s="8" t="str">
        <f>TEXT(Clean_Data[[#This Row],[OrderDate]],"mmm")</f>
        <v>Dec</v>
      </c>
      <c r="O444" s="8" t="str">
        <f>TEXT(Clean_Data[[#This Row],[OrderDate]], "yyyy-mm")</f>
        <v>2018-12</v>
      </c>
      <c r="P444" s="7">
        <f>Clean_Data[[#This Row],[Profit]]/Clean_Data[[#This Row],[Revenue ]]</f>
        <v>2.2388059701492536E-2</v>
      </c>
      <c r="Q444" t="str">
        <f>"Q"&amp;ROUNDUP(MONTH(Clean_Data[[#This Row],[OrderDate]])/3,0)</f>
        <v>Q4</v>
      </c>
      <c r="R444" t="str">
        <f>TEXT(Clean_Data[[#This Row],[OrderDate]], "dddd")</f>
        <v>Monday</v>
      </c>
    </row>
    <row r="445" spans="1:18" x14ac:dyDescent="0.25">
      <c r="A445" t="s">
        <v>224</v>
      </c>
      <c r="B445" s="4">
        <v>269</v>
      </c>
      <c r="C445" s="4">
        <v>111</v>
      </c>
      <c r="D445" s="3">
        <v>3</v>
      </c>
      <c r="E445" t="s">
        <v>895</v>
      </c>
      <c r="F445" t="s">
        <v>896</v>
      </c>
      <c r="G445" t="s">
        <v>890</v>
      </c>
      <c r="H445" s="6">
        <f>_xlfn.XLOOKUP(A445,Orders[OrderID],Orders[OrderDate])</f>
        <v>43226</v>
      </c>
      <c r="I445" t="str">
        <f>_xlfn.XLOOKUP(A445,Orders[OrderID],Orders[CustomerName])</f>
        <v>Chirag</v>
      </c>
      <c r="J445" t="str">
        <f>_xlfn.XLOOKUP(A445,Orders[OrderID],Orders[State])</f>
        <v>Maharashtra</v>
      </c>
      <c r="K445" t="str">
        <f>_xlfn.XLOOKUP(A445,Orders[OrderID],Orders[City])</f>
        <v>Mumbai</v>
      </c>
      <c r="L445" s="3">
        <f>YEAR(Clean_Data[[#This Row],[OrderDate]])</f>
        <v>2018</v>
      </c>
      <c r="M445" s="3">
        <f>MONTH(Clean_Data[[#This Row],[OrderDate]])</f>
        <v>5</v>
      </c>
      <c r="N445" s="8" t="str">
        <f>TEXT(Clean_Data[[#This Row],[OrderDate]],"mmm")</f>
        <v>May</v>
      </c>
      <c r="O445" s="8" t="str">
        <f>TEXT(Clean_Data[[#This Row],[OrderDate]], "yyyy-mm")</f>
        <v>2018-05</v>
      </c>
      <c r="P445" s="7">
        <f>Clean_Data[[#This Row],[Profit]]/Clean_Data[[#This Row],[Revenue ]]</f>
        <v>0.41263940520446096</v>
      </c>
      <c r="Q445" t="str">
        <f>"Q"&amp;ROUNDUP(MONTH(Clean_Data[[#This Row],[OrderDate]])/3,0)</f>
        <v>Q2</v>
      </c>
      <c r="R445" t="str">
        <f>TEXT(Clean_Data[[#This Row],[OrderDate]], "dddd")</f>
        <v>Sunday</v>
      </c>
    </row>
    <row r="446" spans="1:18" x14ac:dyDescent="0.25">
      <c r="A446" t="s">
        <v>179</v>
      </c>
      <c r="B446" s="4">
        <v>209</v>
      </c>
      <c r="C446" s="4">
        <v>2</v>
      </c>
      <c r="D446" s="3">
        <v>1</v>
      </c>
      <c r="E446" t="s">
        <v>895</v>
      </c>
      <c r="F446" t="s">
        <v>897</v>
      </c>
      <c r="G446" t="s">
        <v>887</v>
      </c>
      <c r="H446" s="6">
        <f>_xlfn.XLOOKUP(A446,Orders[OrderID],Orders[OrderDate])</f>
        <v>43118</v>
      </c>
      <c r="I446" t="str">
        <f>_xlfn.XLOOKUP(A446,Orders[OrderID],Orders[CustomerName])</f>
        <v>Mahima</v>
      </c>
      <c r="J446" t="str">
        <f>_xlfn.XLOOKUP(A446,Orders[OrderID],Orders[State])</f>
        <v>Madhya Pradesh</v>
      </c>
      <c r="K446" t="str">
        <f>_xlfn.XLOOKUP(A446,Orders[OrderID],Orders[City])</f>
        <v>Indore</v>
      </c>
      <c r="L446" s="3">
        <f>YEAR(Clean_Data[[#This Row],[OrderDate]])</f>
        <v>2018</v>
      </c>
      <c r="M446" s="3">
        <f>MONTH(Clean_Data[[#This Row],[OrderDate]])</f>
        <v>1</v>
      </c>
      <c r="N446" s="8" t="str">
        <f>TEXT(Clean_Data[[#This Row],[OrderDate]],"mmm")</f>
        <v>Jan</v>
      </c>
      <c r="O446" s="8" t="str">
        <f>TEXT(Clean_Data[[#This Row],[OrderDate]], "yyyy-mm")</f>
        <v>2018-01</v>
      </c>
      <c r="P446" s="7">
        <f>Clean_Data[[#This Row],[Profit]]/Clean_Data[[#This Row],[Revenue ]]</f>
        <v>9.5693779904306216E-3</v>
      </c>
      <c r="Q446" t="str">
        <f>"Q"&amp;ROUNDUP(MONTH(Clean_Data[[#This Row],[OrderDate]])/3,0)</f>
        <v>Q1</v>
      </c>
      <c r="R446" t="str">
        <f>TEXT(Clean_Data[[#This Row],[OrderDate]], "dddd")</f>
        <v>Thursday</v>
      </c>
    </row>
    <row r="447" spans="1:18" x14ac:dyDescent="0.25">
      <c r="A447" t="s">
        <v>122</v>
      </c>
      <c r="B447" s="4">
        <v>60</v>
      </c>
      <c r="C447" s="4">
        <v>-12</v>
      </c>
      <c r="D447" s="3">
        <v>4</v>
      </c>
      <c r="E447" t="s">
        <v>895</v>
      </c>
      <c r="F447" t="s">
        <v>899</v>
      </c>
      <c r="G447" t="s">
        <v>907</v>
      </c>
      <c r="H447" s="6">
        <f>_xlfn.XLOOKUP(A447,Orders[OrderID],Orders[OrderDate])</f>
        <v>43367</v>
      </c>
      <c r="I447" t="str">
        <f>_xlfn.XLOOKUP(A447,Orders[OrderID],Orders[CustomerName])</f>
        <v>Siddharth</v>
      </c>
      <c r="J447" t="str">
        <f>_xlfn.XLOOKUP(A447,Orders[OrderID],Orders[State])</f>
        <v>Madhya Pradesh</v>
      </c>
      <c r="K447" t="str">
        <f>_xlfn.XLOOKUP(A447,Orders[OrderID],Orders[City])</f>
        <v>Indore</v>
      </c>
      <c r="L447" s="3">
        <f>YEAR(Clean_Data[[#This Row],[OrderDate]])</f>
        <v>2018</v>
      </c>
      <c r="M447" s="3">
        <f>MONTH(Clean_Data[[#This Row],[OrderDate]])</f>
        <v>9</v>
      </c>
      <c r="N447" s="8" t="str">
        <f>TEXT(Clean_Data[[#This Row],[OrderDate]],"mmm")</f>
        <v>Sep</v>
      </c>
      <c r="O447" s="8" t="str">
        <f>TEXT(Clean_Data[[#This Row],[OrderDate]], "yyyy-mm")</f>
        <v>2018-09</v>
      </c>
      <c r="P447" s="7">
        <f>Clean_Data[[#This Row],[Profit]]/Clean_Data[[#This Row],[Revenue ]]</f>
        <v>-0.2</v>
      </c>
      <c r="Q447" t="str">
        <f>"Q"&amp;ROUNDUP(MONTH(Clean_Data[[#This Row],[OrderDate]])/3,0)</f>
        <v>Q3</v>
      </c>
      <c r="R447" t="str">
        <f>TEXT(Clean_Data[[#This Row],[OrderDate]], "dddd")</f>
        <v>Monday</v>
      </c>
    </row>
    <row r="448" spans="1:18" x14ac:dyDescent="0.25">
      <c r="A448" t="s">
        <v>414</v>
      </c>
      <c r="B448" s="4">
        <v>269</v>
      </c>
      <c r="C448" s="4">
        <v>-86</v>
      </c>
      <c r="D448" s="3">
        <v>2</v>
      </c>
      <c r="E448" t="s">
        <v>885</v>
      </c>
      <c r="F448" t="s">
        <v>886</v>
      </c>
      <c r="G448" t="s">
        <v>890</v>
      </c>
      <c r="H448" s="6">
        <f>_xlfn.XLOOKUP(A448,Orders[OrderID],Orders[OrderDate])</f>
        <v>43230</v>
      </c>
      <c r="I448" t="str">
        <f>_xlfn.XLOOKUP(A448,Orders[OrderID],Orders[CustomerName])</f>
        <v>Sabah</v>
      </c>
      <c r="J448" t="str">
        <f>_xlfn.XLOOKUP(A448,Orders[OrderID],Orders[State])</f>
        <v>Maharashtra</v>
      </c>
      <c r="K448" t="str">
        <f>_xlfn.XLOOKUP(A448,Orders[OrderID],Orders[City])</f>
        <v>Mumbai</v>
      </c>
      <c r="L448" s="3">
        <f>YEAR(Clean_Data[[#This Row],[OrderDate]])</f>
        <v>2018</v>
      </c>
      <c r="M448" s="3">
        <f>MONTH(Clean_Data[[#This Row],[OrderDate]])</f>
        <v>5</v>
      </c>
      <c r="N448" s="8" t="str">
        <f>TEXT(Clean_Data[[#This Row],[OrderDate]],"mmm")</f>
        <v>May</v>
      </c>
      <c r="O448" s="8" t="str">
        <f>TEXT(Clean_Data[[#This Row],[OrderDate]], "yyyy-mm")</f>
        <v>2018-05</v>
      </c>
      <c r="P448" s="7">
        <f>Clean_Data[[#This Row],[Profit]]/Clean_Data[[#This Row],[Revenue ]]</f>
        <v>-0.31970260223048325</v>
      </c>
      <c r="Q448" t="str">
        <f>"Q"&amp;ROUNDUP(MONTH(Clean_Data[[#This Row],[OrderDate]])/3,0)</f>
        <v>Q2</v>
      </c>
      <c r="R448" t="str">
        <f>TEXT(Clean_Data[[#This Row],[OrderDate]], "dddd")</f>
        <v>Thursday</v>
      </c>
    </row>
    <row r="449" spans="1:18" x14ac:dyDescent="0.25">
      <c r="A449" t="s">
        <v>367</v>
      </c>
      <c r="B449" s="4">
        <v>208</v>
      </c>
      <c r="C449" s="4">
        <v>-25</v>
      </c>
      <c r="D449" s="3">
        <v>2</v>
      </c>
      <c r="E449" t="s">
        <v>895</v>
      </c>
      <c r="F449" t="s">
        <v>897</v>
      </c>
      <c r="G449" t="s">
        <v>887</v>
      </c>
      <c r="H449" s="6">
        <f>_xlfn.XLOOKUP(A449,Orders[OrderID],Orders[OrderDate])</f>
        <v>43326</v>
      </c>
      <c r="I449" t="str">
        <f>_xlfn.XLOOKUP(A449,Orders[OrderID],Orders[CustomerName])</f>
        <v>Priyanshu</v>
      </c>
      <c r="J449" t="str">
        <f>_xlfn.XLOOKUP(A449,Orders[OrderID],Orders[State])</f>
        <v>Madhya Pradesh</v>
      </c>
      <c r="K449" t="str">
        <f>_xlfn.XLOOKUP(A449,Orders[OrderID],Orders[City])</f>
        <v>Indore</v>
      </c>
      <c r="L449" s="3">
        <f>YEAR(Clean_Data[[#This Row],[OrderDate]])</f>
        <v>2018</v>
      </c>
      <c r="M449" s="3">
        <f>MONTH(Clean_Data[[#This Row],[OrderDate]])</f>
        <v>8</v>
      </c>
      <c r="N449" s="8" t="str">
        <f>TEXT(Clean_Data[[#This Row],[OrderDate]],"mmm")</f>
        <v>Aug</v>
      </c>
      <c r="O449" s="8" t="str">
        <f>TEXT(Clean_Data[[#This Row],[OrderDate]], "yyyy-mm")</f>
        <v>2018-08</v>
      </c>
      <c r="P449" s="7">
        <f>Clean_Data[[#This Row],[Profit]]/Clean_Data[[#This Row],[Revenue ]]</f>
        <v>-0.1201923076923077</v>
      </c>
      <c r="Q449" t="str">
        <f>"Q"&amp;ROUNDUP(MONTH(Clean_Data[[#This Row],[OrderDate]])/3,0)</f>
        <v>Q3</v>
      </c>
      <c r="R449" t="str">
        <f>TEXT(Clean_Data[[#This Row],[OrderDate]], "dddd")</f>
        <v>Tuesday</v>
      </c>
    </row>
    <row r="450" spans="1:18" x14ac:dyDescent="0.25">
      <c r="A450" t="s">
        <v>612</v>
      </c>
      <c r="B450" s="4">
        <v>27</v>
      </c>
      <c r="C450" s="4">
        <v>2</v>
      </c>
      <c r="D450" s="3">
        <v>2</v>
      </c>
      <c r="E450" t="s">
        <v>895</v>
      </c>
      <c r="F450" t="s">
        <v>904</v>
      </c>
      <c r="G450" t="s">
        <v>898</v>
      </c>
      <c r="H450" s="6">
        <f>_xlfn.XLOOKUP(A450,Orders[OrderID],Orders[OrderDate])</f>
        <v>43402</v>
      </c>
      <c r="I450" t="str">
        <f>_xlfn.XLOOKUP(A450,Orders[OrderID],Orders[CustomerName])</f>
        <v>Moumita</v>
      </c>
      <c r="J450" t="str">
        <f>_xlfn.XLOOKUP(A450,Orders[OrderID],Orders[State])</f>
        <v>Gujarat</v>
      </c>
      <c r="K450" t="str">
        <f>_xlfn.XLOOKUP(A450,Orders[OrderID],Orders[City])</f>
        <v>Ahmedabad</v>
      </c>
      <c r="L450" s="3">
        <f>YEAR(Clean_Data[[#This Row],[OrderDate]])</f>
        <v>2018</v>
      </c>
      <c r="M450" s="3">
        <f>MONTH(Clean_Data[[#This Row],[OrderDate]])</f>
        <v>10</v>
      </c>
      <c r="N450" s="8" t="str">
        <f>TEXT(Clean_Data[[#This Row],[OrderDate]],"mmm")</f>
        <v>Oct</v>
      </c>
      <c r="O450" s="8" t="str">
        <f>TEXT(Clean_Data[[#This Row],[OrderDate]], "yyyy-mm")</f>
        <v>2018-10</v>
      </c>
      <c r="P450" s="7">
        <f>Clean_Data[[#This Row],[Profit]]/Clean_Data[[#This Row],[Revenue ]]</f>
        <v>7.407407407407407E-2</v>
      </c>
      <c r="Q450" t="str">
        <f>"Q"&amp;ROUNDUP(MONTH(Clean_Data[[#This Row],[OrderDate]])/3,0)</f>
        <v>Q4</v>
      </c>
      <c r="R450" t="str">
        <f>TEXT(Clean_Data[[#This Row],[OrderDate]], "dddd")</f>
        <v>Monday</v>
      </c>
    </row>
    <row r="451" spans="1:18" x14ac:dyDescent="0.25">
      <c r="A451" t="s">
        <v>553</v>
      </c>
      <c r="B451" s="4">
        <v>206</v>
      </c>
      <c r="C451" s="4">
        <v>-206</v>
      </c>
      <c r="D451" s="3">
        <v>3</v>
      </c>
      <c r="E451" t="s">
        <v>895</v>
      </c>
      <c r="F451" t="s">
        <v>897</v>
      </c>
      <c r="G451" t="s">
        <v>887</v>
      </c>
      <c r="H451" s="6">
        <f>_xlfn.XLOOKUP(A451,Orders[OrderID],Orders[OrderDate])</f>
        <v>43228</v>
      </c>
      <c r="I451" t="str">
        <f>_xlfn.XLOOKUP(A451,Orders[OrderID],Orders[CustomerName])</f>
        <v>Tushina</v>
      </c>
      <c r="J451" t="str">
        <f>_xlfn.XLOOKUP(A451,Orders[OrderID],Orders[State])</f>
        <v>Goa</v>
      </c>
      <c r="K451" t="str">
        <f>_xlfn.XLOOKUP(A451,Orders[OrderID],Orders[City])</f>
        <v>Goa</v>
      </c>
      <c r="L451" s="3">
        <f>YEAR(Clean_Data[[#This Row],[OrderDate]])</f>
        <v>2018</v>
      </c>
      <c r="M451" s="3">
        <f>MONTH(Clean_Data[[#This Row],[OrderDate]])</f>
        <v>5</v>
      </c>
      <c r="N451" s="8" t="str">
        <f>TEXT(Clean_Data[[#This Row],[OrderDate]],"mmm")</f>
        <v>May</v>
      </c>
      <c r="O451" s="8" t="str">
        <f>TEXT(Clean_Data[[#This Row],[OrderDate]], "yyyy-mm")</f>
        <v>2018-05</v>
      </c>
      <c r="P451" s="7">
        <f>Clean_Data[[#This Row],[Profit]]/Clean_Data[[#This Row],[Revenue ]]</f>
        <v>-1</v>
      </c>
      <c r="Q451" t="str">
        <f>"Q"&amp;ROUNDUP(MONTH(Clean_Data[[#This Row],[OrderDate]])/3,0)</f>
        <v>Q2</v>
      </c>
      <c r="R451" t="str">
        <f>TEXT(Clean_Data[[#This Row],[OrderDate]], "dddd")</f>
        <v>Tuesday</v>
      </c>
    </row>
    <row r="452" spans="1:18" x14ac:dyDescent="0.25">
      <c r="A452" t="s">
        <v>482</v>
      </c>
      <c r="B452" s="4">
        <v>61</v>
      </c>
      <c r="C452" s="4">
        <v>8</v>
      </c>
      <c r="D452" s="3">
        <v>4</v>
      </c>
      <c r="E452" t="s">
        <v>895</v>
      </c>
      <c r="F452" t="s">
        <v>899</v>
      </c>
      <c r="G452" t="s">
        <v>907</v>
      </c>
      <c r="H452" s="6">
        <f>_xlfn.XLOOKUP(A452,Orders[OrderID],Orders[OrderDate])</f>
        <v>43145</v>
      </c>
      <c r="I452" t="str">
        <f>_xlfn.XLOOKUP(A452,Orders[OrderID],Orders[CustomerName])</f>
        <v>Aarushi</v>
      </c>
      <c r="J452" t="str">
        <f>_xlfn.XLOOKUP(A452,Orders[OrderID],Orders[State])</f>
        <v>Tamil Nadu</v>
      </c>
      <c r="K452" t="str">
        <f>_xlfn.XLOOKUP(A452,Orders[OrderID],Orders[City])</f>
        <v>Chennai</v>
      </c>
      <c r="L452" s="3">
        <f>YEAR(Clean_Data[[#This Row],[OrderDate]])</f>
        <v>2018</v>
      </c>
      <c r="M452" s="3">
        <f>MONTH(Clean_Data[[#This Row],[OrderDate]])</f>
        <v>2</v>
      </c>
      <c r="N452" s="8" t="str">
        <f>TEXT(Clean_Data[[#This Row],[OrderDate]],"mmm")</f>
        <v>Feb</v>
      </c>
      <c r="O452" s="8" t="str">
        <f>TEXT(Clean_Data[[#This Row],[OrderDate]], "yyyy-mm")</f>
        <v>2018-02</v>
      </c>
      <c r="P452" s="7">
        <f>Clean_Data[[#This Row],[Profit]]/Clean_Data[[#This Row],[Revenue ]]</f>
        <v>0.13114754098360656</v>
      </c>
      <c r="Q452" t="str">
        <f>"Q"&amp;ROUNDUP(MONTH(Clean_Data[[#This Row],[OrderDate]])/3,0)</f>
        <v>Q1</v>
      </c>
      <c r="R452" t="str">
        <f>TEXT(Clean_Data[[#This Row],[OrderDate]], "dddd")</f>
        <v>Wednesday</v>
      </c>
    </row>
    <row r="453" spans="1:18" x14ac:dyDescent="0.25">
      <c r="A453" t="s">
        <v>367</v>
      </c>
      <c r="B453" s="4">
        <v>212</v>
      </c>
      <c r="C453" s="4">
        <v>-24</v>
      </c>
      <c r="D453" s="3">
        <v>2</v>
      </c>
      <c r="E453" t="s">
        <v>888</v>
      </c>
      <c r="F453" t="s">
        <v>889</v>
      </c>
      <c r="G453" t="s">
        <v>887</v>
      </c>
      <c r="H453" s="6">
        <f>_xlfn.XLOOKUP(A453,Orders[OrderID],Orders[OrderDate])</f>
        <v>43326</v>
      </c>
      <c r="I453" t="str">
        <f>_xlfn.XLOOKUP(A453,Orders[OrderID],Orders[CustomerName])</f>
        <v>Priyanshu</v>
      </c>
      <c r="J453" t="str">
        <f>_xlfn.XLOOKUP(A453,Orders[OrderID],Orders[State])</f>
        <v>Madhya Pradesh</v>
      </c>
      <c r="K453" t="str">
        <f>_xlfn.XLOOKUP(A453,Orders[OrderID],Orders[City])</f>
        <v>Indore</v>
      </c>
      <c r="L453" s="3">
        <f>YEAR(Clean_Data[[#This Row],[OrderDate]])</f>
        <v>2018</v>
      </c>
      <c r="M453" s="3">
        <f>MONTH(Clean_Data[[#This Row],[OrderDate]])</f>
        <v>8</v>
      </c>
      <c r="N453" s="8" t="str">
        <f>TEXT(Clean_Data[[#This Row],[OrderDate]],"mmm")</f>
        <v>Aug</v>
      </c>
      <c r="O453" s="8" t="str">
        <f>TEXT(Clean_Data[[#This Row],[OrderDate]], "yyyy-mm")</f>
        <v>2018-08</v>
      </c>
      <c r="P453" s="7">
        <f>Clean_Data[[#This Row],[Profit]]/Clean_Data[[#This Row],[Revenue ]]</f>
        <v>-0.11320754716981132</v>
      </c>
      <c r="Q453" t="str">
        <f>"Q"&amp;ROUNDUP(MONTH(Clean_Data[[#This Row],[OrderDate]])/3,0)</f>
        <v>Q3</v>
      </c>
      <c r="R453" t="str">
        <f>TEXT(Clean_Data[[#This Row],[OrderDate]], "dddd")</f>
        <v>Tuesday</v>
      </c>
    </row>
    <row r="454" spans="1:18" x14ac:dyDescent="0.25">
      <c r="A454" t="s">
        <v>501</v>
      </c>
      <c r="B454" s="4">
        <v>262</v>
      </c>
      <c r="C454" s="4">
        <v>64</v>
      </c>
      <c r="D454" s="3">
        <v>6</v>
      </c>
      <c r="E454" t="s">
        <v>895</v>
      </c>
      <c r="F454" t="s">
        <v>897</v>
      </c>
      <c r="G454" t="s">
        <v>890</v>
      </c>
      <c r="H454" s="6">
        <f>_xlfn.XLOOKUP(A454,Orders[OrderID],Orders[OrderDate])</f>
        <v>43404</v>
      </c>
      <c r="I454" t="str">
        <f>_xlfn.XLOOKUP(A454,Orders[OrderID],Orders[CustomerName])</f>
        <v>Sneha</v>
      </c>
      <c r="J454" t="str">
        <f>_xlfn.XLOOKUP(A454,Orders[OrderID],Orders[State])</f>
        <v>Karnataka</v>
      </c>
      <c r="K454" t="str">
        <f>_xlfn.XLOOKUP(A454,Orders[OrderID],Orders[City])</f>
        <v>Bangalore</v>
      </c>
      <c r="L454" s="3">
        <f>YEAR(Clean_Data[[#This Row],[OrderDate]])</f>
        <v>2018</v>
      </c>
      <c r="M454" s="3">
        <f>MONTH(Clean_Data[[#This Row],[OrderDate]])</f>
        <v>10</v>
      </c>
      <c r="N454" s="8" t="str">
        <f>TEXT(Clean_Data[[#This Row],[OrderDate]],"mmm")</f>
        <v>Oct</v>
      </c>
      <c r="O454" s="8" t="str">
        <f>TEXT(Clean_Data[[#This Row],[OrderDate]], "yyyy-mm")</f>
        <v>2018-10</v>
      </c>
      <c r="P454" s="7">
        <f>Clean_Data[[#This Row],[Profit]]/Clean_Data[[#This Row],[Revenue ]]</f>
        <v>0.24427480916030533</v>
      </c>
      <c r="Q454" t="str">
        <f>"Q"&amp;ROUNDUP(MONTH(Clean_Data[[#This Row],[OrderDate]])/3,0)</f>
        <v>Q4</v>
      </c>
      <c r="R454" t="str">
        <f>TEXT(Clean_Data[[#This Row],[OrderDate]], "dddd")</f>
        <v>Wednesday</v>
      </c>
    </row>
    <row r="455" spans="1:18" x14ac:dyDescent="0.25">
      <c r="A455" t="s">
        <v>295</v>
      </c>
      <c r="B455" s="4">
        <v>204</v>
      </c>
      <c r="C455" s="4">
        <v>276</v>
      </c>
      <c r="D455" s="3">
        <v>3</v>
      </c>
      <c r="E455" t="s">
        <v>888</v>
      </c>
      <c r="F455" t="s">
        <v>891</v>
      </c>
      <c r="G455" t="s">
        <v>887</v>
      </c>
      <c r="H455" s="6">
        <f>_xlfn.XLOOKUP(A455,Orders[OrderID],Orders[OrderDate])</f>
        <v>43332</v>
      </c>
      <c r="I455" t="str">
        <f>_xlfn.XLOOKUP(A455,Orders[OrderID],Orders[CustomerName])</f>
        <v>Mohan</v>
      </c>
      <c r="J455" t="str">
        <f>_xlfn.XLOOKUP(A455,Orders[OrderID],Orders[State])</f>
        <v>Maharashtra</v>
      </c>
      <c r="K455" t="str">
        <f>_xlfn.XLOOKUP(A455,Orders[OrderID],Orders[City])</f>
        <v>Mumbai</v>
      </c>
      <c r="L455" s="3">
        <f>YEAR(Clean_Data[[#This Row],[OrderDate]])</f>
        <v>2018</v>
      </c>
      <c r="M455" s="3">
        <f>MONTH(Clean_Data[[#This Row],[OrderDate]])</f>
        <v>8</v>
      </c>
      <c r="N455" s="8" t="str">
        <f>TEXT(Clean_Data[[#This Row],[OrderDate]],"mmm")</f>
        <v>Aug</v>
      </c>
      <c r="O455" s="8" t="str">
        <f>TEXT(Clean_Data[[#This Row],[OrderDate]], "yyyy-mm")</f>
        <v>2018-08</v>
      </c>
      <c r="P455" s="7">
        <f>Clean_Data[[#This Row],[Profit]]/Clean_Data[[#This Row],[Revenue ]]</f>
        <v>1.3529411764705883</v>
      </c>
      <c r="Q455" t="str">
        <f>"Q"&amp;ROUNDUP(MONTH(Clean_Data[[#This Row],[OrderDate]])/3,0)</f>
        <v>Q3</v>
      </c>
      <c r="R455" t="str">
        <f>TEXT(Clean_Data[[#This Row],[OrderDate]], "dddd")</f>
        <v>Monday</v>
      </c>
    </row>
    <row r="456" spans="1:18" x14ac:dyDescent="0.25">
      <c r="A456" t="s">
        <v>198</v>
      </c>
      <c r="B456" s="4">
        <v>59</v>
      </c>
      <c r="C456" s="4">
        <v>-46</v>
      </c>
      <c r="D456" s="3">
        <v>7</v>
      </c>
      <c r="E456" t="s">
        <v>895</v>
      </c>
      <c r="F456" t="s">
        <v>906</v>
      </c>
      <c r="G456" t="s">
        <v>898</v>
      </c>
      <c r="H456" s="6">
        <f>_xlfn.XLOOKUP(A456,Orders[OrderID],Orders[OrderDate])</f>
        <v>43353</v>
      </c>
      <c r="I456" t="str">
        <f>_xlfn.XLOOKUP(A456,Orders[OrderID],Orders[CustomerName])</f>
        <v>Aditi</v>
      </c>
      <c r="J456" t="str">
        <f>_xlfn.XLOOKUP(A456,Orders[OrderID],Orders[State])</f>
        <v>Madhya Pradesh</v>
      </c>
      <c r="K456" t="str">
        <f>_xlfn.XLOOKUP(A456,Orders[OrderID],Orders[City])</f>
        <v>Indore</v>
      </c>
      <c r="L456" s="3">
        <f>YEAR(Clean_Data[[#This Row],[OrderDate]])</f>
        <v>2018</v>
      </c>
      <c r="M456" s="3">
        <f>MONTH(Clean_Data[[#This Row],[OrderDate]])</f>
        <v>9</v>
      </c>
      <c r="N456" s="8" t="str">
        <f>TEXT(Clean_Data[[#This Row],[OrderDate]],"mmm")</f>
        <v>Sep</v>
      </c>
      <c r="O456" s="8" t="str">
        <f>TEXT(Clean_Data[[#This Row],[OrderDate]], "yyyy-mm")</f>
        <v>2018-09</v>
      </c>
      <c r="P456" s="7">
        <f>Clean_Data[[#This Row],[Profit]]/Clean_Data[[#This Row],[Revenue ]]</f>
        <v>-0.77966101694915257</v>
      </c>
      <c r="Q456" t="str">
        <f>"Q"&amp;ROUNDUP(MONTH(Clean_Data[[#This Row],[OrderDate]])/3,0)</f>
        <v>Q3</v>
      </c>
      <c r="R456" t="str">
        <f>TEXT(Clean_Data[[#This Row],[OrderDate]], "dddd")</f>
        <v>Monday</v>
      </c>
    </row>
    <row r="457" spans="1:18" x14ac:dyDescent="0.25">
      <c r="A457" t="s">
        <v>367</v>
      </c>
      <c r="B457" s="4">
        <v>199</v>
      </c>
      <c r="C457" s="4">
        <v>-18</v>
      </c>
      <c r="D457" s="3">
        <v>2</v>
      </c>
      <c r="E457" t="s">
        <v>895</v>
      </c>
      <c r="F457" t="s">
        <v>897</v>
      </c>
      <c r="G457" t="s">
        <v>887</v>
      </c>
      <c r="H457" s="6">
        <f>_xlfn.XLOOKUP(A457,Orders[OrderID],Orders[OrderDate])</f>
        <v>43326</v>
      </c>
      <c r="I457" t="str">
        <f>_xlfn.XLOOKUP(A457,Orders[OrderID],Orders[CustomerName])</f>
        <v>Priyanshu</v>
      </c>
      <c r="J457" t="str">
        <f>_xlfn.XLOOKUP(A457,Orders[OrderID],Orders[State])</f>
        <v>Madhya Pradesh</v>
      </c>
      <c r="K457" t="str">
        <f>_xlfn.XLOOKUP(A457,Orders[OrderID],Orders[City])</f>
        <v>Indore</v>
      </c>
      <c r="L457" s="3">
        <f>YEAR(Clean_Data[[#This Row],[OrderDate]])</f>
        <v>2018</v>
      </c>
      <c r="M457" s="3">
        <f>MONTH(Clean_Data[[#This Row],[OrderDate]])</f>
        <v>8</v>
      </c>
      <c r="N457" s="8" t="str">
        <f>TEXT(Clean_Data[[#This Row],[OrderDate]],"mmm")</f>
        <v>Aug</v>
      </c>
      <c r="O457" s="8" t="str">
        <f>TEXT(Clean_Data[[#This Row],[OrderDate]], "yyyy-mm")</f>
        <v>2018-08</v>
      </c>
      <c r="P457" s="7">
        <f>Clean_Data[[#This Row],[Profit]]/Clean_Data[[#This Row],[Revenue ]]</f>
        <v>-9.0452261306532666E-2</v>
      </c>
      <c r="Q457" t="str">
        <f>"Q"&amp;ROUNDUP(MONTH(Clean_Data[[#This Row],[OrderDate]])/3,0)</f>
        <v>Q3</v>
      </c>
      <c r="R457" t="str">
        <f>TEXT(Clean_Data[[#This Row],[OrderDate]], "dddd")</f>
        <v>Tuesday</v>
      </c>
    </row>
    <row r="458" spans="1:18" x14ac:dyDescent="0.25">
      <c r="A458" t="s">
        <v>48</v>
      </c>
      <c r="B458" s="4">
        <v>59</v>
      </c>
      <c r="C458" s="4">
        <v>6</v>
      </c>
      <c r="D458" s="3">
        <v>1</v>
      </c>
      <c r="E458" t="s">
        <v>885</v>
      </c>
      <c r="F458" t="s">
        <v>905</v>
      </c>
      <c r="G458" t="s">
        <v>898</v>
      </c>
      <c r="H458" s="6">
        <f>_xlfn.XLOOKUP(A458,Orders[OrderID],Orders[OrderDate])</f>
        <v>43391</v>
      </c>
      <c r="I458" t="str">
        <f>_xlfn.XLOOKUP(A458,Orders[OrderID],Orders[CustomerName])</f>
        <v>Rohan</v>
      </c>
      <c r="J458" t="str">
        <f>_xlfn.XLOOKUP(A458,Orders[OrderID],Orders[State])</f>
        <v>Maharashtra</v>
      </c>
      <c r="K458" t="str">
        <f>_xlfn.XLOOKUP(A458,Orders[OrderID],Orders[City])</f>
        <v>Mumbai</v>
      </c>
      <c r="L458" s="3">
        <f>YEAR(Clean_Data[[#This Row],[OrderDate]])</f>
        <v>2018</v>
      </c>
      <c r="M458" s="3">
        <f>MONTH(Clean_Data[[#This Row],[OrderDate]])</f>
        <v>10</v>
      </c>
      <c r="N458" s="8" t="str">
        <f>TEXT(Clean_Data[[#This Row],[OrderDate]],"mmm")</f>
        <v>Oct</v>
      </c>
      <c r="O458" s="8" t="str">
        <f>TEXT(Clean_Data[[#This Row],[OrderDate]], "yyyy-mm")</f>
        <v>2018-10</v>
      </c>
      <c r="P458" s="7">
        <f>Clean_Data[[#This Row],[Profit]]/Clean_Data[[#This Row],[Revenue ]]</f>
        <v>0.10169491525423729</v>
      </c>
      <c r="Q458" t="str">
        <f>"Q"&amp;ROUNDUP(MONTH(Clean_Data[[#This Row],[OrderDate]])/3,0)</f>
        <v>Q4</v>
      </c>
      <c r="R458" t="str">
        <f>TEXT(Clean_Data[[#This Row],[OrderDate]], "dddd")</f>
        <v>Thursday</v>
      </c>
    </row>
    <row r="459" spans="1:18" x14ac:dyDescent="0.25">
      <c r="A459" t="s">
        <v>413</v>
      </c>
      <c r="B459" s="4">
        <v>45</v>
      </c>
      <c r="C459" s="4">
        <v>9</v>
      </c>
      <c r="D459" s="3">
        <v>3</v>
      </c>
      <c r="E459" t="s">
        <v>895</v>
      </c>
      <c r="F459" t="s">
        <v>904</v>
      </c>
      <c r="G459" t="s">
        <v>898</v>
      </c>
      <c r="H459" s="6">
        <f>_xlfn.XLOOKUP(A459,Orders[OrderID],Orders[OrderDate])</f>
        <v>43187</v>
      </c>
      <c r="I459" t="str">
        <f>_xlfn.XLOOKUP(A459,Orders[OrderID],Orders[CustomerName])</f>
        <v>Atharv</v>
      </c>
      <c r="J459" t="str">
        <f>_xlfn.XLOOKUP(A459,Orders[OrderID],Orders[State])</f>
        <v>West Bengal</v>
      </c>
      <c r="K459" t="str">
        <f>_xlfn.XLOOKUP(A459,Orders[OrderID],Orders[City])</f>
        <v>Kolkata</v>
      </c>
      <c r="L459" s="3">
        <f>YEAR(Clean_Data[[#This Row],[OrderDate]])</f>
        <v>2018</v>
      </c>
      <c r="M459" s="3">
        <f>MONTH(Clean_Data[[#This Row],[OrderDate]])</f>
        <v>3</v>
      </c>
      <c r="N459" s="8" t="str">
        <f>TEXT(Clean_Data[[#This Row],[OrderDate]],"mmm")</f>
        <v>Mar</v>
      </c>
      <c r="O459" s="8" t="str">
        <f>TEXT(Clean_Data[[#This Row],[OrderDate]], "yyyy-mm")</f>
        <v>2018-03</v>
      </c>
      <c r="P459" s="7">
        <f>Clean_Data[[#This Row],[Profit]]/Clean_Data[[#This Row],[Revenue ]]</f>
        <v>0.2</v>
      </c>
      <c r="Q459" t="str">
        <f>"Q"&amp;ROUNDUP(MONTH(Clean_Data[[#This Row],[OrderDate]])/3,0)</f>
        <v>Q1</v>
      </c>
      <c r="R459" t="str">
        <f>TEXT(Clean_Data[[#This Row],[OrderDate]], "dddd")</f>
        <v>Wednesday</v>
      </c>
    </row>
    <row r="460" spans="1:18" x14ac:dyDescent="0.25">
      <c r="A460" t="s">
        <v>16</v>
      </c>
      <c r="B460" s="4">
        <v>211</v>
      </c>
      <c r="C460" s="4">
        <v>19</v>
      </c>
      <c r="D460" s="3">
        <v>8</v>
      </c>
      <c r="E460" t="s">
        <v>895</v>
      </c>
      <c r="F460" t="s">
        <v>903</v>
      </c>
      <c r="G460" t="s">
        <v>887</v>
      </c>
      <c r="H460" s="6">
        <f>_xlfn.XLOOKUP(A460,Orders[OrderID],Orders[OrderDate])</f>
        <v>43333</v>
      </c>
      <c r="I460" t="str">
        <f>_xlfn.XLOOKUP(A460,Orders[OrderID],Orders[CustomerName])</f>
        <v>Vishakha</v>
      </c>
      <c r="J460" t="str">
        <f>_xlfn.XLOOKUP(A460,Orders[OrderID],Orders[State])</f>
        <v>Madhya Pradesh</v>
      </c>
      <c r="K460" t="str">
        <f>_xlfn.XLOOKUP(A460,Orders[OrderID],Orders[City])</f>
        <v>Indore</v>
      </c>
      <c r="L460" s="3">
        <f>YEAR(Clean_Data[[#This Row],[OrderDate]])</f>
        <v>2018</v>
      </c>
      <c r="M460" s="3">
        <f>MONTH(Clean_Data[[#This Row],[OrderDate]])</f>
        <v>8</v>
      </c>
      <c r="N460" s="8" t="str">
        <f>TEXT(Clean_Data[[#This Row],[OrderDate]],"mmm")</f>
        <v>Aug</v>
      </c>
      <c r="O460" s="8" t="str">
        <f>TEXT(Clean_Data[[#This Row],[OrderDate]], "yyyy-mm")</f>
        <v>2018-08</v>
      </c>
      <c r="P460" s="7">
        <f>Clean_Data[[#This Row],[Profit]]/Clean_Data[[#This Row],[Revenue ]]</f>
        <v>9.004739336492891E-2</v>
      </c>
      <c r="Q460" t="str">
        <f>"Q"&amp;ROUNDUP(MONTH(Clean_Data[[#This Row],[OrderDate]])/3,0)</f>
        <v>Q3</v>
      </c>
      <c r="R460" t="str">
        <f>TEXT(Clean_Data[[#This Row],[OrderDate]], "dddd")</f>
        <v>Tuesday</v>
      </c>
    </row>
    <row r="461" spans="1:18" x14ac:dyDescent="0.25">
      <c r="A461" t="s">
        <v>379</v>
      </c>
      <c r="B461" s="4">
        <v>65</v>
      </c>
      <c r="C461" s="4">
        <v>-16</v>
      </c>
      <c r="D461" s="3">
        <v>2</v>
      </c>
      <c r="E461" t="s">
        <v>885</v>
      </c>
      <c r="F461" t="s">
        <v>894</v>
      </c>
      <c r="G461" t="s">
        <v>907</v>
      </c>
      <c r="H461" s="6">
        <f>_xlfn.XLOOKUP(A461,Orders[OrderID],Orders[OrderDate])</f>
        <v>43274</v>
      </c>
      <c r="I461" t="str">
        <f>_xlfn.XLOOKUP(A461,Orders[OrderID],Orders[CustomerName])</f>
        <v>Amisha</v>
      </c>
      <c r="J461" t="str">
        <f>_xlfn.XLOOKUP(A461,Orders[OrderID],Orders[State])</f>
        <v>Tamil Nadu</v>
      </c>
      <c r="K461" t="str">
        <f>_xlfn.XLOOKUP(A461,Orders[OrderID],Orders[City])</f>
        <v>Chennai</v>
      </c>
      <c r="L461" s="3">
        <f>YEAR(Clean_Data[[#This Row],[OrderDate]])</f>
        <v>2018</v>
      </c>
      <c r="M461" s="3">
        <f>MONTH(Clean_Data[[#This Row],[OrderDate]])</f>
        <v>6</v>
      </c>
      <c r="N461" s="8" t="str">
        <f>TEXT(Clean_Data[[#This Row],[OrderDate]],"mmm")</f>
        <v>Jun</v>
      </c>
      <c r="O461" s="8" t="str">
        <f>TEXT(Clean_Data[[#This Row],[OrderDate]], "yyyy-mm")</f>
        <v>2018-06</v>
      </c>
      <c r="P461" s="7">
        <f>Clean_Data[[#This Row],[Profit]]/Clean_Data[[#This Row],[Revenue ]]</f>
        <v>-0.24615384615384617</v>
      </c>
      <c r="Q461" t="str">
        <f>"Q"&amp;ROUNDUP(MONTH(Clean_Data[[#This Row],[OrderDate]])/3,0)</f>
        <v>Q2</v>
      </c>
      <c r="R461" t="str">
        <f>TEXT(Clean_Data[[#This Row],[OrderDate]], "dddd")</f>
        <v>Saturday</v>
      </c>
    </row>
    <row r="462" spans="1:18" x14ac:dyDescent="0.25">
      <c r="A462" t="s">
        <v>341</v>
      </c>
      <c r="B462" s="4">
        <v>25</v>
      </c>
      <c r="C462" s="4">
        <v>0</v>
      </c>
      <c r="D462" s="3">
        <v>4</v>
      </c>
      <c r="E462" t="s">
        <v>895</v>
      </c>
      <c r="F462" t="s">
        <v>901</v>
      </c>
      <c r="G462" t="s">
        <v>898</v>
      </c>
      <c r="H462" s="6">
        <f>_xlfn.XLOOKUP(A462,Orders[OrderID],Orders[OrderDate])</f>
        <v>43286</v>
      </c>
      <c r="I462" t="str">
        <f>_xlfn.XLOOKUP(A462,Orders[OrderID],Orders[CustomerName])</f>
        <v>Megha</v>
      </c>
      <c r="J462" t="str">
        <f>_xlfn.XLOOKUP(A462,Orders[OrderID],Orders[State])</f>
        <v>Maharashtra</v>
      </c>
      <c r="K462" t="str">
        <f>_xlfn.XLOOKUP(A462,Orders[OrderID],Orders[City])</f>
        <v>Pune</v>
      </c>
      <c r="L462" s="3">
        <f>YEAR(Clean_Data[[#This Row],[OrderDate]])</f>
        <v>2018</v>
      </c>
      <c r="M462" s="3">
        <f>MONTH(Clean_Data[[#This Row],[OrderDate]])</f>
        <v>7</v>
      </c>
      <c r="N462" s="8" t="str">
        <f>TEXT(Clean_Data[[#This Row],[OrderDate]],"mmm")</f>
        <v>Jul</v>
      </c>
      <c r="O462" s="8" t="str">
        <f>TEXT(Clean_Data[[#This Row],[OrderDate]], "yyyy-mm")</f>
        <v>2018-07</v>
      </c>
      <c r="P462" s="7">
        <f>Clean_Data[[#This Row],[Profit]]/Clean_Data[[#This Row],[Revenue ]]</f>
        <v>0</v>
      </c>
      <c r="Q462" t="str">
        <f>"Q"&amp;ROUNDUP(MONTH(Clean_Data[[#This Row],[OrderDate]])/3,0)</f>
        <v>Q3</v>
      </c>
      <c r="R462" t="str">
        <f>TEXT(Clean_Data[[#This Row],[OrderDate]], "dddd")</f>
        <v>Thursday</v>
      </c>
    </row>
    <row r="463" spans="1:18" x14ac:dyDescent="0.25">
      <c r="A463" t="s">
        <v>562</v>
      </c>
      <c r="B463" s="4">
        <v>196</v>
      </c>
      <c r="C463" s="4">
        <v>-7</v>
      </c>
      <c r="D463" s="3">
        <v>5</v>
      </c>
      <c r="E463" t="s">
        <v>885</v>
      </c>
      <c r="F463" t="s">
        <v>894</v>
      </c>
      <c r="G463" t="s">
        <v>887</v>
      </c>
      <c r="H463" s="6">
        <f>_xlfn.XLOOKUP(A463,Orders[OrderID],Orders[OrderDate])</f>
        <v>43134</v>
      </c>
      <c r="I463" t="str">
        <f>_xlfn.XLOOKUP(A463,Orders[OrderID],Orders[CustomerName])</f>
        <v>Omkar</v>
      </c>
      <c r="J463" t="str">
        <f>_xlfn.XLOOKUP(A463,Orders[OrderID],Orders[State])</f>
        <v>Delhi</v>
      </c>
      <c r="K463" t="str">
        <f>_xlfn.XLOOKUP(A463,Orders[OrderID],Orders[City])</f>
        <v>Delhi</v>
      </c>
      <c r="L463" s="3">
        <f>YEAR(Clean_Data[[#This Row],[OrderDate]])</f>
        <v>2018</v>
      </c>
      <c r="M463" s="3">
        <f>MONTH(Clean_Data[[#This Row],[OrderDate]])</f>
        <v>2</v>
      </c>
      <c r="N463" s="8" t="str">
        <f>TEXT(Clean_Data[[#This Row],[OrderDate]],"mmm")</f>
        <v>Feb</v>
      </c>
      <c r="O463" s="8" t="str">
        <f>TEXT(Clean_Data[[#This Row],[OrderDate]], "yyyy-mm")</f>
        <v>2018-02</v>
      </c>
      <c r="P463" s="7">
        <f>Clean_Data[[#This Row],[Profit]]/Clean_Data[[#This Row],[Revenue ]]</f>
        <v>-3.5714285714285712E-2</v>
      </c>
      <c r="Q463" t="str">
        <f>"Q"&amp;ROUNDUP(MONTH(Clean_Data[[#This Row],[OrderDate]])/3,0)</f>
        <v>Q1</v>
      </c>
      <c r="R463" t="str">
        <f>TEXT(Clean_Data[[#This Row],[OrderDate]], "dddd")</f>
        <v>Saturday</v>
      </c>
    </row>
    <row r="464" spans="1:18" x14ac:dyDescent="0.25">
      <c r="A464" t="s">
        <v>91</v>
      </c>
      <c r="B464" s="4">
        <v>261</v>
      </c>
      <c r="C464" s="4">
        <v>13</v>
      </c>
      <c r="D464" s="3">
        <v>6</v>
      </c>
      <c r="E464" t="s">
        <v>895</v>
      </c>
      <c r="F464" t="s">
        <v>909</v>
      </c>
      <c r="G464" t="s">
        <v>893</v>
      </c>
      <c r="H464" s="6">
        <f>_xlfn.XLOOKUP(A464,Orders[OrderID],Orders[OrderDate])</f>
        <v>43113</v>
      </c>
      <c r="I464" t="str">
        <f>_xlfn.XLOOKUP(A464,Orders[OrderID],Orders[CustomerName])</f>
        <v>Shruti</v>
      </c>
      <c r="J464" t="str">
        <f>_xlfn.XLOOKUP(A464,Orders[OrderID],Orders[State])</f>
        <v>Madhya Pradesh</v>
      </c>
      <c r="K464" t="str">
        <f>_xlfn.XLOOKUP(A464,Orders[OrderID],Orders[City])</f>
        <v>Indore</v>
      </c>
      <c r="L464" s="3">
        <f>YEAR(Clean_Data[[#This Row],[OrderDate]])</f>
        <v>2018</v>
      </c>
      <c r="M464" s="3">
        <f>MONTH(Clean_Data[[#This Row],[OrderDate]])</f>
        <v>1</v>
      </c>
      <c r="N464" s="8" t="str">
        <f>TEXT(Clean_Data[[#This Row],[OrderDate]],"mmm")</f>
        <v>Jan</v>
      </c>
      <c r="O464" s="8" t="str">
        <f>TEXT(Clean_Data[[#This Row],[OrderDate]], "yyyy-mm")</f>
        <v>2018-01</v>
      </c>
      <c r="P464" s="7">
        <f>Clean_Data[[#This Row],[Profit]]/Clean_Data[[#This Row],[Revenue ]]</f>
        <v>4.9808429118773943E-2</v>
      </c>
      <c r="Q464" t="str">
        <f>"Q"&amp;ROUNDUP(MONTH(Clean_Data[[#This Row],[OrderDate]])/3,0)</f>
        <v>Q1</v>
      </c>
      <c r="R464" t="str">
        <f>TEXT(Clean_Data[[#This Row],[OrderDate]], "dddd")</f>
        <v>Saturday</v>
      </c>
    </row>
    <row r="465" spans="1:18" x14ac:dyDescent="0.25">
      <c r="A465" t="s">
        <v>140</v>
      </c>
      <c r="B465" s="4">
        <v>195</v>
      </c>
      <c r="C465" s="4">
        <v>-117</v>
      </c>
      <c r="D465" s="3">
        <v>5</v>
      </c>
      <c r="E465" t="s">
        <v>885</v>
      </c>
      <c r="F465" t="s">
        <v>894</v>
      </c>
      <c r="G465" t="s">
        <v>887</v>
      </c>
      <c r="H465" s="6">
        <f>_xlfn.XLOOKUP(A465,Orders[OrderID],Orders[OrderDate])</f>
        <v>43228</v>
      </c>
      <c r="I465" t="str">
        <f>_xlfn.XLOOKUP(A465,Orders[OrderID],Orders[CustomerName])</f>
        <v>Farah</v>
      </c>
      <c r="J465" t="str">
        <f>_xlfn.XLOOKUP(A465,Orders[OrderID],Orders[State])</f>
        <v>Nagaland</v>
      </c>
      <c r="K465" t="str">
        <f>_xlfn.XLOOKUP(A465,Orders[OrderID],Orders[City])</f>
        <v>Kohima</v>
      </c>
      <c r="L465" s="3">
        <f>YEAR(Clean_Data[[#This Row],[OrderDate]])</f>
        <v>2018</v>
      </c>
      <c r="M465" s="3">
        <f>MONTH(Clean_Data[[#This Row],[OrderDate]])</f>
        <v>5</v>
      </c>
      <c r="N465" s="8" t="str">
        <f>TEXT(Clean_Data[[#This Row],[OrderDate]],"mmm")</f>
        <v>May</v>
      </c>
      <c r="O465" s="8" t="str">
        <f>TEXT(Clean_Data[[#This Row],[OrderDate]], "yyyy-mm")</f>
        <v>2018-05</v>
      </c>
      <c r="P465" s="7">
        <f>Clean_Data[[#This Row],[Profit]]/Clean_Data[[#This Row],[Revenue ]]</f>
        <v>-0.6</v>
      </c>
      <c r="Q465" t="str">
        <f>"Q"&amp;ROUNDUP(MONTH(Clean_Data[[#This Row],[OrderDate]])/3,0)</f>
        <v>Q2</v>
      </c>
      <c r="R465" t="str">
        <f>TEXT(Clean_Data[[#This Row],[OrderDate]], "dddd")</f>
        <v>Tuesday</v>
      </c>
    </row>
    <row r="466" spans="1:18" x14ac:dyDescent="0.25">
      <c r="A466" t="s">
        <v>347</v>
      </c>
      <c r="B466" s="4">
        <v>192</v>
      </c>
      <c r="C466" s="4">
        <v>-146</v>
      </c>
      <c r="D466" s="3">
        <v>3</v>
      </c>
      <c r="E466" t="s">
        <v>895</v>
      </c>
      <c r="F466" t="s">
        <v>897</v>
      </c>
      <c r="G466" t="s">
        <v>887</v>
      </c>
      <c r="H466" s="6">
        <f>_xlfn.XLOOKUP(A466,Orders[OrderID],Orders[OrderDate])</f>
        <v>43358</v>
      </c>
      <c r="I466" t="str">
        <f>_xlfn.XLOOKUP(A466,Orders[OrderID],Orders[CustomerName])</f>
        <v>Ayush</v>
      </c>
      <c r="J466" t="str">
        <f>_xlfn.XLOOKUP(A466,Orders[OrderID],Orders[State])</f>
        <v>West Bengal</v>
      </c>
      <c r="K466" t="str">
        <f>_xlfn.XLOOKUP(A466,Orders[OrderID],Orders[City])</f>
        <v>Kolkata</v>
      </c>
      <c r="L466" s="3">
        <f>YEAR(Clean_Data[[#This Row],[OrderDate]])</f>
        <v>2018</v>
      </c>
      <c r="M466" s="3">
        <f>MONTH(Clean_Data[[#This Row],[OrderDate]])</f>
        <v>9</v>
      </c>
      <c r="N466" s="8" t="str">
        <f>TEXT(Clean_Data[[#This Row],[OrderDate]],"mmm")</f>
        <v>Sep</v>
      </c>
      <c r="O466" s="8" t="str">
        <f>TEXT(Clean_Data[[#This Row],[OrderDate]], "yyyy-mm")</f>
        <v>2018-09</v>
      </c>
      <c r="P466" s="7">
        <f>Clean_Data[[#This Row],[Profit]]/Clean_Data[[#This Row],[Revenue ]]</f>
        <v>-0.76041666666666663</v>
      </c>
      <c r="Q466" t="str">
        <f>"Q"&amp;ROUNDUP(MONTH(Clean_Data[[#This Row],[OrderDate]])/3,0)</f>
        <v>Q3</v>
      </c>
      <c r="R466" t="str">
        <f>TEXT(Clean_Data[[#This Row],[OrderDate]], "dddd")</f>
        <v>Saturday</v>
      </c>
    </row>
    <row r="467" spans="1:18" x14ac:dyDescent="0.25">
      <c r="A467" t="s">
        <v>573</v>
      </c>
      <c r="B467" s="4">
        <v>189</v>
      </c>
      <c r="C467" s="4">
        <v>87</v>
      </c>
      <c r="D467" s="3">
        <v>7</v>
      </c>
      <c r="E467" t="s">
        <v>895</v>
      </c>
      <c r="F467" t="s">
        <v>903</v>
      </c>
      <c r="G467" t="s">
        <v>887</v>
      </c>
      <c r="H467" s="6">
        <f>_xlfn.XLOOKUP(A467,Orders[OrderID],Orders[OrderDate])</f>
        <v>43419</v>
      </c>
      <c r="I467" t="str">
        <f>_xlfn.XLOOKUP(A467,Orders[OrderID],Orders[CustomerName])</f>
        <v>Manibalan</v>
      </c>
      <c r="J467" t="str">
        <f>_xlfn.XLOOKUP(A467,Orders[OrderID],Orders[State])</f>
        <v xml:space="preserve">Kerala </v>
      </c>
      <c r="K467" t="str">
        <f>_xlfn.XLOOKUP(A467,Orders[OrderID],Orders[City])</f>
        <v>Thiruvananthapuram</v>
      </c>
      <c r="L467" s="3">
        <f>YEAR(Clean_Data[[#This Row],[OrderDate]])</f>
        <v>2018</v>
      </c>
      <c r="M467" s="3">
        <f>MONTH(Clean_Data[[#This Row],[OrderDate]])</f>
        <v>11</v>
      </c>
      <c r="N467" s="8" t="str">
        <f>TEXT(Clean_Data[[#This Row],[OrderDate]],"mmm")</f>
        <v>Nov</v>
      </c>
      <c r="O467" s="8" t="str">
        <f>TEXT(Clean_Data[[#This Row],[OrderDate]], "yyyy-mm")</f>
        <v>2018-11</v>
      </c>
      <c r="P467" s="7">
        <f>Clean_Data[[#This Row],[Profit]]/Clean_Data[[#This Row],[Revenue ]]</f>
        <v>0.46031746031746029</v>
      </c>
      <c r="Q467" t="str">
        <f>"Q"&amp;ROUNDUP(MONTH(Clean_Data[[#This Row],[OrderDate]])/3,0)</f>
        <v>Q4</v>
      </c>
      <c r="R467" t="str">
        <f>TEXT(Clean_Data[[#This Row],[OrderDate]], "dddd")</f>
        <v>Thursday</v>
      </c>
    </row>
    <row r="468" spans="1:18" x14ac:dyDescent="0.25">
      <c r="A468" t="s">
        <v>309</v>
      </c>
      <c r="B468" s="4">
        <v>32</v>
      </c>
      <c r="C468" s="4">
        <v>2</v>
      </c>
      <c r="D468" s="3">
        <v>2</v>
      </c>
      <c r="E468" t="s">
        <v>895</v>
      </c>
      <c r="F468" t="s">
        <v>900</v>
      </c>
      <c r="G468" t="s">
        <v>898</v>
      </c>
      <c r="H468" s="6">
        <f>_xlfn.XLOOKUP(A468,Orders[OrderID],Orders[OrderDate])</f>
        <v>43118</v>
      </c>
      <c r="I468" t="str">
        <f>_xlfn.XLOOKUP(A468,Orders[OrderID],Orders[CustomerName])</f>
        <v>Muskan</v>
      </c>
      <c r="J468" t="str">
        <f>_xlfn.XLOOKUP(A468,Orders[OrderID],Orders[State])</f>
        <v>Madhya Pradesh</v>
      </c>
      <c r="K468" t="str">
        <f>_xlfn.XLOOKUP(A468,Orders[OrderID],Orders[City])</f>
        <v>Indore</v>
      </c>
      <c r="L468" s="3">
        <f>YEAR(Clean_Data[[#This Row],[OrderDate]])</f>
        <v>2018</v>
      </c>
      <c r="M468" s="3">
        <f>MONTH(Clean_Data[[#This Row],[OrderDate]])</f>
        <v>1</v>
      </c>
      <c r="N468" s="8" t="str">
        <f>TEXT(Clean_Data[[#This Row],[OrderDate]],"mmm")</f>
        <v>Jan</v>
      </c>
      <c r="O468" s="8" t="str">
        <f>TEXT(Clean_Data[[#This Row],[OrderDate]], "yyyy-mm")</f>
        <v>2018-01</v>
      </c>
      <c r="P468" s="7">
        <f>Clean_Data[[#This Row],[Profit]]/Clean_Data[[#This Row],[Revenue ]]</f>
        <v>6.25E-2</v>
      </c>
      <c r="Q468" t="str">
        <f>"Q"&amp;ROUNDUP(MONTH(Clean_Data[[#This Row],[OrderDate]])/3,0)</f>
        <v>Q1</v>
      </c>
      <c r="R468" t="str">
        <f>TEXT(Clean_Data[[#This Row],[OrderDate]], "dddd")</f>
        <v>Thursday</v>
      </c>
    </row>
    <row r="469" spans="1:18" x14ac:dyDescent="0.25">
      <c r="A469" t="s">
        <v>575</v>
      </c>
      <c r="B469" s="4">
        <v>188</v>
      </c>
      <c r="C469" s="4">
        <v>13</v>
      </c>
      <c r="D469" s="3">
        <v>7</v>
      </c>
      <c r="E469" t="s">
        <v>895</v>
      </c>
      <c r="F469" t="s">
        <v>909</v>
      </c>
      <c r="G469" t="s">
        <v>887</v>
      </c>
      <c r="H469" s="6">
        <f>_xlfn.XLOOKUP(A469,Orders[OrderID],Orders[OrderDate])</f>
        <v>43134</v>
      </c>
      <c r="I469" t="str">
        <f>_xlfn.XLOOKUP(A469,Orders[OrderID],Orders[CustomerName])</f>
        <v>Mansi</v>
      </c>
      <c r="J469" t="str">
        <f>_xlfn.XLOOKUP(A469,Orders[OrderID],Orders[State])</f>
        <v>Madhya Pradesh</v>
      </c>
      <c r="K469" t="str">
        <f>_xlfn.XLOOKUP(A469,Orders[OrderID],Orders[City])</f>
        <v>Indore</v>
      </c>
      <c r="L469" s="3">
        <f>YEAR(Clean_Data[[#This Row],[OrderDate]])</f>
        <v>2018</v>
      </c>
      <c r="M469" s="3">
        <f>MONTH(Clean_Data[[#This Row],[OrderDate]])</f>
        <v>2</v>
      </c>
      <c r="N469" s="8" t="str">
        <f>TEXT(Clean_Data[[#This Row],[OrderDate]],"mmm")</f>
        <v>Feb</v>
      </c>
      <c r="O469" s="8" t="str">
        <f>TEXT(Clean_Data[[#This Row],[OrderDate]], "yyyy-mm")</f>
        <v>2018-02</v>
      </c>
      <c r="P469" s="7">
        <f>Clean_Data[[#This Row],[Profit]]/Clean_Data[[#This Row],[Revenue ]]</f>
        <v>6.9148936170212769E-2</v>
      </c>
      <c r="Q469" t="str">
        <f>"Q"&amp;ROUNDUP(MONTH(Clean_Data[[#This Row],[OrderDate]])/3,0)</f>
        <v>Q1</v>
      </c>
      <c r="R469" t="str">
        <f>TEXT(Clean_Data[[#This Row],[OrderDate]], "dddd")</f>
        <v>Saturday</v>
      </c>
    </row>
    <row r="470" spans="1:18" x14ac:dyDescent="0.25">
      <c r="A470" t="s">
        <v>757</v>
      </c>
      <c r="B470" s="4">
        <v>73</v>
      </c>
      <c r="C470" s="4">
        <v>-25</v>
      </c>
      <c r="D470" s="3">
        <v>3</v>
      </c>
      <c r="E470" t="s">
        <v>895</v>
      </c>
      <c r="F470" t="s">
        <v>897</v>
      </c>
      <c r="G470" t="s">
        <v>887</v>
      </c>
      <c r="H470" s="6">
        <f>_xlfn.XLOOKUP(A470,Orders[OrderID],Orders[OrderDate])</f>
        <v>43255</v>
      </c>
      <c r="I470" t="str">
        <f>_xlfn.XLOOKUP(A470,Orders[OrderID],Orders[CustomerName])</f>
        <v>Aayushi</v>
      </c>
      <c r="J470" t="str">
        <f>_xlfn.XLOOKUP(A470,Orders[OrderID],Orders[State])</f>
        <v>Madhya Pradesh</v>
      </c>
      <c r="K470" t="str">
        <f>_xlfn.XLOOKUP(A470,Orders[OrderID],Orders[City])</f>
        <v>Indore</v>
      </c>
      <c r="L470" s="3">
        <f>YEAR(Clean_Data[[#This Row],[OrderDate]])</f>
        <v>2018</v>
      </c>
      <c r="M470" s="3">
        <f>MONTH(Clean_Data[[#This Row],[OrderDate]])</f>
        <v>6</v>
      </c>
      <c r="N470" s="8" t="str">
        <f>TEXT(Clean_Data[[#This Row],[OrderDate]],"mmm")</f>
        <v>Jun</v>
      </c>
      <c r="O470" s="8" t="str">
        <f>TEXT(Clean_Data[[#This Row],[OrderDate]], "yyyy-mm")</f>
        <v>2018-06</v>
      </c>
      <c r="P470" s="7">
        <f>Clean_Data[[#This Row],[Profit]]/Clean_Data[[#This Row],[Revenue ]]</f>
        <v>-0.34246575342465752</v>
      </c>
      <c r="Q470" t="str">
        <f>"Q"&amp;ROUNDUP(MONTH(Clean_Data[[#This Row],[OrderDate]])/3,0)</f>
        <v>Q2</v>
      </c>
      <c r="R470" t="str">
        <f>TEXT(Clean_Data[[#This Row],[OrderDate]], "dddd")</f>
        <v>Monday</v>
      </c>
    </row>
    <row r="471" spans="1:18" x14ac:dyDescent="0.25">
      <c r="A471" t="s">
        <v>89</v>
      </c>
      <c r="B471" s="4">
        <v>259</v>
      </c>
      <c r="C471" s="4">
        <v>47</v>
      </c>
      <c r="D471" s="3">
        <v>5</v>
      </c>
      <c r="E471" t="s">
        <v>895</v>
      </c>
      <c r="F471" t="s">
        <v>899</v>
      </c>
      <c r="G471" t="s">
        <v>893</v>
      </c>
      <c r="H471" s="6">
        <f>_xlfn.XLOOKUP(A471,Orders[OrderID],Orders[OrderDate])</f>
        <v>43448</v>
      </c>
      <c r="I471" t="str">
        <f>_xlfn.XLOOKUP(A471,Orders[OrderID],Orders[CustomerName])</f>
        <v>Jay</v>
      </c>
      <c r="J471" t="str">
        <f>_xlfn.XLOOKUP(A471,Orders[OrderID],Orders[State])</f>
        <v>Delhi</v>
      </c>
      <c r="K471" t="str">
        <f>_xlfn.XLOOKUP(A471,Orders[OrderID],Orders[City])</f>
        <v>Delhi</v>
      </c>
      <c r="L471" s="3">
        <f>YEAR(Clean_Data[[#This Row],[OrderDate]])</f>
        <v>2018</v>
      </c>
      <c r="M471" s="3">
        <f>MONTH(Clean_Data[[#This Row],[OrderDate]])</f>
        <v>12</v>
      </c>
      <c r="N471" s="8" t="str">
        <f>TEXT(Clean_Data[[#This Row],[OrderDate]],"mmm")</f>
        <v>Dec</v>
      </c>
      <c r="O471" s="8" t="str">
        <f>TEXT(Clean_Data[[#This Row],[OrderDate]], "yyyy-mm")</f>
        <v>2018-12</v>
      </c>
      <c r="P471" s="7">
        <f>Clean_Data[[#This Row],[Profit]]/Clean_Data[[#This Row],[Revenue ]]</f>
        <v>0.18146718146718147</v>
      </c>
      <c r="Q471" t="str">
        <f>"Q"&amp;ROUNDUP(MONTH(Clean_Data[[#This Row],[OrderDate]])/3,0)</f>
        <v>Q4</v>
      </c>
      <c r="R471" t="str">
        <f>TEXT(Clean_Data[[#This Row],[OrderDate]], "dddd")</f>
        <v>Friday</v>
      </c>
    </row>
    <row r="472" spans="1:18" x14ac:dyDescent="0.25">
      <c r="A472" t="s">
        <v>577</v>
      </c>
      <c r="B472" s="4">
        <v>187</v>
      </c>
      <c r="C472" s="4">
        <v>-15</v>
      </c>
      <c r="D472" s="3">
        <v>3</v>
      </c>
      <c r="E472" t="s">
        <v>895</v>
      </c>
      <c r="F472" t="s">
        <v>896</v>
      </c>
      <c r="G472" t="s">
        <v>887</v>
      </c>
      <c r="H472" s="6">
        <f>_xlfn.XLOOKUP(A472,Orders[OrderID],Orders[OrderDate])</f>
        <v>43313</v>
      </c>
      <c r="I472" t="str">
        <f>_xlfn.XLOOKUP(A472,Orders[OrderID],Orders[CustomerName])</f>
        <v>Shubham</v>
      </c>
      <c r="J472" t="str">
        <f>_xlfn.XLOOKUP(A472,Orders[OrderID],Orders[State])</f>
        <v>Madhya Pradesh</v>
      </c>
      <c r="K472" t="str">
        <f>_xlfn.XLOOKUP(A472,Orders[OrderID],Orders[City])</f>
        <v>Indore</v>
      </c>
      <c r="L472" s="3">
        <f>YEAR(Clean_Data[[#This Row],[OrderDate]])</f>
        <v>2018</v>
      </c>
      <c r="M472" s="3">
        <f>MONTH(Clean_Data[[#This Row],[OrderDate]])</f>
        <v>8</v>
      </c>
      <c r="N472" s="8" t="str">
        <f>TEXT(Clean_Data[[#This Row],[OrderDate]],"mmm")</f>
        <v>Aug</v>
      </c>
      <c r="O472" s="8" t="str">
        <f>TEXT(Clean_Data[[#This Row],[OrderDate]], "yyyy-mm")</f>
        <v>2018-08</v>
      </c>
      <c r="P472" s="7">
        <f>Clean_Data[[#This Row],[Profit]]/Clean_Data[[#This Row],[Revenue ]]</f>
        <v>-8.0213903743315509E-2</v>
      </c>
      <c r="Q472" t="str">
        <f>"Q"&amp;ROUNDUP(MONTH(Clean_Data[[#This Row],[OrderDate]])/3,0)</f>
        <v>Q3</v>
      </c>
      <c r="R472" t="str">
        <f>TEXT(Clean_Data[[#This Row],[OrderDate]], "dddd")</f>
        <v>Wednesday</v>
      </c>
    </row>
    <row r="473" spans="1:18" x14ac:dyDescent="0.25">
      <c r="A473" t="s">
        <v>50</v>
      </c>
      <c r="B473" s="4">
        <v>26</v>
      </c>
      <c r="C473" s="4">
        <v>11</v>
      </c>
      <c r="D473" s="3">
        <v>2</v>
      </c>
      <c r="E473" t="s">
        <v>895</v>
      </c>
      <c r="F473" t="s">
        <v>899</v>
      </c>
      <c r="G473" t="s">
        <v>898</v>
      </c>
      <c r="H473" s="6">
        <f>_xlfn.XLOOKUP(A473,Orders[OrderID],Orders[OrderDate])</f>
        <v>43412</v>
      </c>
      <c r="I473" t="str">
        <f>_xlfn.XLOOKUP(A473,Orders[OrderID],Orders[CustomerName])</f>
        <v>Gaurav</v>
      </c>
      <c r="J473" t="str">
        <f>_xlfn.XLOOKUP(A473,Orders[OrderID],Orders[State])</f>
        <v>Gujarat</v>
      </c>
      <c r="K473" t="str">
        <f>_xlfn.XLOOKUP(A473,Orders[OrderID],Orders[City])</f>
        <v>Ahmedabad</v>
      </c>
      <c r="L473" s="3">
        <f>YEAR(Clean_Data[[#This Row],[OrderDate]])</f>
        <v>2018</v>
      </c>
      <c r="M473" s="3">
        <f>MONTH(Clean_Data[[#This Row],[OrderDate]])</f>
        <v>11</v>
      </c>
      <c r="N473" s="8" t="str">
        <f>TEXT(Clean_Data[[#This Row],[OrderDate]],"mmm")</f>
        <v>Nov</v>
      </c>
      <c r="O473" s="8" t="str">
        <f>TEXT(Clean_Data[[#This Row],[OrderDate]], "yyyy-mm")</f>
        <v>2018-11</v>
      </c>
      <c r="P473" s="7">
        <f>Clean_Data[[#This Row],[Profit]]/Clean_Data[[#This Row],[Revenue ]]</f>
        <v>0.42307692307692307</v>
      </c>
      <c r="Q473" t="str">
        <f>"Q"&amp;ROUNDUP(MONTH(Clean_Data[[#This Row],[OrderDate]])/3,0)</f>
        <v>Q4</v>
      </c>
      <c r="R473" t="str">
        <f>TEXT(Clean_Data[[#This Row],[OrderDate]], "dddd")</f>
        <v>Thursday</v>
      </c>
    </row>
    <row r="474" spans="1:18" x14ac:dyDescent="0.25">
      <c r="A474" t="s">
        <v>313</v>
      </c>
      <c r="B474" s="4">
        <v>185</v>
      </c>
      <c r="C474" s="4">
        <v>-26</v>
      </c>
      <c r="D474" s="3">
        <v>6</v>
      </c>
      <c r="E474" t="s">
        <v>888</v>
      </c>
      <c r="F474" t="s">
        <v>889</v>
      </c>
      <c r="G474" t="s">
        <v>887</v>
      </c>
      <c r="H474" s="6">
        <f>_xlfn.XLOOKUP(A474,Orders[OrderID],Orders[OrderDate])</f>
        <v>43187</v>
      </c>
      <c r="I474" t="str">
        <f>_xlfn.XLOOKUP(A474,Orders[OrderID],Orders[CustomerName])</f>
        <v>Vini</v>
      </c>
      <c r="J474" t="str">
        <f>_xlfn.XLOOKUP(A474,Orders[OrderID],Orders[State])</f>
        <v>Karnataka</v>
      </c>
      <c r="K474" t="str">
        <f>_xlfn.XLOOKUP(A474,Orders[OrderID],Orders[City])</f>
        <v>Bangalore</v>
      </c>
      <c r="L474" s="3">
        <f>YEAR(Clean_Data[[#This Row],[OrderDate]])</f>
        <v>2018</v>
      </c>
      <c r="M474" s="3">
        <f>MONTH(Clean_Data[[#This Row],[OrderDate]])</f>
        <v>3</v>
      </c>
      <c r="N474" s="8" t="str">
        <f>TEXT(Clean_Data[[#This Row],[OrderDate]],"mmm")</f>
        <v>Mar</v>
      </c>
      <c r="O474" s="8" t="str">
        <f>TEXT(Clean_Data[[#This Row],[OrderDate]], "yyyy-mm")</f>
        <v>2018-03</v>
      </c>
      <c r="P474" s="7">
        <f>Clean_Data[[#This Row],[Profit]]/Clean_Data[[#This Row],[Revenue ]]</f>
        <v>-0.14054054054054055</v>
      </c>
      <c r="Q474" t="str">
        <f>"Q"&amp;ROUNDUP(MONTH(Clean_Data[[#This Row],[OrderDate]])/3,0)</f>
        <v>Q1</v>
      </c>
      <c r="R474" t="str">
        <f>TEXT(Clean_Data[[#This Row],[OrderDate]], "dddd")</f>
        <v>Wednesday</v>
      </c>
    </row>
    <row r="475" spans="1:18" x14ac:dyDescent="0.25">
      <c r="A475" t="s">
        <v>529</v>
      </c>
      <c r="B475" s="4">
        <v>248</v>
      </c>
      <c r="C475" s="4">
        <v>8</v>
      </c>
      <c r="D475" s="3">
        <v>2</v>
      </c>
      <c r="E475" t="s">
        <v>895</v>
      </c>
      <c r="F475" t="s">
        <v>897</v>
      </c>
      <c r="G475" t="s">
        <v>893</v>
      </c>
      <c r="H475" s="6">
        <f>_xlfn.XLOOKUP(A475,Orders[OrderID],Orders[OrderDate])</f>
        <v>43428</v>
      </c>
      <c r="I475" t="str">
        <f>_xlfn.XLOOKUP(A475,Orders[OrderID],Orders[CustomerName])</f>
        <v>Divyeshkumar</v>
      </c>
      <c r="J475" t="str">
        <f>_xlfn.XLOOKUP(A475,Orders[OrderID],Orders[State])</f>
        <v>Uttar Pradesh</v>
      </c>
      <c r="K475" t="str">
        <f>_xlfn.XLOOKUP(A475,Orders[OrderID],Orders[City])</f>
        <v>Prayagraj</v>
      </c>
      <c r="L475" s="3">
        <f>YEAR(Clean_Data[[#This Row],[OrderDate]])</f>
        <v>2018</v>
      </c>
      <c r="M475" s="3">
        <f>MONTH(Clean_Data[[#This Row],[OrderDate]])</f>
        <v>11</v>
      </c>
      <c r="N475" s="8" t="str">
        <f>TEXT(Clean_Data[[#This Row],[OrderDate]],"mmm")</f>
        <v>Nov</v>
      </c>
      <c r="O475" s="8" t="str">
        <f>TEXT(Clean_Data[[#This Row],[OrderDate]], "yyyy-mm")</f>
        <v>2018-11</v>
      </c>
      <c r="P475" s="7">
        <f>Clean_Data[[#This Row],[Profit]]/Clean_Data[[#This Row],[Revenue ]]</f>
        <v>3.2258064516129031E-2</v>
      </c>
      <c r="Q475" t="str">
        <f>"Q"&amp;ROUNDUP(MONTH(Clean_Data[[#This Row],[OrderDate]])/3,0)</f>
        <v>Q4</v>
      </c>
      <c r="R475" t="str">
        <f>TEXT(Clean_Data[[#This Row],[OrderDate]], "dddd")</f>
        <v>Saturday</v>
      </c>
    </row>
    <row r="476" spans="1:18" x14ac:dyDescent="0.25">
      <c r="A476" t="s">
        <v>765</v>
      </c>
      <c r="B476" s="4">
        <v>67</v>
      </c>
      <c r="C476" s="4">
        <v>9</v>
      </c>
      <c r="D476" s="3">
        <v>4</v>
      </c>
      <c r="E476" t="s">
        <v>895</v>
      </c>
      <c r="F476" t="s">
        <v>904</v>
      </c>
      <c r="G476" t="s">
        <v>907</v>
      </c>
      <c r="H476" s="6">
        <f>_xlfn.XLOOKUP(A476,Orders[OrderID],Orders[OrderDate])</f>
        <v>43153</v>
      </c>
      <c r="I476" t="str">
        <f>_xlfn.XLOOKUP(A476,Orders[OrderID],Orders[CustomerName])</f>
        <v>Deepak</v>
      </c>
      <c r="J476" t="str">
        <f>_xlfn.XLOOKUP(A476,Orders[OrderID],Orders[State])</f>
        <v>Madhya Pradesh</v>
      </c>
      <c r="K476" t="str">
        <f>_xlfn.XLOOKUP(A476,Orders[OrderID],Orders[City])</f>
        <v>Bhopal</v>
      </c>
      <c r="L476" s="3">
        <f>YEAR(Clean_Data[[#This Row],[OrderDate]])</f>
        <v>2018</v>
      </c>
      <c r="M476" s="3">
        <f>MONTH(Clean_Data[[#This Row],[OrderDate]])</f>
        <v>2</v>
      </c>
      <c r="N476" s="8" t="str">
        <f>TEXT(Clean_Data[[#This Row],[OrderDate]],"mmm")</f>
        <v>Feb</v>
      </c>
      <c r="O476" s="8" t="str">
        <f>TEXT(Clean_Data[[#This Row],[OrderDate]], "yyyy-mm")</f>
        <v>2018-02</v>
      </c>
      <c r="P476" s="7">
        <f>Clean_Data[[#This Row],[Profit]]/Clean_Data[[#This Row],[Revenue ]]</f>
        <v>0.13432835820895522</v>
      </c>
      <c r="Q476" t="str">
        <f>"Q"&amp;ROUNDUP(MONTH(Clean_Data[[#This Row],[OrderDate]])/3,0)</f>
        <v>Q1</v>
      </c>
      <c r="R476" t="str">
        <f>TEXT(Clean_Data[[#This Row],[OrderDate]], "dddd")</f>
        <v>Thursday</v>
      </c>
    </row>
    <row r="477" spans="1:18" x14ac:dyDescent="0.25">
      <c r="A477" t="s">
        <v>528</v>
      </c>
      <c r="B477" s="4">
        <v>248</v>
      </c>
      <c r="C477" s="4">
        <v>-70</v>
      </c>
      <c r="D477" s="3">
        <v>3</v>
      </c>
      <c r="E477" t="s">
        <v>888</v>
      </c>
      <c r="F477" t="s">
        <v>889</v>
      </c>
      <c r="G477" t="s">
        <v>893</v>
      </c>
      <c r="H477" s="6">
        <f>_xlfn.XLOOKUP(A477,Orders[OrderID],Orders[OrderDate])</f>
        <v>43349</v>
      </c>
      <c r="I477" t="str">
        <f>_xlfn.XLOOKUP(A477,Orders[OrderID],Orders[CustomerName])</f>
        <v>Shreya</v>
      </c>
      <c r="J477" t="str">
        <f>_xlfn.XLOOKUP(A477,Orders[OrderID],Orders[State])</f>
        <v xml:space="preserve">Kerala </v>
      </c>
      <c r="K477" t="str">
        <f>_xlfn.XLOOKUP(A477,Orders[OrderID],Orders[City])</f>
        <v>Thiruvananthapuram</v>
      </c>
      <c r="L477" s="3">
        <f>YEAR(Clean_Data[[#This Row],[OrderDate]])</f>
        <v>2018</v>
      </c>
      <c r="M477" s="3">
        <f>MONTH(Clean_Data[[#This Row],[OrderDate]])</f>
        <v>9</v>
      </c>
      <c r="N477" s="8" t="str">
        <f>TEXT(Clean_Data[[#This Row],[OrderDate]],"mmm")</f>
        <v>Sep</v>
      </c>
      <c r="O477" s="8" t="str">
        <f>TEXT(Clean_Data[[#This Row],[OrderDate]], "yyyy-mm")</f>
        <v>2018-09</v>
      </c>
      <c r="P477" s="7">
        <f>Clean_Data[[#This Row],[Profit]]/Clean_Data[[#This Row],[Revenue ]]</f>
        <v>-0.28225806451612906</v>
      </c>
      <c r="Q477" t="str">
        <f>"Q"&amp;ROUNDUP(MONTH(Clean_Data[[#This Row],[OrderDate]])/3,0)</f>
        <v>Q3</v>
      </c>
      <c r="R477" t="str">
        <f>TEXT(Clean_Data[[#This Row],[OrderDate]], "dddd")</f>
        <v>Thursday</v>
      </c>
    </row>
    <row r="478" spans="1:18" x14ac:dyDescent="0.25">
      <c r="A478" t="s">
        <v>501</v>
      </c>
      <c r="B478" s="4">
        <v>246</v>
      </c>
      <c r="C478" s="4">
        <v>61</v>
      </c>
      <c r="D478" s="3">
        <v>2</v>
      </c>
      <c r="E478" t="s">
        <v>888</v>
      </c>
      <c r="F478" t="s">
        <v>891</v>
      </c>
      <c r="G478" t="s">
        <v>893</v>
      </c>
      <c r="H478" s="6">
        <f>_xlfn.XLOOKUP(A478,Orders[OrderID],Orders[OrderDate])</f>
        <v>43404</v>
      </c>
      <c r="I478" t="str">
        <f>_xlfn.XLOOKUP(A478,Orders[OrderID],Orders[CustomerName])</f>
        <v>Sneha</v>
      </c>
      <c r="J478" t="str">
        <f>_xlfn.XLOOKUP(A478,Orders[OrderID],Orders[State])</f>
        <v>Karnataka</v>
      </c>
      <c r="K478" t="str">
        <f>_xlfn.XLOOKUP(A478,Orders[OrderID],Orders[City])</f>
        <v>Bangalore</v>
      </c>
      <c r="L478" s="3">
        <f>YEAR(Clean_Data[[#This Row],[OrderDate]])</f>
        <v>2018</v>
      </c>
      <c r="M478" s="3">
        <f>MONTH(Clean_Data[[#This Row],[OrderDate]])</f>
        <v>10</v>
      </c>
      <c r="N478" s="8" t="str">
        <f>TEXT(Clean_Data[[#This Row],[OrderDate]],"mmm")</f>
        <v>Oct</v>
      </c>
      <c r="O478" s="8" t="str">
        <f>TEXT(Clean_Data[[#This Row],[OrderDate]], "yyyy-mm")</f>
        <v>2018-10</v>
      </c>
      <c r="P478" s="7">
        <f>Clean_Data[[#This Row],[Profit]]/Clean_Data[[#This Row],[Revenue ]]</f>
        <v>0.24796747967479674</v>
      </c>
      <c r="Q478" t="str">
        <f>"Q"&amp;ROUNDUP(MONTH(Clean_Data[[#This Row],[OrderDate]])/3,0)</f>
        <v>Q4</v>
      </c>
      <c r="R478" t="str">
        <f>TEXT(Clean_Data[[#This Row],[OrderDate]], "dddd")</f>
        <v>Wednesday</v>
      </c>
    </row>
    <row r="479" spans="1:18" x14ac:dyDescent="0.25">
      <c r="A479" t="s">
        <v>580</v>
      </c>
      <c r="B479" s="4">
        <v>179</v>
      </c>
      <c r="C479" s="4">
        <v>-25</v>
      </c>
      <c r="D479" s="3">
        <v>5</v>
      </c>
      <c r="E479" t="s">
        <v>895</v>
      </c>
      <c r="F479" t="s">
        <v>900</v>
      </c>
      <c r="G479" t="s">
        <v>887</v>
      </c>
      <c r="H479" s="6">
        <f>_xlfn.XLOOKUP(A479,Orders[OrderID],Orders[OrderDate])</f>
        <v>43446</v>
      </c>
      <c r="I479" t="str">
        <f>_xlfn.XLOOKUP(A479,Orders[OrderID],Orders[CustomerName])</f>
        <v>Pradeep</v>
      </c>
      <c r="J479" t="str">
        <f>_xlfn.XLOOKUP(A479,Orders[OrderID],Orders[State])</f>
        <v>Delhi</v>
      </c>
      <c r="K479" t="str">
        <f>_xlfn.XLOOKUP(A479,Orders[OrderID],Orders[City])</f>
        <v>Delhi</v>
      </c>
      <c r="L479" s="3">
        <f>YEAR(Clean_Data[[#This Row],[OrderDate]])</f>
        <v>2018</v>
      </c>
      <c r="M479" s="3">
        <f>MONTH(Clean_Data[[#This Row],[OrderDate]])</f>
        <v>12</v>
      </c>
      <c r="N479" s="8" t="str">
        <f>TEXT(Clean_Data[[#This Row],[OrderDate]],"mmm")</f>
        <v>Dec</v>
      </c>
      <c r="O479" s="8" t="str">
        <f>TEXT(Clean_Data[[#This Row],[OrderDate]], "yyyy-mm")</f>
        <v>2018-12</v>
      </c>
      <c r="P479" s="7">
        <f>Clean_Data[[#This Row],[Profit]]/Clean_Data[[#This Row],[Revenue ]]</f>
        <v>-0.13966480446927373</v>
      </c>
      <c r="Q479" t="str">
        <f>"Q"&amp;ROUNDUP(MONTH(Clean_Data[[#This Row],[OrderDate]])/3,0)</f>
        <v>Q4</v>
      </c>
      <c r="R479" t="str">
        <f>TEXT(Clean_Data[[#This Row],[OrderDate]], "dddd")</f>
        <v>Wednesday</v>
      </c>
    </row>
    <row r="480" spans="1:18" x14ac:dyDescent="0.25">
      <c r="A480" t="s">
        <v>585</v>
      </c>
      <c r="B480" s="4">
        <v>176</v>
      </c>
      <c r="C480" s="4">
        <v>-28</v>
      </c>
      <c r="D480" s="3">
        <v>5</v>
      </c>
      <c r="E480" t="s">
        <v>888</v>
      </c>
      <c r="F480" t="s">
        <v>908</v>
      </c>
      <c r="G480" t="s">
        <v>887</v>
      </c>
      <c r="H480" s="6">
        <f>_xlfn.XLOOKUP(A480,Orders[OrderID],Orders[OrderDate])</f>
        <v>43158</v>
      </c>
      <c r="I480" t="str">
        <f>_xlfn.XLOOKUP(A480,Orders[OrderID],Orders[CustomerName])</f>
        <v>Ritu</v>
      </c>
      <c r="J480" t="str">
        <f>_xlfn.XLOOKUP(A480,Orders[OrderID],Orders[State])</f>
        <v>Haryana</v>
      </c>
      <c r="K480" t="str">
        <f>_xlfn.XLOOKUP(A480,Orders[OrderID],Orders[City])</f>
        <v>Chandigarh</v>
      </c>
      <c r="L480" s="3">
        <f>YEAR(Clean_Data[[#This Row],[OrderDate]])</f>
        <v>2018</v>
      </c>
      <c r="M480" s="3">
        <f>MONTH(Clean_Data[[#This Row],[OrderDate]])</f>
        <v>2</v>
      </c>
      <c r="N480" s="8" t="str">
        <f>TEXT(Clean_Data[[#This Row],[OrderDate]],"mmm")</f>
        <v>Feb</v>
      </c>
      <c r="O480" s="8" t="str">
        <f>TEXT(Clean_Data[[#This Row],[OrderDate]], "yyyy-mm")</f>
        <v>2018-02</v>
      </c>
      <c r="P480" s="7">
        <f>Clean_Data[[#This Row],[Profit]]/Clean_Data[[#This Row],[Revenue ]]</f>
        <v>-0.15909090909090909</v>
      </c>
      <c r="Q480" t="str">
        <f>"Q"&amp;ROUNDUP(MONTH(Clean_Data[[#This Row],[OrderDate]])/3,0)</f>
        <v>Q1</v>
      </c>
      <c r="R480" t="str">
        <f>TEXT(Clean_Data[[#This Row],[OrderDate]], "dddd")</f>
        <v>Tuesday</v>
      </c>
    </row>
    <row r="481" spans="1:18" x14ac:dyDescent="0.25">
      <c r="A481" t="s">
        <v>376</v>
      </c>
      <c r="B481" s="4">
        <v>176</v>
      </c>
      <c r="C481" s="4">
        <v>-13</v>
      </c>
      <c r="D481" s="3">
        <v>5</v>
      </c>
      <c r="E481" t="s">
        <v>888</v>
      </c>
      <c r="F481" t="s">
        <v>908</v>
      </c>
      <c r="G481" t="s">
        <v>887</v>
      </c>
      <c r="H481" s="6">
        <f>_xlfn.XLOOKUP(A481,Orders[OrderID],Orders[OrderDate])</f>
        <v>43142</v>
      </c>
      <c r="I481" t="str">
        <f>_xlfn.XLOOKUP(A481,Orders[OrderID],Orders[CustomerName])</f>
        <v>Kartikay</v>
      </c>
      <c r="J481" t="str">
        <f>_xlfn.XLOOKUP(A481,Orders[OrderID],Orders[State])</f>
        <v>Bihar</v>
      </c>
      <c r="K481" t="str">
        <f>_xlfn.XLOOKUP(A481,Orders[OrderID],Orders[City])</f>
        <v>Patna</v>
      </c>
      <c r="L481" s="3">
        <f>YEAR(Clean_Data[[#This Row],[OrderDate]])</f>
        <v>2018</v>
      </c>
      <c r="M481" s="3">
        <f>MONTH(Clean_Data[[#This Row],[OrderDate]])</f>
        <v>2</v>
      </c>
      <c r="N481" s="8" t="str">
        <f>TEXT(Clean_Data[[#This Row],[OrderDate]],"mmm")</f>
        <v>Feb</v>
      </c>
      <c r="O481" s="8" t="str">
        <f>TEXT(Clean_Data[[#This Row],[OrderDate]], "yyyy-mm")</f>
        <v>2018-02</v>
      </c>
      <c r="P481" s="7">
        <f>Clean_Data[[#This Row],[Profit]]/Clean_Data[[#This Row],[Revenue ]]</f>
        <v>-7.3863636363636367E-2</v>
      </c>
      <c r="Q481" t="str">
        <f>"Q"&amp;ROUNDUP(MONTH(Clean_Data[[#This Row],[OrderDate]])/3,0)</f>
        <v>Q1</v>
      </c>
      <c r="R481" t="str">
        <f>TEXT(Clean_Data[[#This Row],[OrderDate]], "dddd")</f>
        <v>Sunday</v>
      </c>
    </row>
    <row r="482" spans="1:18" x14ac:dyDescent="0.25">
      <c r="A482" t="s">
        <v>489</v>
      </c>
      <c r="B482" s="4">
        <v>68</v>
      </c>
      <c r="C482" s="4">
        <v>-62</v>
      </c>
      <c r="D482" s="3">
        <v>2</v>
      </c>
      <c r="E482" t="s">
        <v>895</v>
      </c>
      <c r="F482" t="s">
        <v>896</v>
      </c>
      <c r="G482" t="s">
        <v>907</v>
      </c>
      <c r="H482" s="6">
        <f>_xlfn.XLOOKUP(A482,Orders[OrderID],Orders[OrderDate])</f>
        <v>43217</v>
      </c>
      <c r="I482" t="str">
        <f>_xlfn.XLOOKUP(A482,Orders[OrderID],Orders[CustomerName])</f>
        <v>Paridhi</v>
      </c>
      <c r="J482" t="str">
        <f>_xlfn.XLOOKUP(A482,Orders[OrderID],Orders[State])</f>
        <v>Rajasthan</v>
      </c>
      <c r="K482" t="str">
        <f>_xlfn.XLOOKUP(A482,Orders[OrderID],Orders[City])</f>
        <v>Jaipur</v>
      </c>
      <c r="L482" s="3">
        <f>YEAR(Clean_Data[[#This Row],[OrderDate]])</f>
        <v>2018</v>
      </c>
      <c r="M482" s="3">
        <f>MONTH(Clean_Data[[#This Row],[OrderDate]])</f>
        <v>4</v>
      </c>
      <c r="N482" s="8" t="str">
        <f>TEXT(Clean_Data[[#This Row],[OrderDate]],"mmm")</f>
        <v>Apr</v>
      </c>
      <c r="O482" s="8" t="str">
        <f>TEXT(Clean_Data[[#This Row],[OrderDate]], "yyyy-mm")</f>
        <v>2018-04</v>
      </c>
      <c r="P482" s="7">
        <f>Clean_Data[[#This Row],[Profit]]/Clean_Data[[#This Row],[Revenue ]]</f>
        <v>-0.91176470588235292</v>
      </c>
      <c r="Q482" t="str">
        <f>"Q"&amp;ROUNDUP(MONTH(Clean_Data[[#This Row],[OrderDate]])/3,0)</f>
        <v>Q2</v>
      </c>
      <c r="R482" t="str">
        <f>TEXT(Clean_Data[[#This Row],[OrderDate]], "dddd")</f>
        <v>Friday</v>
      </c>
    </row>
    <row r="483" spans="1:18" x14ac:dyDescent="0.25">
      <c r="A483" t="s">
        <v>584</v>
      </c>
      <c r="B483" s="4">
        <v>176</v>
      </c>
      <c r="C483" s="4">
        <v>37</v>
      </c>
      <c r="D483" s="3">
        <v>6</v>
      </c>
      <c r="E483" t="s">
        <v>885</v>
      </c>
      <c r="F483" t="s">
        <v>905</v>
      </c>
      <c r="G483" t="s">
        <v>887</v>
      </c>
      <c r="H483" s="6">
        <f>_xlfn.XLOOKUP(A483,Orders[OrderID],Orders[OrderDate])</f>
        <v>43367</v>
      </c>
      <c r="I483" t="str">
        <f>_xlfn.XLOOKUP(A483,Orders[OrderID],Orders[CustomerName])</f>
        <v>Aditya</v>
      </c>
      <c r="J483" t="str">
        <f>_xlfn.XLOOKUP(A483,Orders[OrderID],Orders[State])</f>
        <v>Himachal Pradesh</v>
      </c>
      <c r="K483" t="str">
        <f>_xlfn.XLOOKUP(A483,Orders[OrderID],Orders[City])</f>
        <v>Simla</v>
      </c>
      <c r="L483" s="3">
        <f>YEAR(Clean_Data[[#This Row],[OrderDate]])</f>
        <v>2018</v>
      </c>
      <c r="M483" s="3">
        <f>MONTH(Clean_Data[[#This Row],[OrderDate]])</f>
        <v>9</v>
      </c>
      <c r="N483" s="8" t="str">
        <f>TEXT(Clean_Data[[#This Row],[OrderDate]],"mmm")</f>
        <v>Sep</v>
      </c>
      <c r="O483" s="8" t="str">
        <f>TEXT(Clean_Data[[#This Row],[OrderDate]], "yyyy-mm")</f>
        <v>2018-09</v>
      </c>
      <c r="P483" s="7">
        <f>Clean_Data[[#This Row],[Profit]]/Clean_Data[[#This Row],[Revenue ]]</f>
        <v>0.21022727272727273</v>
      </c>
      <c r="Q483" t="str">
        <f>"Q"&amp;ROUNDUP(MONTH(Clean_Data[[#This Row],[OrderDate]])/3,0)</f>
        <v>Q3</v>
      </c>
      <c r="R483" t="str">
        <f>TEXT(Clean_Data[[#This Row],[OrderDate]], "dddd")</f>
        <v>Monday</v>
      </c>
    </row>
    <row r="484" spans="1:18" x14ac:dyDescent="0.25">
      <c r="A484" t="s">
        <v>499</v>
      </c>
      <c r="B484" s="4">
        <v>88</v>
      </c>
      <c r="C484" s="4">
        <v>11</v>
      </c>
      <c r="D484" s="3">
        <v>7</v>
      </c>
      <c r="E484" t="s">
        <v>895</v>
      </c>
      <c r="F484" t="s">
        <v>899</v>
      </c>
      <c r="G484" t="s">
        <v>898</v>
      </c>
      <c r="H484" s="6">
        <f>_xlfn.XLOOKUP(A484,Orders[OrderID],Orders[OrderDate])</f>
        <v>43131</v>
      </c>
      <c r="I484" t="str">
        <f>_xlfn.XLOOKUP(A484,Orders[OrderID],Orders[CustomerName])</f>
        <v>Manjiri</v>
      </c>
      <c r="J484" t="str">
        <f>_xlfn.XLOOKUP(A484,Orders[OrderID],Orders[State])</f>
        <v>Delhi</v>
      </c>
      <c r="K484" t="str">
        <f>_xlfn.XLOOKUP(A484,Orders[OrderID],Orders[City])</f>
        <v>Delhi</v>
      </c>
      <c r="L484" s="3">
        <f>YEAR(Clean_Data[[#This Row],[OrderDate]])</f>
        <v>2018</v>
      </c>
      <c r="M484" s="3">
        <f>MONTH(Clean_Data[[#This Row],[OrderDate]])</f>
        <v>1</v>
      </c>
      <c r="N484" s="8" t="str">
        <f>TEXT(Clean_Data[[#This Row],[OrderDate]],"mmm")</f>
        <v>Jan</v>
      </c>
      <c r="O484" s="8" t="str">
        <f>TEXT(Clean_Data[[#This Row],[OrderDate]], "yyyy-mm")</f>
        <v>2018-01</v>
      </c>
      <c r="P484" s="7">
        <f>Clean_Data[[#This Row],[Profit]]/Clean_Data[[#This Row],[Revenue ]]</f>
        <v>0.125</v>
      </c>
      <c r="Q484" t="str">
        <f>"Q"&amp;ROUNDUP(MONTH(Clean_Data[[#This Row],[OrderDate]])/3,0)</f>
        <v>Q1</v>
      </c>
      <c r="R484" t="str">
        <f>TEXT(Clean_Data[[#This Row],[OrderDate]], "dddd")</f>
        <v>Wednesday</v>
      </c>
    </row>
    <row r="485" spans="1:18" x14ac:dyDescent="0.25">
      <c r="A485" t="s">
        <v>764</v>
      </c>
      <c r="B485" s="4">
        <v>68</v>
      </c>
      <c r="C485" s="4">
        <v>20</v>
      </c>
      <c r="D485" s="3">
        <v>5</v>
      </c>
      <c r="E485" t="s">
        <v>895</v>
      </c>
      <c r="F485" t="s">
        <v>899</v>
      </c>
      <c r="G485" t="s">
        <v>907</v>
      </c>
      <c r="H485" s="6">
        <f>_xlfn.XLOOKUP(A485,Orders[OrderID],Orders[OrderDate])</f>
        <v>43205</v>
      </c>
      <c r="I485" t="str">
        <f>_xlfn.XLOOKUP(A485,Orders[OrderID],Orders[CustomerName])</f>
        <v>Bhavna</v>
      </c>
      <c r="J485" t="str">
        <f>_xlfn.XLOOKUP(A485,Orders[OrderID],Orders[State])</f>
        <v>Sikkim</v>
      </c>
      <c r="K485" t="str">
        <f>_xlfn.XLOOKUP(A485,Orders[OrderID],Orders[City])</f>
        <v>Gangtok</v>
      </c>
      <c r="L485" s="3">
        <f>YEAR(Clean_Data[[#This Row],[OrderDate]])</f>
        <v>2018</v>
      </c>
      <c r="M485" s="3">
        <f>MONTH(Clean_Data[[#This Row],[OrderDate]])</f>
        <v>4</v>
      </c>
      <c r="N485" s="8" t="str">
        <f>TEXT(Clean_Data[[#This Row],[OrderDate]],"mmm")</f>
        <v>Apr</v>
      </c>
      <c r="O485" s="8" t="str">
        <f>TEXT(Clean_Data[[#This Row],[OrderDate]], "yyyy-mm")</f>
        <v>2018-04</v>
      </c>
      <c r="P485" s="7">
        <f>Clean_Data[[#This Row],[Profit]]/Clean_Data[[#This Row],[Revenue ]]</f>
        <v>0.29411764705882354</v>
      </c>
      <c r="Q485" t="str">
        <f>"Q"&amp;ROUNDUP(MONTH(Clean_Data[[#This Row],[OrderDate]])/3,0)</f>
        <v>Q2</v>
      </c>
      <c r="R485" t="str">
        <f>TEXT(Clean_Data[[#This Row],[OrderDate]], "dddd")</f>
        <v>Sunday</v>
      </c>
    </row>
    <row r="486" spans="1:18" x14ac:dyDescent="0.25">
      <c r="A486" t="s">
        <v>42</v>
      </c>
      <c r="B486" s="4">
        <v>231</v>
      </c>
      <c r="C486" s="4">
        <v>99</v>
      </c>
      <c r="D486" s="3">
        <v>2</v>
      </c>
      <c r="E486" t="s">
        <v>885</v>
      </c>
      <c r="F486" t="s">
        <v>886</v>
      </c>
      <c r="G486" t="s">
        <v>893</v>
      </c>
      <c r="H486" s="6">
        <f>_xlfn.XLOOKUP(A486,Orders[OrderID],Orders[OrderDate])</f>
        <v>43135</v>
      </c>
      <c r="I486" t="str">
        <f>_xlfn.XLOOKUP(A486,Orders[OrderID],Orders[CustomerName])</f>
        <v>Yogesh</v>
      </c>
      <c r="J486" t="str">
        <f>_xlfn.XLOOKUP(A486,Orders[OrderID],Orders[State])</f>
        <v>Maharashtra</v>
      </c>
      <c r="K486" t="str">
        <f>_xlfn.XLOOKUP(A486,Orders[OrderID],Orders[City])</f>
        <v>Pune</v>
      </c>
      <c r="L486" s="3">
        <f>YEAR(Clean_Data[[#This Row],[OrderDate]])</f>
        <v>2018</v>
      </c>
      <c r="M486" s="3">
        <f>MONTH(Clean_Data[[#This Row],[OrderDate]])</f>
        <v>2</v>
      </c>
      <c r="N486" s="8" t="str">
        <f>TEXT(Clean_Data[[#This Row],[OrderDate]],"mmm")</f>
        <v>Feb</v>
      </c>
      <c r="O486" s="8" t="str">
        <f>TEXT(Clean_Data[[#This Row],[OrderDate]], "yyyy-mm")</f>
        <v>2018-02</v>
      </c>
      <c r="P486" s="7">
        <f>Clean_Data[[#This Row],[Profit]]/Clean_Data[[#This Row],[Revenue ]]</f>
        <v>0.42857142857142855</v>
      </c>
      <c r="Q486" t="str">
        <f>"Q"&amp;ROUNDUP(MONTH(Clean_Data[[#This Row],[OrderDate]])/3,0)</f>
        <v>Q1</v>
      </c>
      <c r="R486" t="str">
        <f>TEXT(Clean_Data[[#This Row],[OrderDate]], "dddd")</f>
        <v>Sunday</v>
      </c>
    </row>
    <row r="487" spans="1:18" x14ac:dyDescent="0.25">
      <c r="A487" t="s">
        <v>246</v>
      </c>
      <c r="B487" s="4">
        <v>62</v>
      </c>
      <c r="C487" s="4">
        <v>8</v>
      </c>
      <c r="D487" s="3">
        <v>2</v>
      </c>
      <c r="E487" t="s">
        <v>895</v>
      </c>
      <c r="F487" t="s">
        <v>906</v>
      </c>
      <c r="G487" t="s">
        <v>898</v>
      </c>
      <c r="H487" s="6">
        <f>_xlfn.XLOOKUP(A487,Orders[OrderID],Orders[OrderDate])</f>
        <v>43128</v>
      </c>
      <c r="I487" t="str">
        <f>_xlfn.XLOOKUP(A487,Orders[OrderID],Orders[CustomerName])</f>
        <v>Amruta</v>
      </c>
      <c r="J487" t="str">
        <f>_xlfn.XLOOKUP(A487,Orders[OrderID],Orders[State])</f>
        <v>Delhi</v>
      </c>
      <c r="K487" t="str">
        <f>_xlfn.XLOOKUP(A487,Orders[OrderID],Orders[City])</f>
        <v>Delhi</v>
      </c>
      <c r="L487" s="3">
        <f>YEAR(Clean_Data[[#This Row],[OrderDate]])</f>
        <v>2018</v>
      </c>
      <c r="M487" s="3">
        <f>MONTH(Clean_Data[[#This Row],[OrderDate]])</f>
        <v>1</v>
      </c>
      <c r="N487" s="8" t="str">
        <f>TEXT(Clean_Data[[#This Row],[OrderDate]],"mmm")</f>
        <v>Jan</v>
      </c>
      <c r="O487" s="8" t="str">
        <f>TEXT(Clean_Data[[#This Row],[OrderDate]], "yyyy-mm")</f>
        <v>2018-01</v>
      </c>
      <c r="P487" s="7">
        <f>Clean_Data[[#This Row],[Profit]]/Clean_Data[[#This Row],[Revenue ]]</f>
        <v>0.12903225806451613</v>
      </c>
      <c r="Q487" t="str">
        <f>"Q"&amp;ROUNDUP(MONTH(Clean_Data[[#This Row],[OrderDate]])/3,0)</f>
        <v>Q1</v>
      </c>
      <c r="R487" t="str">
        <f>TEXT(Clean_Data[[#This Row],[OrderDate]], "dddd")</f>
        <v>Sunday</v>
      </c>
    </row>
    <row r="488" spans="1:18" x14ac:dyDescent="0.25">
      <c r="A488" t="s">
        <v>352</v>
      </c>
      <c r="B488" s="4">
        <v>175</v>
      </c>
      <c r="C488" s="4">
        <v>77</v>
      </c>
      <c r="D488" s="3">
        <v>3</v>
      </c>
      <c r="E488" t="s">
        <v>895</v>
      </c>
      <c r="F488" t="s">
        <v>897</v>
      </c>
      <c r="G488" t="s">
        <v>887</v>
      </c>
      <c r="H488" s="6">
        <f>_xlfn.XLOOKUP(A488,Orders[OrderID],Orders[OrderDate])</f>
        <v>43367</v>
      </c>
      <c r="I488" t="str">
        <f>_xlfn.XLOOKUP(A488,Orders[OrderID],Orders[CustomerName])</f>
        <v>Avish</v>
      </c>
      <c r="J488" t="str">
        <f>_xlfn.XLOOKUP(A488,Orders[OrderID],Orders[State])</f>
        <v xml:space="preserve">Kerala </v>
      </c>
      <c r="K488" t="str">
        <f>_xlfn.XLOOKUP(A488,Orders[OrderID],Orders[City])</f>
        <v>Thiruvananthapuram</v>
      </c>
      <c r="L488" s="3">
        <f>YEAR(Clean_Data[[#This Row],[OrderDate]])</f>
        <v>2018</v>
      </c>
      <c r="M488" s="3">
        <f>MONTH(Clean_Data[[#This Row],[OrderDate]])</f>
        <v>9</v>
      </c>
      <c r="N488" s="8" t="str">
        <f>TEXT(Clean_Data[[#This Row],[OrderDate]],"mmm")</f>
        <v>Sep</v>
      </c>
      <c r="O488" s="8" t="str">
        <f>TEXT(Clean_Data[[#This Row],[OrderDate]], "yyyy-mm")</f>
        <v>2018-09</v>
      </c>
      <c r="P488" s="7">
        <f>Clean_Data[[#This Row],[Profit]]/Clean_Data[[#This Row],[Revenue ]]</f>
        <v>0.44</v>
      </c>
      <c r="Q488" t="str">
        <f>"Q"&amp;ROUNDUP(MONTH(Clean_Data[[#This Row],[OrderDate]])/3,0)</f>
        <v>Q3</v>
      </c>
      <c r="R488" t="str">
        <f>TEXT(Clean_Data[[#This Row],[OrderDate]], "dddd")</f>
        <v>Monday</v>
      </c>
    </row>
    <row r="489" spans="1:18" x14ac:dyDescent="0.25">
      <c r="A489" t="s">
        <v>226</v>
      </c>
      <c r="B489" s="4">
        <v>71</v>
      </c>
      <c r="C489" s="4">
        <v>4</v>
      </c>
      <c r="D489" s="3">
        <v>5</v>
      </c>
      <c r="E489" t="s">
        <v>895</v>
      </c>
      <c r="F489" t="s">
        <v>904</v>
      </c>
      <c r="G489" t="s">
        <v>907</v>
      </c>
      <c r="H489" s="6">
        <f>_xlfn.XLOOKUP(A489,Orders[OrderID],Orders[OrderDate])</f>
        <v>43131</v>
      </c>
      <c r="I489" t="str">
        <f>_xlfn.XLOOKUP(A489,Orders[OrderID],Orders[CustomerName])</f>
        <v>Shweta</v>
      </c>
      <c r="J489" t="str">
        <f>_xlfn.XLOOKUP(A489,Orders[OrderID],Orders[State])</f>
        <v>Rajasthan</v>
      </c>
      <c r="K489" t="str">
        <f>_xlfn.XLOOKUP(A489,Orders[OrderID],Orders[City])</f>
        <v>Udaipur</v>
      </c>
      <c r="L489" s="3">
        <f>YEAR(Clean_Data[[#This Row],[OrderDate]])</f>
        <v>2018</v>
      </c>
      <c r="M489" s="3">
        <f>MONTH(Clean_Data[[#This Row],[OrderDate]])</f>
        <v>1</v>
      </c>
      <c r="N489" s="8" t="str">
        <f>TEXT(Clean_Data[[#This Row],[OrderDate]],"mmm")</f>
        <v>Jan</v>
      </c>
      <c r="O489" s="8" t="str">
        <f>TEXT(Clean_Data[[#This Row],[OrderDate]], "yyyy-mm")</f>
        <v>2018-01</v>
      </c>
      <c r="P489" s="7">
        <f>Clean_Data[[#This Row],[Profit]]/Clean_Data[[#This Row],[Revenue ]]</f>
        <v>5.6338028169014086E-2</v>
      </c>
      <c r="Q489" t="str">
        <f>"Q"&amp;ROUNDUP(MONTH(Clean_Data[[#This Row],[OrderDate]])/3,0)</f>
        <v>Q1</v>
      </c>
      <c r="R489" t="str">
        <f>TEXT(Clean_Data[[#This Row],[OrderDate]], "dddd")</f>
        <v>Wednesday</v>
      </c>
    </row>
    <row r="490" spans="1:18" x14ac:dyDescent="0.25">
      <c r="A490" t="s">
        <v>553</v>
      </c>
      <c r="B490" s="4">
        <v>174</v>
      </c>
      <c r="C490" s="4">
        <v>-70</v>
      </c>
      <c r="D490" s="3">
        <v>3</v>
      </c>
      <c r="E490" t="s">
        <v>885</v>
      </c>
      <c r="F490" t="s">
        <v>905</v>
      </c>
      <c r="G490" t="s">
        <v>887</v>
      </c>
      <c r="H490" s="6">
        <f>_xlfn.XLOOKUP(A490,Orders[OrderID],Orders[OrderDate])</f>
        <v>43228</v>
      </c>
      <c r="I490" t="str">
        <f>_xlfn.XLOOKUP(A490,Orders[OrderID],Orders[CustomerName])</f>
        <v>Tushina</v>
      </c>
      <c r="J490" t="str">
        <f>_xlfn.XLOOKUP(A490,Orders[OrderID],Orders[State])</f>
        <v>Goa</v>
      </c>
      <c r="K490" t="str">
        <f>_xlfn.XLOOKUP(A490,Orders[OrderID],Orders[City])</f>
        <v>Goa</v>
      </c>
      <c r="L490" s="3">
        <f>YEAR(Clean_Data[[#This Row],[OrderDate]])</f>
        <v>2018</v>
      </c>
      <c r="M490" s="3">
        <f>MONTH(Clean_Data[[#This Row],[OrderDate]])</f>
        <v>5</v>
      </c>
      <c r="N490" s="8" t="str">
        <f>TEXT(Clean_Data[[#This Row],[OrderDate]],"mmm")</f>
        <v>May</v>
      </c>
      <c r="O490" s="8" t="str">
        <f>TEXT(Clean_Data[[#This Row],[OrderDate]], "yyyy-mm")</f>
        <v>2018-05</v>
      </c>
      <c r="P490" s="7">
        <f>Clean_Data[[#This Row],[Profit]]/Clean_Data[[#This Row],[Revenue ]]</f>
        <v>-0.40229885057471265</v>
      </c>
      <c r="Q490" t="str">
        <f>"Q"&amp;ROUNDUP(MONTH(Clean_Data[[#This Row],[OrderDate]])/3,0)</f>
        <v>Q2</v>
      </c>
      <c r="R490" t="str">
        <f>TEXT(Clean_Data[[#This Row],[OrderDate]], "dddd")</f>
        <v>Tuesday</v>
      </c>
    </row>
    <row r="491" spans="1:18" x14ac:dyDescent="0.25">
      <c r="A491" t="s">
        <v>219</v>
      </c>
      <c r="B491" s="4">
        <v>173</v>
      </c>
      <c r="C491" s="4">
        <v>69</v>
      </c>
      <c r="D491" s="3">
        <v>3</v>
      </c>
      <c r="E491" t="s">
        <v>888</v>
      </c>
      <c r="F491" t="s">
        <v>889</v>
      </c>
      <c r="G491" t="s">
        <v>887</v>
      </c>
      <c r="H491" s="6">
        <f>_xlfn.XLOOKUP(A491,Orders[OrderID],Orders[OrderDate])</f>
        <v>43113</v>
      </c>
      <c r="I491" t="str">
        <f>_xlfn.XLOOKUP(A491,Orders[OrderID],Orders[CustomerName])</f>
        <v>Priyanka</v>
      </c>
      <c r="J491" t="str">
        <f>_xlfn.XLOOKUP(A491,Orders[OrderID],Orders[State])</f>
        <v>Madhya Pradesh</v>
      </c>
      <c r="K491" t="str">
        <f>_xlfn.XLOOKUP(A491,Orders[OrderID],Orders[City])</f>
        <v>Indore</v>
      </c>
      <c r="L491" s="3">
        <f>YEAR(Clean_Data[[#This Row],[OrderDate]])</f>
        <v>2018</v>
      </c>
      <c r="M491" s="3">
        <f>MONTH(Clean_Data[[#This Row],[OrderDate]])</f>
        <v>1</v>
      </c>
      <c r="N491" s="8" t="str">
        <f>TEXT(Clean_Data[[#This Row],[OrderDate]],"mmm")</f>
        <v>Jan</v>
      </c>
      <c r="O491" s="8" t="str">
        <f>TEXT(Clean_Data[[#This Row],[OrderDate]], "yyyy-mm")</f>
        <v>2018-01</v>
      </c>
      <c r="P491" s="7">
        <f>Clean_Data[[#This Row],[Profit]]/Clean_Data[[#This Row],[Revenue ]]</f>
        <v>0.39884393063583817</v>
      </c>
      <c r="Q491" t="str">
        <f>"Q"&amp;ROUNDUP(MONTH(Clean_Data[[#This Row],[OrderDate]])/3,0)</f>
        <v>Q1</v>
      </c>
      <c r="R491" t="str">
        <f>TEXT(Clean_Data[[#This Row],[OrderDate]], "dddd")</f>
        <v>Saturday</v>
      </c>
    </row>
    <row r="492" spans="1:18" x14ac:dyDescent="0.25">
      <c r="A492" t="s">
        <v>230</v>
      </c>
      <c r="B492" s="4">
        <v>171</v>
      </c>
      <c r="C492" s="4">
        <v>2</v>
      </c>
      <c r="D492" s="3">
        <v>2</v>
      </c>
      <c r="E492" t="s">
        <v>885</v>
      </c>
      <c r="F492" t="s">
        <v>886</v>
      </c>
      <c r="G492" t="s">
        <v>887</v>
      </c>
      <c r="H492" s="6">
        <f>_xlfn.XLOOKUP(A492,Orders[OrderID],Orders[OrderDate])</f>
        <v>43441</v>
      </c>
      <c r="I492" t="str">
        <f>_xlfn.XLOOKUP(A492,Orders[OrderID],Orders[CustomerName])</f>
        <v>Abhishek</v>
      </c>
      <c r="J492" t="str">
        <f>_xlfn.XLOOKUP(A492,Orders[OrderID],Orders[State])</f>
        <v>Rajasthan</v>
      </c>
      <c r="K492" t="str">
        <f>_xlfn.XLOOKUP(A492,Orders[OrderID],Orders[City])</f>
        <v>Udaipur</v>
      </c>
      <c r="L492" s="3">
        <f>YEAR(Clean_Data[[#This Row],[OrderDate]])</f>
        <v>2018</v>
      </c>
      <c r="M492" s="3">
        <f>MONTH(Clean_Data[[#This Row],[OrderDate]])</f>
        <v>12</v>
      </c>
      <c r="N492" s="8" t="str">
        <f>TEXT(Clean_Data[[#This Row],[OrderDate]],"mmm")</f>
        <v>Dec</v>
      </c>
      <c r="O492" s="8" t="str">
        <f>TEXT(Clean_Data[[#This Row],[OrderDate]], "yyyy-mm")</f>
        <v>2018-12</v>
      </c>
      <c r="P492" s="7">
        <f>Clean_Data[[#This Row],[Profit]]/Clean_Data[[#This Row],[Revenue ]]</f>
        <v>1.1695906432748537E-2</v>
      </c>
      <c r="Q492" t="str">
        <f>"Q"&amp;ROUNDUP(MONTH(Clean_Data[[#This Row],[OrderDate]])/3,0)</f>
        <v>Q4</v>
      </c>
      <c r="R492" t="str">
        <f>TEXT(Clean_Data[[#This Row],[OrderDate]], "dddd")</f>
        <v>Friday</v>
      </c>
    </row>
    <row r="493" spans="1:18" x14ac:dyDescent="0.25">
      <c r="A493" t="s">
        <v>347</v>
      </c>
      <c r="B493" s="4">
        <v>268</v>
      </c>
      <c r="C493" s="4">
        <v>-25</v>
      </c>
      <c r="D493" s="3">
        <v>3</v>
      </c>
      <c r="E493" t="s">
        <v>895</v>
      </c>
      <c r="F493" t="s">
        <v>897</v>
      </c>
      <c r="G493" t="s">
        <v>887</v>
      </c>
      <c r="H493" s="6">
        <f>_xlfn.XLOOKUP(A493,Orders[OrderID],Orders[OrderDate])</f>
        <v>43358</v>
      </c>
      <c r="I493" t="str">
        <f>_xlfn.XLOOKUP(A493,Orders[OrderID],Orders[CustomerName])</f>
        <v>Ayush</v>
      </c>
      <c r="J493" t="str">
        <f>_xlfn.XLOOKUP(A493,Orders[OrderID],Orders[State])</f>
        <v>West Bengal</v>
      </c>
      <c r="K493" t="str">
        <f>_xlfn.XLOOKUP(A493,Orders[OrderID],Orders[City])</f>
        <v>Kolkata</v>
      </c>
      <c r="L493" s="3">
        <f>YEAR(Clean_Data[[#This Row],[OrderDate]])</f>
        <v>2018</v>
      </c>
      <c r="M493" s="3">
        <f>MONTH(Clean_Data[[#This Row],[OrderDate]])</f>
        <v>9</v>
      </c>
      <c r="N493" s="8" t="str">
        <f>TEXT(Clean_Data[[#This Row],[OrderDate]],"mmm")</f>
        <v>Sep</v>
      </c>
      <c r="O493" s="8" t="str">
        <f>TEXT(Clean_Data[[#This Row],[OrderDate]], "yyyy-mm")</f>
        <v>2018-09</v>
      </c>
      <c r="P493" s="7">
        <f>Clean_Data[[#This Row],[Profit]]/Clean_Data[[#This Row],[Revenue ]]</f>
        <v>-9.3283582089552244E-2</v>
      </c>
      <c r="Q493" t="str">
        <f>"Q"&amp;ROUNDUP(MONTH(Clean_Data[[#This Row],[OrderDate]])/3,0)</f>
        <v>Q3</v>
      </c>
      <c r="R493" t="str">
        <f>TEXT(Clean_Data[[#This Row],[OrderDate]], "dddd")</f>
        <v>Saturday</v>
      </c>
    </row>
    <row r="494" spans="1:18" x14ac:dyDescent="0.25">
      <c r="A494" t="s">
        <v>762</v>
      </c>
      <c r="B494" s="4">
        <v>71</v>
      </c>
      <c r="C494" s="4">
        <v>32</v>
      </c>
      <c r="D494" s="3">
        <v>3</v>
      </c>
      <c r="E494" t="s">
        <v>895</v>
      </c>
      <c r="F494" t="s">
        <v>897</v>
      </c>
      <c r="G494" t="s">
        <v>907</v>
      </c>
      <c r="H494" s="6">
        <f>_xlfn.XLOOKUP(A494,Orders[OrderID],Orders[OrderDate])</f>
        <v>43133</v>
      </c>
      <c r="I494" t="str">
        <f>_xlfn.XLOOKUP(A494,Orders[OrderID],Orders[CustomerName])</f>
        <v>Mugdha</v>
      </c>
      <c r="J494" t="str">
        <f>_xlfn.XLOOKUP(A494,Orders[OrderID],Orders[State])</f>
        <v>Delhi</v>
      </c>
      <c r="K494" t="str">
        <f>_xlfn.XLOOKUP(A494,Orders[OrderID],Orders[City])</f>
        <v>Delhi</v>
      </c>
      <c r="L494" s="3">
        <f>YEAR(Clean_Data[[#This Row],[OrderDate]])</f>
        <v>2018</v>
      </c>
      <c r="M494" s="3">
        <f>MONTH(Clean_Data[[#This Row],[OrderDate]])</f>
        <v>2</v>
      </c>
      <c r="N494" s="8" t="str">
        <f>TEXT(Clean_Data[[#This Row],[OrderDate]],"mmm")</f>
        <v>Feb</v>
      </c>
      <c r="O494" s="8" t="str">
        <f>TEXT(Clean_Data[[#This Row],[OrderDate]], "yyyy-mm")</f>
        <v>2018-02</v>
      </c>
      <c r="P494" s="7">
        <f>Clean_Data[[#This Row],[Profit]]/Clean_Data[[#This Row],[Revenue ]]</f>
        <v>0.45070422535211269</v>
      </c>
      <c r="Q494" t="str">
        <f>"Q"&amp;ROUNDUP(MONTH(Clean_Data[[#This Row],[OrderDate]])/3,0)</f>
        <v>Q1</v>
      </c>
      <c r="R494" t="str">
        <f>TEXT(Clean_Data[[#This Row],[OrderDate]], "dddd")</f>
        <v>Friday</v>
      </c>
    </row>
    <row r="495" spans="1:18" x14ac:dyDescent="0.25">
      <c r="A495" t="s">
        <v>609</v>
      </c>
      <c r="B495" s="4">
        <v>29</v>
      </c>
      <c r="C495" s="4">
        <v>10</v>
      </c>
      <c r="D495" s="3">
        <v>4</v>
      </c>
      <c r="E495" t="s">
        <v>895</v>
      </c>
      <c r="F495" t="s">
        <v>899</v>
      </c>
      <c r="G495" t="s">
        <v>898</v>
      </c>
      <c r="H495" s="6">
        <f>_xlfn.XLOOKUP(A495,Orders[OrderID],Orders[OrderDate])</f>
        <v>43186</v>
      </c>
      <c r="I495" t="str">
        <f>_xlfn.XLOOKUP(A495,Orders[OrderID],Orders[CustomerName])</f>
        <v>Manju</v>
      </c>
      <c r="J495" t="str">
        <f>_xlfn.XLOOKUP(A495,Orders[OrderID],Orders[State])</f>
        <v>Andhra Pradesh</v>
      </c>
      <c r="K495" t="str">
        <f>_xlfn.XLOOKUP(A495,Orders[OrderID],Orders[City])</f>
        <v>Hyderabad</v>
      </c>
      <c r="L495" s="3">
        <f>YEAR(Clean_Data[[#This Row],[OrderDate]])</f>
        <v>2018</v>
      </c>
      <c r="M495" s="3">
        <f>MONTH(Clean_Data[[#This Row],[OrderDate]])</f>
        <v>3</v>
      </c>
      <c r="N495" s="8" t="str">
        <f>TEXT(Clean_Data[[#This Row],[OrderDate]],"mmm")</f>
        <v>Mar</v>
      </c>
      <c r="O495" s="8" t="str">
        <f>TEXT(Clean_Data[[#This Row],[OrderDate]], "yyyy-mm")</f>
        <v>2018-03</v>
      </c>
      <c r="P495" s="7">
        <f>Clean_Data[[#This Row],[Profit]]/Clean_Data[[#This Row],[Revenue ]]</f>
        <v>0.34482758620689657</v>
      </c>
      <c r="Q495" t="str">
        <f>"Q"&amp;ROUNDUP(MONTH(Clean_Data[[#This Row],[OrderDate]])/3,0)</f>
        <v>Q1</v>
      </c>
      <c r="R495" t="str">
        <f>TEXT(Clean_Data[[#This Row],[OrderDate]], "dddd")</f>
        <v>Tuesday</v>
      </c>
    </row>
    <row r="496" spans="1:18" x14ac:dyDescent="0.25">
      <c r="A496" t="s">
        <v>610</v>
      </c>
      <c r="B496" s="4">
        <v>65</v>
      </c>
      <c r="C496" s="4">
        <v>17</v>
      </c>
      <c r="D496" s="3">
        <v>2</v>
      </c>
      <c r="E496" t="s">
        <v>895</v>
      </c>
      <c r="F496" t="s">
        <v>906</v>
      </c>
      <c r="G496" t="s">
        <v>898</v>
      </c>
      <c r="H496" s="6">
        <f>_xlfn.XLOOKUP(A496,Orders[OrderID],Orders[OrderDate])</f>
        <v>43193</v>
      </c>
      <c r="I496" t="str">
        <f>_xlfn.XLOOKUP(A496,Orders[OrderID],Orders[CustomerName])</f>
        <v>Divsha</v>
      </c>
      <c r="J496" t="str">
        <f>_xlfn.XLOOKUP(A496,Orders[OrderID],Orders[State])</f>
        <v>Rajasthan</v>
      </c>
      <c r="K496" t="str">
        <f>_xlfn.XLOOKUP(A496,Orders[OrderID],Orders[City])</f>
        <v>Jaipur</v>
      </c>
      <c r="L496" s="3">
        <f>YEAR(Clean_Data[[#This Row],[OrderDate]])</f>
        <v>2018</v>
      </c>
      <c r="M496" s="3">
        <f>MONTH(Clean_Data[[#This Row],[OrderDate]])</f>
        <v>4</v>
      </c>
      <c r="N496" s="8" t="str">
        <f>TEXT(Clean_Data[[#This Row],[OrderDate]],"mmm")</f>
        <v>Apr</v>
      </c>
      <c r="O496" s="8" t="str">
        <f>TEXT(Clean_Data[[#This Row],[OrderDate]], "yyyy-mm")</f>
        <v>2018-04</v>
      </c>
      <c r="P496" s="7">
        <f>Clean_Data[[#This Row],[Profit]]/Clean_Data[[#This Row],[Revenue ]]</f>
        <v>0.26153846153846155</v>
      </c>
      <c r="Q496" t="str">
        <f>"Q"&amp;ROUNDUP(MONTH(Clean_Data[[#This Row],[OrderDate]])/3,0)</f>
        <v>Q2</v>
      </c>
      <c r="R496" t="str">
        <f>TEXT(Clean_Data[[#This Row],[OrderDate]], "dddd")</f>
        <v>Tuesday</v>
      </c>
    </row>
    <row r="497" spans="1:18" x14ac:dyDescent="0.25">
      <c r="A497" t="s">
        <v>486</v>
      </c>
      <c r="B497" s="4">
        <v>72</v>
      </c>
      <c r="C497" s="4">
        <v>-46</v>
      </c>
      <c r="D497" s="3">
        <v>7</v>
      </c>
      <c r="E497" t="s">
        <v>895</v>
      </c>
      <c r="F497" t="s">
        <v>900</v>
      </c>
      <c r="G497" t="s">
        <v>907</v>
      </c>
      <c r="H497" s="6">
        <f>_xlfn.XLOOKUP(A497,Orders[OrderID],Orders[OrderDate])</f>
        <v>43330</v>
      </c>
      <c r="I497" t="str">
        <f>_xlfn.XLOOKUP(A497,Orders[OrderID],Orders[CustomerName])</f>
        <v>Akshay</v>
      </c>
      <c r="J497" t="str">
        <f>_xlfn.XLOOKUP(A497,Orders[OrderID],Orders[State])</f>
        <v>Bihar</v>
      </c>
      <c r="K497" t="str">
        <f>_xlfn.XLOOKUP(A497,Orders[OrderID],Orders[City])</f>
        <v>Patna</v>
      </c>
      <c r="L497" s="3">
        <f>YEAR(Clean_Data[[#This Row],[OrderDate]])</f>
        <v>2018</v>
      </c>
      <c r="M497" s="3">
        <f>MONTH(Clean_Data[[#This Row],[OrderDate]])</f>
        <v>8</v>
      </c>
      <c r="N497" s="8" t="str">
        <f>TEXT(Clean_Data[[#This Row],[OrderDate]],"mmm")</f>
        <v>Aug</v>
      </c>
      <c r="O497" s="8" t="str">
        <f>TEXT(Clean_Data[[#This Row],[OrderDate]], "yyyy-mm")</f>
        <v>2018-08</v>
      </c>
      <c r="P497" s="7">
        <f>Clean_Data[[#This Row],[Profit]]/Clean_Data[[#This Row],[Revenue ]]</f>
        <v>-0.63888888888888884</v>
      </c>
      <c r="Q497" t="str">
        <f>"Q"&amp;ROUNDUP(MONTH(Clean_Data[[#This Row],[OrderDate]])/3,0)</f>
        <v>Q3</v>
      </c>
      <c r="R497" t="str">
        <f>TEXT(Clean_Data[[#This Row],[OrderDate]], "dddd")</f>
        <v>Saturday</v>
      </c>
    </row>
    <row r="498" spans="1:18" x14ac:dyDescent="0.25">
      <c r="A498" t="s">
        <v>595</v>
      </c>
      <c r="B498" s="4">
        <v>168</v>
      </c>
      <c r="C498" s="4">
        <v>-51</v>
      </c>
      <c r="D498" s="3">
        <v>2</v>
      </c>
      <c r="E498" t="s">
        <v>888</v>
      </c>
      <c r="F498" t="s">
        <v>891</v>
      </c>
      <c r="G498" t="s">
        <v>887</v>
      </c>
      <c r="H498" s="6">
        <f>_xlfn.XLOOKUP(A498,Orders[OrderID],Orders[OrderDate])</f>
        <v>43300</v>
      </c>
      <c r="I498" t="str">
        <f>_xlfn.XLOOKUP(A498,Orders[OrderID],Orders[CustomerName])</f>
        <v>Sheetal</v>
      </c>
      <c r="J498" t="str">
        <f>_xlfn.XLOOKUP(A498,Orders[OrderID],Orders[State])</f>
        <v>Madhya Pradesh</v>
      </c>
      <c r="K498" t="str">
        <f>_xlfn.XLOOKUP(A498,Orders[OrderID],Orders[City])</f>
        <v>Indore</v>
      </c>
      <c r="L498" s="3">
        <f>YEAR(Clean_Data[[#This Row],[OrderDate]])</f>
        <v>2018</v>
      </c>
      <c r="M498" s="3">
        <f>MONTH(Clean_Data[[#This Row],[OrderDate]])</f>
        <v>7</v>
      </c>
      <c r="N498" s="8" t="str">
        <f>TEXT(Clean_Data[[#This Row],[OrderDate]],"mmm")</f>
        <v>Jul</v>
      </c>
      <c r="O498" s="8" t="str">
        <f>TEXT(Clean_Data[[#This Row],[OrderDate]], "yyyy-mm")</f>
        <v>2018-07</v>
      </c>
      <c r="P498" s="7">
        <f>Clean_Data[[#This Row],[Profit]]/Clean_Data[[#This Row],[Revenue ]]</f>
        <v>-0.30357142857142855</v>
      </c>
      <c r="Q498" t="str">
        <f>"Q"&amp;ROUNDUP(MONTH(Clean_Data[[#This Row],[OrderDate]])/3,0)</f>
        <v>Q3</v>
      </c>
      <c r="R498" t="str">
        <f>TEXT(Clean_Data[[#This Row],[OrderDate]], "dddd")</f>
        <v>Thursday</v>
      </c>
    </row>
    <row r="499" spans="1:18" x14ac:dyDescent="0.25">
      <c r="A499" t="s">
        <v>16</v>
      </c>
      <c r="B499" s="4">
        <v>165</v>
      </c>
      <c r="C499" s="4">
        <v>30</v>
      </c>
      <c r="D499" s="3">
        <v>3</v>
      </c>
      <c r="E499" t="s">
        <v>895</v>
      </c>
      <c r="F499" t="s">
        <v>903</v>
      </c>
      <c r="G499" t="s">
        <v>887</v>
      </c>
      <c r="H499" s="6">
        <f>_xlfn.XLOOKUP(A499,Orders[OrderID],Orders[OrderDate])</f>
        <v>43333</v>
      </c>
      <c r="I499" t="str">
        <f>_xlfn.XLOOKUP(A499,Orders[OrderID],Orders[CustomerName])</f>
        <v>Vishakha</v>
      </c>
      <c r="J499" t="str">
        <f>_xlfn.XLOOKUP(A499,Orders[OrderID],Orders[State])</f>
        <v>Madhya Pradesh</v>
      </c>
      <c r="K499" t="str">
        <f>_xlfn.XLOOKUP(A499,Orders[OrderID],Orders[City])</f>
        <v>Indore</v>
      </c>
      <c r="L499" s="3">
        <f>YEAR(Clean_Data[[#This Row],[OrderDate]])</f>
        <v>2018</v>
      </c>
      <c r="M499" s="3">
        <f>MONTH(Clean_Data[[#This Row],[OrderDate]])</f>
        <v>8</v>
      </c>
      <c r="N499" s="8" t="str">
        <f>TEXT(Clean_Data[[#This Row],[OrderDate]],"mmm")</f>
        <v>Aug</v>
      </c>
      <c r="O499" s="8" t="str">
        <f>TEXT(Clean_Data[[#This Row],[OrderDate]], "yyyy-mm")</f>
        <v>2018-08</v>
      </c>
      <c r="P499" s="7">
        <f>Clean_Data[[#This Row],[Profit]]/Clean_Data[[#This Row],[Revenue ]]</f>
        <v>0.18181818181818182</v>
      </c>
      <c r="Q499" t="str">
        <f>"Q"&amp;ROUNDUP(MONTH(Clean_Data[[#This Row],[OrderDate]])/3,0)</f>
        <v>Q3</v>
      </c>
      <c r="R499" t="str">
        <f>TEXT(Clean_Data[[#This Row],[OrderDate]], "dddd")</f>
        <v>Tuesday</v>
      </c>
    </row>
    <row r="500" spans="1:18" x14ac:dyDescent="0.25">
      <c r="A500" t="s">
        <v>497</v>
      </c>
      <c r="B500" s="4">
        <v>74</v>
      </c>
      <c r="C500" s="4">
        <v>-59</v>
      </c>
      <c r="D500" s="3">
        <v>2</v>
      </c>
      <c r="E500" t="s">
        <v>885</v>
      </c>
      <c r="F500" t="s">
        <v>905</v>
      </c>
      <c r="G500" t="s">
        <v>907</v>
      </c>
      <c r="H500" s="6">
        <f>_xlfn.XLOOKUP(A500,Orders[OrderID],Orders[OrderDate])</f>
        <v>43343</v>
      </c>
      <c r="I500" t="str">
        <f>_xlfn.XLOOKUP(A500,Orders[OrderID],Orders[CustomerName])</f>
        <v>Ashmeet</v>
      </c>
      <c r="J500" t="str">
        <f>_xlfn.XLOOKUP(A500,Orders[OrderID],Orders[State])</f>
        <v>West Bengal</v>
      </c>
      <c r="K500" t="str">
        <f>_xlfn.XLOOKUP(A500,Orders[OrderID],Orders[City])</f>
        <v>Kolkata</v>
      </c>
      <c r="L500" s="3">
        <f>YEAR(Clean_Data[[#This Row],[OrderDate]])</f>
        <v>2018</v>
      </c>
      <c r="M500" s="3">
        <f>MONTH(Clean_Data[[#This Row],[OrderDate]])</f>
        <v>8</v>
      </c>
      <c r="N500" s="8" t="str">
        <f>TEXT(Clean_Data[[#This Row],[OrderDate]],"mmm")</f>
        <v>Aug</v>
      </c>
      <c r="O500" s="8" t="str">
        <f>TEXT(Clean_Data[[#This Row],[OrderDate]], "yyyy-mm")</f>
        <v>2018-08</v>
      </c>
      <c r="P500" s="7">
        <f>Clean_Data[[#This Row],[Profit]]/Clean_Data[[#This Row],[Revenue ]]</f>
        <v>-0.79729729729729726</v>
      </c>
      <c r="Q500" t="str">
        <f>"Q"&amp;ROUNDUP(MONTH(Clean_Data[[#This Row],[OrderDate]])/3,0)</f>
        <v>Q3</v>
      </c>
      <c r="R500" t="str">
        <f>TEXT(Clean_Data[[#This Row],[OrderDate]], "dddd")</f>
        <v>Friday</v>
      </c>
    </row>
    <row r="501" spans="1:18" x14ac:dyDescent="0.25">
      <c r="A501" t="s">
        <v>387</v>
      </c>
      <c r="B501" s="4">
        <v>89</v>
      </c>
      <c r="C501" s="4">
        <v>17</v>
      </c>
      <c r="D501" s="3">
        <v>2</v>
      </c>
      <c r="E501" t="s">
        <v>895</v>
      </c>
      <c r="F501" t="s">
        <v>903</v>
      </c>
      <c r="G501" t="s">
        <v>898</v>
      </c>
      <c r="H501" s="6">
        <f>_xlfn.XLOOKUP(A501,Orders[OrderID],Orders[OrderDate])</f>
        <v>43432</v>
      </c>
      <c r="I501" t="str">
        <f>_xlfn.XLOOKUP(A501,Orders[OrderID],Orders[CustomerName])</f>
        <v>Brijesh</v>
      </c>
      <c r="J501" t="str">
        <f>_xlfn.XLOOKUP(A501,Orders[OrderID],Orders[State])</f>
        <v>Rajasthan</v>
      </c>
      <c r="K501" t="str">
        <f>_xlfn.XLOOKUP(A501,Orders[OrderID],Orders[City])</f>
        <v>Udaipur</v>
      </c>
      <c r="L501" s="3">
        <f>YEAR(Clean_Data[[#This Row],[OrderDate]])</f>
        <v>2018</v>
      </c>
      <c r="M501" s="3">
        <f>MONTH(Clean_Data[[#This Row],[OrderDate]])</f>
        <v>11</v>
      </c>
      <c r="N501" s="8" t="str">
        <f>TEXT(Clean_Data[[#This Row],[OrderDate]],"mmm")</f>
        <v>Nov</v>
      </c>
      <c r="O501" s="8" t="str">
        <f>TEXT(Clean_Data[[#This Row],[OrderDate]], "yyyy-mm")</f>
        <v>2018-11</v>
      </c>
      <c r="P501" s="7">
        <f>Clean_Data[[#This Row],[Profit]]/Clean_Data[[#This Row],[Revenue ]]</f>
        <v>0.19101123595505617</v>
      </c>
      <c r="Q501" t="str">
        <f>"Q"&amp;ROUNDUP(MONTH(Clean_Data[[#This Row],[OrderDate]])/3,0)</f>
        <v>Q4</v>
      </c>
      <c r="R501" t="str">
        <f>TEXT(Clean_Data[[#This Row],[OrderDate]], "dddd")</f>
        <v>Wednesday</v>
      </c>
    </row>
    <row r="502" spans="1:18" x14ac:dyDescent="0.25">
      <c r="A502" t="s">
        <v>474</v>
      </c>
      <c r="B502" s="4">
        <v>228</v>
      </c>
      <c r="C502" s="4">
        <v>63</v>
      </c>
      <c r="D502" s="3">
        <v>3</v>
      </c>
      <c r="E502" t="s">
        <v>885</v>
      </c>
      <c r="F502" t="s">
        <v>886</v>
      </c>
      <c r="G502" t="s">
        <v>893</v>
      </c>
      <c r="H502" s="6">
        <f>_xlfn.XLOOKUP(A502,Orders[OrderID],Orders[OrderDate])</f>
        <v>43210</v>
      </c>
      <c r="I502" t="str">
        <f>_xlfn.XLOOKUP(A502,Orders[OrderID],Orders[CustomerName])</f>
        <v>Deepak</v>
      </c>
      <c r="J502" t="str">
        <f>_xlfn.XLOOKUP(A502,Orders[OrderID],Orders[State])</f>
        <v>Madhya Pradesh</v>
      </c>
      <c r="K502" t="str">
        <f>_xlfn.XLOOKUP(A502,Orders[OrderID],Orders[City])</f>
        <v>Bhopal</v>
      </c>
      <c r="L502" s="3">
        <f>YEAR(Clean_Data[[#This Row],[OrderDate]])</f>
        <v>2018</v>
      </c>
      <c r="M502" s="3">
        <f>MONTH(Clean_Data[[#This Row],[OrderDate]])</f>
        <v>4</v>
      </c>
      <c r="N502" s="8" t="str">
        <f>TEXT(Clean_Data[[#This Row],[OrderDate]],"mmm")</f>
        <v>Apr</v>
      </c>
      <c r="O502" s="8" t="str">
        <f>TEXT(Clean_Data[[#This Row],[OrderDate]], "yyyy-mm")</f>
        <v>2018-04</v>
      </c>
      <c r="P502" s="7">
        <f>Clean_Data[[#This Row],[Profit]]/Clean_Data[[#This Row],[Revenue ]]</f>
        <v>0.27631578947368424</v>
      </c>
      <c r="Q502" t="str">
        <f>"Q"&amp;ROUNDUP(MONTH(Clean_Data[[#This Row],[OrderDate]])/3,0)</f>
        <v>Q2</v>
      </c>
      <c r="R502" t="str">
        <f>TEXT(Clean_Data[[#This Row],[OrderDate]], "dddd")</f>
        <v>Friday</v>
      </c>
    </row>
    <row r="503" spans="1:18" x14ac:dyDescent="0.25">
      <c r="A503" t="s">
        <v>20</v>
      </c>
      <c r="B503" s="4">
        <v>119</v>
      </c>
      <c r="C503" s="4">
        <v>-24</v>
      </c>
      <c r="D503" s="3">
        <v>4</v>
      </c>
      <c r="E503" t="s">
        <v>888</v>
      </c>
      <c r="F503" t="s">
        <v>908</v>
      </c>
      <c r="G503" t="s">
        <v>887</v>
      </c>
      <c r="H503" s="6">
        <f>_xlfn.XLOOKUP(A503,Orders[OrderID],Orders[OrderDate])</f>
        <v>43121</v>
      </c>
      <c r="I503" t="str">
        <f>_xlfn.XLOOKUP(A503,Orders[OrderID],Orders[CustomerName])</f>
        <v>Sudevi</v>
      </c>
      <c r="J503" t="str">
        <f>_xlfn.XLOOKUP(A503,Orders[OrderID],Orders[State])</f>
        <v>Uttar Pradesh</v>
      </c>
      <c r="K503" t="str">
        <f>_xlfn.XLOOKUP(A503,Orders[OrderID],Orders[City])</f>
        <v>Prayagraj</v>
      </c>
      <c r="L503" s="3">
        <f>YEAR(Clean_Data[[#This Row],[OrderDate]])</f>
        <v>2018</v>
      </c>
      <c r="M503" s="3">
        <f>MONTH(Clean_Data[[#This Row],[OrderDate]])</f>
        <v>1</v>
      </c>
      <c r="N503" s="8" t="str">
        <f>TEXT(Clean_Data[[#This Row],[OrderDate]],"mmm")</f>
        <v>Jan</v>
      </c>
      <c r="O503" s="8" t="str">
        <f>TEXT(Clean_Data[[#This Row],[OrderDate]], "yyyy-mm")</f>
        <v>2018-01</v>
      </c>
      <c r="P503" s="7">
        <f>Clean_Data[[#This Row],[Profit]]/Clean_Data[[#This Row],[Revenue ]]</f>
        <v>-0.20168067226890757</v>
      </c>
      <c r="Q503" t="str">
        <f>"Q"&amp;ROUNDUP(MONTH(Clean_Data[[#This Row],[OrderDate]])/3,0)</f>
        <v>Q1</v>
      </c>
      <c r="R503" t="str">
        <f>TEXT(Clean_Data[[#This Row],[OrderDate]], "dddd")</f>
        <v>Sunday</v>
      </c>
    </row>
    <row r="504" spans="1:18" x14ac:dyDescent="0.25">
      <c r="A504" t="s">
        <v>298</v>
      </c>
      <c r="B504" s="4">
        <v>75</v>
      </c>
      <c r="C504" s="4">
        <v>-25</v>
      </c>
      <c r="D504" s="3">
        <v>3</v>
      </c>
      <c r="E504" t="s">
        <v>895</v>
      </c>
      <c r="F504" t="s">
        <v>903</v>
      </c>
      <c r="G504" t="s">
        <v>898</v>
      </c>
      <c r="H504" s="6">
        <f>_xlfn.XLOOKUP(A504,Orders[OrderID],Orders[OrderDate])</f>
        <v>43267</v>
      </c>
      <c r="I504" t="str">
        <f>_xlfn.XLOOKUP(A504,Orders[OrderID],Orders[CustomerName])</f>
        <v>Akancha</v>
      </c>
      <c r="J504" t="str">
        <f>_xlfn.XLOOKUP(A504,Orders[OrderID],Orders[State])</f>
        <v>Maharashtra</v>
      </c>
      <c r="K504" t="str">
        <f>_xlfn.XLOOKUP(A504,Orders[OrderID],Orders[City])</f>
        <v>Mumbai</v>
      </c>
      <c r="L504" s="3">
        <f>YEAR(Clean_Data[[#This Row],[OrderDate]])</f>
        <v>2018</v>
      </c>
      <c r="M504" s="3">
        <f>MONTH(Clean_Data[[#This Row],[OrderDate]])</f>
        <v>6</v>
      </c>
      <c r="N504" s="8" t="str">
        <f>TEXT(Clean_Data[[#This Row],[OrderDate]],"mmm")</f>
        <v>Jun</v>
      </c>
      <c r="O504" s="8" t="str">
        <f>TEXT(Clean_Data[[#This Row],[OrderDate]], "yyyy-mm")</f>
        <v>2018-06</v>
      </c>
      <c r="P504" s="7">
        <f>Clean_Data[[#This Row],[Profit]]/Clean_Data[[#This Row],[Revenue ]]</f>
        <v>-0.33333333333333331</v>
      </c>
      <c r="Q504" t="str">
        <f>"Q"&amp;ROUNDUP(MONTH(Clean_Data[[#This Row],[OrderDate]])/3,0)</f>
        <v>Q2</v>
      </c>
      <c r="R504" t="str">
        <f>TEXT(Clean_Data[[#This Row],[OrderDate]], "dddd")</f>
        <v>Saturday</v>
      </c>
    </row>
    <row r="505" spans="1:18" x14ac:dyDescent="0.25">
      <c r="A505" t="s">
        <v>175</v>
      </c>
      <c r="B505" s="4">
        <v>67</v>
      </c>
      <c r="C505" s="4">
        <v>20</v>
      </c>
      <c r="D505" s="3">
        <v>4</v>
      </c>
      <c r="E505" t="s">
        <v>895</v>
      </c>
      <c r="F505" t="s">
        <v>906</v>
      </c>
      <c r="G505" t="s">
        <v>898</v>
      </c>
      <c r="H505" s="6">
        <f>_xlfn.XLOOKUP(A505,Orders[OrderID],Orders[OrderDate])</f>
        <v>43114</v>
      </c>
      <c r="I505" t="str">
        <f>_xlfn.XLOOKUP(A505,Orders[OrderID],Orders[CustomerName])</f>
        <v>Krutika</v>
      </c>
      <c r="J505" t="str">
        <f>_xlfn.XLOOKUP(A505,Orders[OrderID],Orders[State])</f>
        <v>Andhra Pradesh</v>
      </c>
      <c r="K505" t="str">
        <f>_xlfn.XLOOKUP(A505,Orders[OrderID],Orders[City])</f>
        <v>Hyderabad</v>
      </c>
      <c r="L505" s="3">
        <f>YEAR(Clean_Data[[#This Row],[OrderDate]])</f>
        <v>2018</v>
      </c>
      <c r="M505" s="3">
        <f>MONTH(Clean_Data[[#This Row],[OrderDate]])</f>
        <v>1</v>
      </c>
      <c r="N505" s="8" t="str">
        <f>TEXT(Clean_Data[[#This Row],[OrderDate]],"mmm")</f>
        <v>Jan</v>
      </c>
      <c r="O505" s="8" t="str">
        <f>TEXT(Clean_Data[[#This Row],[OrderDate]], "yyyy-mm")</f>
        <v>2018-01</v>
      </c>
      <c r="P505" s="7">
        <f>Clean_Data[[#This Row],[Profit]]/Clean_Data[[#This Row],[Revenue ]]</f>
        <v>0.29850746268656714</v>
      </c>
      <c r="Q505" t="str">
        <f>"Q"&amp;ROUNDUP(MONTH(Clean_Data[[#This Row],[OrderDate]])/3,0)</f>
        <v>Q1</v>
      </c>
      <c r="R505" t="str">
        <f>TEXT(Clean_Data[[#This Row],[OrderDate]], "dddd")</f>
        <v>Sunday</v>
      </c>
    </row>
    <row r="506" spans="1:18" x14ac:dyDescent="0.25">
      <c r="A506" t="s">
        <v>258</v>
      </c>
      <c r="B506" s="4">
        <v>7</v>
      </c>
      <c r="C506" s="4">
        <v>0</v>
      </c>
      <c r="D506" s="3">
        <v>1</v>
      </c>
      <c r="E506" t="s">
        <v>895</v>
      </c>
      <c r="F506" t="s">
        <v>904</v>
      </c>
      <c r="G506" t="s">
        <v>887</v>
      </c>
      <c r="H506" s="6">
        <f>_xlfn.XLOOKUP(A506,Orders[OrderID],Orders[OrderDate])</f>
        <v>43227</v>
      </c>
      <c r="I506" t="str">
        <f>_xlfn.XLOOKUP(A506,Orders[OrderID],Orders[CustomerName])</f>
        <v>Anurag</v>
      </c>
      <c r="J506" t="str">
        <f>_xlfn.XLOOKUP(A506,Orders[OrderID],Orders[State])</f>
        <v>Madhya Pradesh</v>
      </c>
      <c r="K506" t="str">
        <f>_xlfn.XLOOKUP(A506,Orders[OrderID],Orders[City])</f>
        <v>Indore</v>
      </c>
      <c r="L506" s="3">
        <f>YEAR(Clean_Data[[#This Row],[OrderDate]])</f>
        <v>2018</v>
      </c>
      <c r="M506" s="3">
        <f>MONTH(Clean_Data[[#This Row],[OrderDate]])</f>
        <v>5</v>
      </c>
      <c r="N506" s="8" t="str">
        <f>TEXT(Clean_Data[[#This Row],[OrderDate]],"mmm")</f>
        <v>May</v>
      </c>
      <c r="O506" s="8" t="str">
        <f>TEXT(Clean_Data[[#This Row],[OrderDate]], "yyyy-mm")</f>
        <v>2018-05</v>
      </c>
      <c r="P506" s="7">
        <f>Clean_Data[[#This Row],[Profit]]/Clean_Data[[#This Row],[Revenue ]]</f>
        <v>0</v>
      </c>
      <c r="Q506" t="str">
        <f>"Q"&amp;ROUNDUP(MONTH(Clean_Data[[#This Row],[OrderDate]])/3,0)</f>
        <v>Q2</v>
      </c>
      <c r="R506" t="str">
        <f>TEXT(Clean_Data[[#This Row],[OrderDate]], "dddd")</f>
        <v>Monday</v>
      </c>
    </row>
    <row r="507" spans="1:18" x14ac:dyDescent="0.25">
      <c r="A507" t="s">
        <v>369</v>
      </c>
      <c r="B507" s="4">
        <v>222</v>
      </c>
      <c r="C507" s="4">
        <v>35</v>
      </c>
      <c r="D507" s="3">
        <v>5</v>
      </c>
      <c r="E507" t="s">
        <v>895</v>
      </c>
      <c r="F507" t="s">
        <v>897</v>
      </c>
      <c r="G507" t="s">
        <v>893</v>
      </c>
      <c r="H507" s="6">
        <f>_xlfn.XLOOKUP(A507,Orders[OrderID],Orders[OrderDate])</f>
        <v>43397</v>
      </c>
      <c r="I507" t="str">
        <f>_xlfn.XLOOKUP(A507,Orders[OrderID],Orders[CustomerName])</f>
        <v>Nikita</v>
      </c>
      <c r="J507" t="str">
        <f>_xlfn.XLOOKUP(A507,Orders[OrderID],Orders[State])</f>
        <v>Punjab</v>
      </c>
      <c r="K507" t="str">
        <f>_xlfn.XLOOKUP(A507,Orders[OrderID],Orders[City])</f>
        <v>Chandigarh</v>
      </c>
      <c r="L507" s="3">
        <f>YEAR(Clean_Data[[#This Row],[OrderDate]])</f>
        <v>2018</v>
      </c>
      <c r="M507" s="3">
        <f>MONTH(Clean_Data[[#This Row],[OrderDate]])</f>
        <v>10</v>
      </c>
      <c r="N507" s="8" t="str">
        <f>TEXT(Clean_Data[[#This Row],[OrderDate]],"mmm")</f>
        <v>Oct</v>
      </c>
      <c r="O507" s="8" t="str">
        <f>TEXT(Clean_Data[[#This Row],[OrderDate]], "yyyy-mm")</f>
        <v>2018-10</v>
      </c>
      <c r="P507" s="7">
        <f>Clean_Data[[#This Row],[Profit]]/Clean_Data[[#This Row],[Revenue ]]</f>
        <v>0.15765765765765766</v>
      </c>
      <c r="Q507" t="str">
        <f>"Q"&amp;ROUNDUP(MONTH(Clean_Data[[#This Row],[OrderDate]])/3,0)</f>
        <v>Q4</v>
      </c>
      <c r="R507" t="str">
        <f>TEXT(Clean_Data[[#This Row],[OrderDate]], "dddd")</f>
        <v>Wednesday</v>
      </c>
    </row>
    <row r="508" spans="1:18" x14ac:dyDescent="0.25">
      <c r="A508" t="s">
        <v>807</v>
      </c>
      <c r="B508" s="4">
        <v>219</v>
      </c>
      <c r="C508" s="4">
        <v>-9</v>
      </c>
      <c r="D508" s="3">
        <v>4</v>
      </c>
      <c r="E508" t="s">
        <v>895</v>
      </c>
      <c r="F508" t="s">
        <v>897</v>
      </c>
      <c r="G508" t="s">
        <v>893</v>
      </c>
      <c r="H508" s="6">
        <f>_xlfn.XLOOKUP(A508,Orders[OrderID],Orders[OrderDate])</f>
        <v>43214</v>
      </c>
      <c r="I508" t="str">
        <f>_xlfn.XLOOKUP(A508,Orders[OrderID],Orders[CustomerName])</f>
        <v>Pooja</v>
      </c>
      <c r="J508" t="str">
        <f>_xlfn.XLOOKUP(A508,Orders[OrderID],Orders[State])</f>
        <v>Bihar</v>
      </c>
      <c r="K508" t="str">
        <f>_xlfn.XLOOKUP(A508,Orders[OrderID],Orders[City])</f>
        <v>Patna</v>
      </c>
      <c r="L508" s="3">
        <f>YEAR(Clean_Data[[#This Row],[OrderDate]])</f>
        <v>2018</v>
      </c>
      <c r="M508" s="3">
        <f>MONTH(Clean_Data[[#This Row],[OrderDate]])</f>
        <v>4</v>
      </c>
      <c r="N508" s="8" t="str">
        <f>TEXT(Clean_Data[[#This Row],[OrderDate]],"mmm")</f>
        <v>Apr</v>
      </c>
      <c r="O508" s="8" t="str">
        <f>TEXT(Clean_Data[[#This Row],[OrderDate]], "yyyy-mm")</f>
        <v>2018-04</v>
      </c>
      <c r="P508" s="7">
        <f>Clean_Data[[#This Row],[Profit]]/Clean_Data[[#This Row],[Revenue ]]</f>
        <v>-4.1095890410958902E-2</v>
      </c>
      <c r="Q508" t="str">
        <f>"Q"&amp;ROUNDUP(MONTH(Clean_Data[[#This Row],[OrderDate]])/3,0)</f>
        <v>Q2</v>
      </c>
      <c r="R508" t="str">
        <f>TEXT(Clean_Data[[#This Row],[OrderDate]], "dddd")</f>
        <v>Tuesday</v>
      </c>
    </row>
    <row r="509" spans="1:18" x14ac:dyDescent="0.25">
      <c r="A509" t="s">
        <v>537</v>
      </c>
      <c r="B509" s="4">
        <v>42</v>
      </c>
      <c r="C509" s="4">
        <v>-23</v>
      </c>
      <c r="D509" s="3">
        <v>2</v>
      </c>
      <c r="E509" t="s">
        <v>888</v>
      </c>
      <c r="F509" t="s">
        <v>908</v>
      </c>
      <c r="G509" t="s">
        <v>898</v>
      </c>
      <c r="H509" s="6">
        <f>_xlfn.XLOOKUP(A509,Orders[OrderID],Orders[OrderDate])</f>
        <v>43279</v>
      </c>
      <c r="I509" t="str">
        <f>_xlfn.XLOOKUP(A509,Orders[OrderID],Orders[CustomerName])</f>
        <v>Ekta</v>
      </c>
      <c r="J509" t="str">
        <f>_xlfn.XLOOKUP(A509,Orders[OrderID],Orders[State])</f>
        <v>Madhya Pradesh</v>
      </c>
      <c r="K509" t="str">
        <f>_xlfn.XLOOKUP(A509,Orders[OrderID],Orders[City])</f>
        <v>Indore</v>
      </c>
      <c r="L509" s="3">
        <f>YEAR(Clean_Data[[#This Row],[OrderDate]])</f>
        <v>2018</v>
      </c>
      <c r="M509" s="3">
        <f>MONTH(Clean_Data[[#This Row],[OrderDate]])</f>
        <v>6</v>
      </c>
      <c r="N509" s="8" t="str">
        <f>TEXT(Clean_Data[[#This Row],[OrderDate]],"mmm")</f>
        <v>Jun</v>
      </c>
      <c r="O509" s="8" t="str">
        <f>TEXT(Clean_Data[[#This Row],[OrderDate]], "yyyy-mm")</f>
        <v>2018-06</v>
      </c>
      <c r="P509" s="7">
        <f>Clean_Data[[#This Row],[Profit]]/Clean_Data[[#This Row],[Revenue ]]</f>
        <v>-0.54761904761904767</v>
      </c>
      <c r="Q509" t="str">
        <f>"Q"&amp;ROUNDUP(MONTH(Clean_Data[[#This Row],[OrderDate]])/3,0)</f>
        <v>Q2</v>
      </c>
      <c r="R509" t="str">
        <f>TEXT(Clean_Data[[#This Row],[OrderDate]], "dddd")</f>
        <v>Thursday</v>
      </c>
    </row>
    <row r="510" spans="1:18" x14ac:dyDescent="0.25">
      <c r="A510" t="s">
        <v>148</v>
      </c>
      <c r="B510" s="4">
        <v>216</v>
      </c>
      <c r="C510" s="4">
        <v>-135</v>
      </c>
      <c r="D510" s="3">
        <v>3</v>
      </c>
      <c r="E510" t="s">
        <v>888</v>
      </c>
      <c r="F510" t="s">
        <v>889</v>
      </c>
      <c r="G510" t="s">
        <v>893</v>
      </c>
      <c r="H510" s="6">
        <f>_xlfn.XLOOKUP(A510,Orders[OrderID],Orders[OrderDate])</f>
        <v>43102</v>
      </c>
      <c r="I510" t="str">
        <f>_xlfn.XLOOKUP(A510,Orders[OrderID],Orders[CustomerName])</f>
        <v>Girase</v>
      </c>
      <c r="J510" t="str">
        <f>_xlfn.XLOOKUP(A510,Orders[OrderID],Orders[State])</f>
        <v xml:space="preserve">Kerala </v>
      </c>
      <c r="K510" t="str">
        <f>_xlfn.XLOOKUP(A510,Orders[OrderID],Orders[City])</f>
        <v>Thiruvananthapuram</v>
      </c>
      <c r="L510" s="3">
        <f>YEAR(Clean_Data[[#This Row],[OrderDate]])</f>
        <v>2018</v>
      </c>
      <c r="M510" s="3">
        <f>MONTH(Clean_Data[[#This Row],[OrderDate]])</f>
        <v>1</v>
      </c>
      <c r="N510" s="8" t="str">
        <f>TEXT(Clean_Data[[#This Row],[OrderDate]],"mmm")</f>
        <v>Jan</v>
      </c>
      <c r="O510" s="8" t="str">
        <f>TEXT(Clean_Data[[#This Row],[OrderDate]], "yyyy-mm")</f>
        <v>2018-01</v>
      </c>
      <c r="P510" s="7">
        <f>Clean_Data[[#This Row],[Profit]]/Clean_Data[[#This Row],[Revenue ]]</f>
        <v>-0.625</v>
      </c>
      <c r="Q510" t="str">
        <f>"Q"&amp;ROUNDUP(MONTH(Clean_Data[[#This Row],[OrderDate]])/3,0)</f>
        <v>Q1</v>
      </c>
      <c r="R510" t="str">
        <f>TEXT(Clean_Data[[#This Row],[OrderDate]], "dddd")</f>
        <v>Tuesday</v>
      </c>
    </row>
    <row r="511" spans="1:18" x14ac:dyDescent="0.25">
      <c r="A511" t="s">
        <v>541</v>
      </c>
      <c r="B511" s="4">
        <v>47</v>
      </c>
      <c r="C511" s="4">
        <v>-21</v>
      </c>
      <c r="D511" s="3">
        <v>2</v>
      </c>
      <c r="E511" t="s">
        <v>885</v>
      </c>
      <c r="F511" t="s">
        <v>886</v>
      </c>
      <c r="G511" t="s">
        <v>887</v>
      </c>
      <c r="H511" s="6">
        <f>_xlfn.XLOOKUP(A511,Orders[OrderID],Orders[OrderDate])</f>
        <v>43324</v>
      </c>
      <c r="I511" t="str">
        <f>_xlfn.XLOOKUP(A511,Orders[OrderID],Orders[CustomerName])</f>
        <v>Nitant</v>
      </c>
      <c r="J511" t="str">
        <f>_xlfn.XLOOKUP(A511,Orders[OrderID],Orders[State])</f>
        <v>Rajasthan</v>
      </c>
      <c r="K511" t="str">
        <f>_xlfn.XLOOKUP(A511,Orders[OrderID],Orders[City])</f>
        <v>Jaipur</v>
      </c>
      <c r="L511" s="3">
        <f>YEAR(Clean_Data[[#This Row],[OrderDate]])</f>
        <v>2018</v>
      </c>
      <c r="M511" s="3">
        <f>MONTH(Clean_Data[[#This Row],[OrderDate]])</f>
        <v>8</v>
      </c>
      <c r="N511" s="8" t="str">
        <f>TEXT(Clean_Data[[#This Row],[OrderDate]],"mmm")</f>
        <v>Aug</v>
      </c>
      <c r="O511" s="8" t="str">
        <f>TEXT(Clean_Data[[#This Row],[OrderDate]], "yyyy-mm")</f>
        <v>2018-08</v>
      </c>
      <c r="P511" s="7">
        <f>Clean_Data[[#This Row],[Profit]]/Clean_Data[[#This Row],[Revenue ]]</f>
        <v>-0.44680851063829785</v>
      </c>
      <c r="Q511" t="str">
        <f>"Q"&amp;ROUNDUP(MONTH(Clean_Data[[#This Row],[OrderDate]])/3,0)</f>
        <v>Q3</v>
      </c>
      <c r="R511" t="str">
        <f>TEXT(Clean_Data[[#This Row],[OrderDate]], "dddd")</f>
        <v>Sunday</v>
      </c>
    </row>
    <row r="512" spans="1:18" x14ac:dyDescent="0.25">
      <c r="A512" t="s">
        <v>197</v>
      </c>
      <c r="B512" s="4">
        <v>68</v>
      </c>
      <c r="C512" s="4">
        <v>-55</v>
      </c>
      <c r="D512" s="3">
        <v>5</v>
      </c>
      <c r="E512" t="s">
        <v>885</v>
      </c>
      <c r="F512" t="s">
        <v>905</v>
      </c>
      <c r="G512" t="s">
        <v>898</v>
      </c>
      <c r="H512" s="6">
        <f>_xlfn.XLOOKUP(A512,Orders[OrderID],Orders[OrderDate])</f>
        <v>43199</v>
      </c>
      <c r="I512" t="str">
        <f>_xlfn.XLOOKUP(A512,Orders[OrderID],Orders[CustomerName])</f>
        <v>Yogesh</v>
      </c>
      <c r="J512" t="str">
        <f>_xlfn.XLOOKUP(A512,Orders[OrderID],Orders[State])</f>
        <v>Bihar</v>
      </c>
      <c r="K512" t="str">
        <f>_xlfn.XLOOKUP(A512,Orders[OrderID],Orders[City])</f>
        <v>Patna</v>
      </c>
      <c r="L512" s="3">
        <f>YEAR(Clean_Data[[#This Row],[OrderDate]])</f>
        <v>2018</v>
      </c>
      <c r="M512" s="3">
        <f>MONTH(Clean_Data[[#This Row],[OrderDate]])</f>
        <v>4</v>
      </c>
      <c r="N512" s="8" t="str">
        <f>TEXT(Clean_Data[[#This Row],[OrderDate]],"mmm")</f>
        <v>Apr</v>
      </c>
      <c r="O512" s="8" t="str">
        <f>TEXT(Clean_Data[[#This Row],[OrderDate]], "yyyy-mm")</f>
        <v>2018-04</v>
      </c>
      <c r="P512" s="7">
        <f>Clean_Data[[#This Row],[Profit]]/Clean_Data[[#This Row],[Revenue ]]</f>
        <v>-0.80882352941176472</v>
      </c>
      <c r="Q512" t="str">
        <f>"Q"&amp;ROUNDUP(MONTH(Clean_Data[[#This Row],[OrderDate]])/3,0)</f>
        <v>Q2</v>
      </c>
      <c r="R512" t="str">
        <f>TEXT(Clean_Data[[#This Row],[OrderDate]], "dddd")</f>
        <v>Monday</v>
      </c>
    </row>
    <row r="513" spans="1:18" x14ac:dyDescent="0.25">
      <c r="A513" t="s">
        <v>411</v>
      </c>
      <c r="B513" s="4">
        <v>74</v>
      </c>
      <c r="C513" s="4">
        <v>33</v>
      </c>
      <c r="D513" s="3">
        <v>2</v>
      </c>
      <c r="E513" t="s">
        <v>895</v>
      </c>
      <c r="F513" t="s">
        <v>909</v>
      </c>
      <c r="G513" t="s">
        <v>907</v>
      </c>
      <c r="H513" s="6">
        <f>_xlfn.XLOOKUP(A513,Orders[OrderID],Orders[OrderDate])</f>
        <v>43444</v>
      </c>
      <c r="I513" t="str">
        <f>_xlfn.XLOOKUP(A513,Orders[OrderID],Orders[CustomerName])</f>
        <v>Amlan</v>
      </c>
      <c r="J513" t="str">
        <f>_xlfn.XLOOKUP(A513,Orders[OrderID],Orders[State])</f>
        <v>Madhya Pradesh</v>
      </c>
      <c r="K513" t="str">
        <f>_xlfn.XLOOKUP(A513,Orders[OrderID],Orders[City])</f>
        <v>Indore</v>
      </c>
      <c r="L513" s="3">
        <f>YEAR(Clean_Data[[#This Row],[OrderDate]])</f>
        <v>2018</v>
      </c>
      <c r="M513" s="3">
        <f>MONTH(Clean_Data[[#This Row],[OrderDate]])</f>
        <v>12</v>
      </c>
      <c r="N513" s="8" t="str">
        <f>TEXT(Clean_Data[[#This Row],[OrderDate]],"mmm")</f>
        <v>Dec</v>
      </c>
      <c r="O513" s="8" t="str">
        <f>TEXT(Clean_Data[[#This Row],[OrderDate]], "yyyy-mm")</f>
        <v>2018-12</v>
      </c>
      <c r="P513" s="7">
        <f>Clean_Data[[#This Row],[Profit]]/Clean_Data[[#This Row],[Revenue ]]</f>
        <v>0.44594594594594594</v>
      </c>
      <c r="Q513" t="str">
        <f>"Q"&amp;ROUNDUP(MONTH(Clean_Data[[#This Row],[OrderDate]])/3,0)</f>
        <v>Q4</v>
      </c>
      <c r="R513" t="str">
        <f>TEXT(Clean_Data[[#This Row],[OrderDate]], "dddd")</f>
        <v>Monday</v>
      </c>
    </row>
    <row r="514" spans="1:18" x14ac:dyDescent="0.25">
      <c r="A514" t="s">
        <v>288</v>
      </c>
      <c r="B514" s="4">
        <v>165</v>
      </c>
      <c r="C514" s="4">
        <v>46</v>
      </c>
      <c r="D514" s="3">
        <v>3</v>
      </c>
      <c r="E514" t="s">
        <v>888</v>
      </c>
      <c r="F514" t="s">
        <v>908</v>
      </c>
      <c r="G514" t="s">
        <v>887</v>
      </c>
      <c r="H514" s="6">
        <f>_xlfn.XLOOKUP(A514,Orders[OrderID],Orders[OrderDate])</f>
        <v>43428</v>
      </c>
      <c r="I514" t="str">
        <f>_xlfn.XLOOKUP(A514,Orders[OrderID],Orders[CustomerName])</f>
        <v>Mrinal</v>
      </c>
      <c r="J514" t="str">
        <f>_xlfn.XLOOKUP(A514,Orders[OrderID],Orders[State])</f>
        <v>Maharashtra</v>
      </c>
      <c r="K514" t="str">
        <f>_xlfn.XLOOKUP(A514,Orders[OrderID],Orders[City])</f>
        <v>Mumbai</v>
      </c>
      <c r="L514" s="3">
        <f>YEAR(Clean_Data[[#This Row],[OrderDate]])</f>
        <v>2018</v>
      </c>
      <c r="M514" s="3">
        <f>MONTH(Clean_Data[[#This Row],[OrderDate]])</f>
        <v>11</v>
      </c>
      <c r="N514" s="8" t="str">
        <f>TEXT(Clean_Data[[#This Row],[OrderDate]],"mmm")</f>
        <v>Nov</v>
      </c>
      <c r="O514" s="8" t="str">
        <f>TEXT(Clean_Data[[#This Row],[OrderDate]], "yyyy-mm")</f>
        <v>2018-11</v>
      </c>
      <c r="P514" s="7">
        <f>Clean_Data[[#This Row],[Profit]]/Clean_Data[[#This Row],[Revenue ]]</f>
        <v>0.27878787878787881</v>
      </c>
      <c r="Q514" t="str">
        <f>"Q"&amp;ROUNDUP(MONTH(Clean_Data[[#This Row],[OrderDate]])/3,0)</f>
        <v>Q4</v>
      </c>
      <c r="R514" t="str">
        <f>TEXT(Clean_Data[[#This Row],[OrderDate]], "dddd")</f>
        <v>Saturday</v>
      </c>
    </row>
    <row r="515" spans="1:18" x14ac:dyDescent="0.25">
      <c r="A515" t="s">
        <v>425</v>
      </c>
      <c r="B515" s="4">
        <v>101</v>
      </c>
      <c r="C515" s="4">
        <v>11</v>
      </c>
      <c r="D515" s="3">
        <v>2</v>
      </c>
      <c r="E515" t="s">
        <v>895</v>
      </c>
      <c r="F515" t="s">
        <v>899</v>
      </c>
      <c r="G515" t="s">
        <v>898</v>
      </c>
      <c r="H515" s="6">
        <f>_xlfn.XLOOKUP(A515,Orders[OrderID],Orders[OrderDate])</f>
        <v>43169</v>
      </c>
      <c r="I515" t="str">
        <f>_xlfn.XLOOKUP(A515,Orders[OrderID],Orders[CustomerName])</f>
        <v>Sonal</v>
      </c>
      <c r="J515" t="str">
        <f>_xlfn.XLOOKUP(A515,Orders[OrderID],Orders[State])</f>
        <v>Bihar</v>
      </c>
      <c r="K515" t="str">
        <f>_xlfn.XLOOKUP(A515,Orders[OrderID],Orders[City])</f>
        <v>Patna</v>
      </c>
      <c r="L515" s="3">
        <f>YEAR(Clean_Data[[#This Row],[OrderDate]])</f>
        <v>2018</v>
      </c>
      <c r="M515" s="3">
        <f>MONTH(Clean_Data[[#This Row],[OrderDate]])</f>
        <v>3</v>
      </c>
      <c r="N515" s="8" t="str">
        <f>TEXT(Clean_Data[[#This Row],[OrderDate]],"mmm")</f>
        <v>Mar</v>
      </c>
      <c r="O515" s="8" t="str">
        <f>TEXT(Clean_Data[[#This Row],[OrderDate]], "yyyy-mm")</f>
        <v>2018-03</v>
      </c>
      <c r="P515" s="7">
        <f>Clean_Data[[#This Row],[Profit]]/Clean_Data[[#This Row],[Revenue ]]</f>
        <v>0.10891089108910891</v>
      </c>
      <c r="Q515" t="str">
        <f>"Q"&amp;ROUNDUP(MONTH(Clean_Data[[#This Row],[OrderDate]])/3,0)</f>
        <v>Q1</v>
      </c>
      <c r="R515" t="str">
        <f>TEXT(Clean_Data[[#This Row],[OrderDate]], "dddd")</f>
        <v>Saturday</v>
      </c>
    </row>
    <row r="516" spans="1:18" x14ac:dyDescent="0.25">
      <c r="A516" t="s">
        <v>601</v>
      </c>
      <c r="B516" s="4">
        <v>162</v>
      </c>
      <c r="C516" s="4">
        <v>73</v>
      </c>
      <c r="D516" s="3">
        <v>2</v>
      </c>
      <c r="E516" t="s">
        <v>885</v>
      </c>
      <c r="F516" t="s">
        <v>886</v>
      </c>
      <c r="G516" t="s">
        <v>887</v>
      </c>
      <c r="H516" s="6">
        <f>_xlfn.XLOOKUP(A516,Orders[OrderID],Orders[OrderDate])</f>
        <v>43139</v>
      </c>
      <c r="I516" t="str">
        <f>_xlfn.XLOOKUP(A516,Orders[OrderID],Orders[CustomerName])</f>
        <v>Nandita</v>
      </c>
      <c r="J516" t="str">
        <f>_xlfn.XLOOKUP(A516,Orders[OrderID],Orders[State])</f>
        <v>Rajasthan</v>
      </c>
      <c r="K516" t="str">
        <f>_xlfn.XLOOKUP(A516,Orders[OrderID],Orders[City])</f>
        <v>Jaipur</v>
      </c>
      <c r="L516" s="3">
        <f>YEAR(Clean_Data[[#This Row],[OrderDate]])</f>
        <v>2018</v>
      </c>
      <c r="M516" s="3">
        <f>MONTH(Clean_Data[[#This Row],[OrderDate]])</f>
        <v>2</v>
      </c>
      <c r="N516" s="8" t="str">
        <f>TEXT(Clean_Data[[#This Row],[OrderDate]],"mmm")</f>
        <v>Feb</v>
      </c>
      <c r="O516" s="8" t="str">
        <f>TEXT(Clean_Data[[#This Row],[OrderDate]], "yyyy-mm")</f>
        <v>2018-02</v>
      </c>
      <c r="P516" s="7">
        <f>Clean_Data[[#This Row],[Profit]]/Clean_Data[[#This Row],[Revenue ]]</f>
        <v>0.45061728395061729</v>
      </c>
      <c r="Q516" t="str">
        <f>"Q"&amp;ROUNDUP(MONTH(Clean_Data[[#This Row],[OrderDate]])/3,0)</f>
        <v>Q1</v>
      </c>
      <c r="R516" t="str">
        <f>TEXT(Clean_Data[[#This Row],[OrderDate]], "dddd")</f>
        <v>Thursday</v>
      </c>
    </row>
    <row r="517" spans="1:18" x14ac:dyDescent="0.25">
      <c r="A517" t="s">
        <v>716</v>
      </c>
      <c r="B517" s="4">
        <v>20</v>
      </c>
      <c r="C517" s="4">
        <v>-22</v>
      </c>
      <c r="D517" s="3">
        <v>1</v>
      </c>
      <c r="E517" t="s">
        <v>888</v>
      </c>
      <c r="F517" t="s">
        <v>908</v>
      </c>
      <c r="G517" t="s">
        <v>898</v>
      </c>
      <c r="H517" s="6">
        <f>_xlfn.XLOOKUP(A517,Orders[OrderID],Orders[OrderDate])</f>
        <v>43275</v>
      </c>
      <c r="I517" t="str">
        <f>_xlfn.XLOOKUP(A517,Orders[OrderID],Orders[CustomerName])</f>
        <v>Kritika</v>
      </c>
      <c r="J517" t="str">
        <f>_xlfn.XLOOKUP(A517,Orders[OrderID],Orders[State])</f>
        <v>Uttar Pradesh</v>
      </c>
      <c r="K517" t="str">
        <f>_xlfn.XLOOKUP(A517,Orders[OrderID],Orders[City])</f>
        <v>Lucknow</v>
      </c>
      <c r="L517" s="3">
        <f>YEAR(Clean_Data[[#This Row],[OrderDate]])</f>
        <v>2018</v>
      </c>
      <c r="M517" s="3">
        <f>MONTH(Clean_Data[[#This Row],[OrderDate]])</f>
        <v>6</v>
      </c>
      <c r="N517" s="8" t="str">
        <f>TEXT(Clean_Data[[#This Row],[OrderDate]],"mmm")</f>
        <v>Jun</v>
      </c>
      <c r="O517" s="8" t="str">
        <f>TEXT(Clean_Data[[#This Row],[OrderDate]], "yyyy-mm")</f>
        <v>2018-06</v>
      </c>
      <c r="P517" s="7">
        <f>Clean_Data[[#This Row],[Profit]]/Clean_Data[[#This Row],[Revenue ]]</f>
        <v>-1.1000000000000001</v>
      </c>
      <c r="Q517" t="str">
        <f>"Q"&amp;ROUNDUP(MONTH(Clean_Data[[#This Row],[OrderDate]])/3,0)</f>
        <v>Q2</v>
      </c>
      <c r="R517" t="str">
        <f>TEXT(Clean_Data[[#This Row],[OrderDate]], "dddd")</f>
        <v>Sunday</v>
      </c>
    </row>
    <row r="518" spans="1:18" x14ac:dyDescent="0.25">
      <c r="A518" t="s">
        <v>350</v>
      </c>
      <c r="B518" s="4">
        <v>162</v>
      </c>
      <c r="C518" s="4">
        <v>55</v>
      </c>
      <c r="D518" s="3">
        <v>3</v>
      </c>
      <c r="E518" t="s">
        <v>895</v>
      </c>
      <c r="F518" t="s">
        <v>903</v>
      </c>
      <c r="G518" t="s">
        <v>887</v>
      </c>
      <c r="H518" s="6">
        <f>_xlfn.XLOOKUP(A518,Orders[OrderID],Orders[OrderDate])</f>
        <v>43168</v>
      </c>
      <c r="I518" t="str">
        <f>_xlfn.XLOOKUP(A518,Orders[OrderID],Orders[CustomerName])</f>
        <v>Kirti</v>
      </c>
      <c r="J518" t="str">
        <f>_xlfn.XLOOKUP(A518,Orders[OrderID],Orders[State])</f>
        <v>Jammu and Kashmir</v>
      </c>
      <c r="K518" t="str">
        <f>_xlfn.XLOOKUP(A518,Orders[OrderID],Orders[City])</f>
        <v>Kashmir</v>
      </c>
      <c r="L518" s="3">
        <f>YEAR(Clean_Data[[#This Row],[OrderDate]])</f>
        <v>2018</v>
      </c>
      <c r="M518" s="3">
        <f>MONTH(Clean_Data[[#This Row],[OrderDate]])</f>
        <v>3</v>
      </c>
      <c r="N518" s="8" t="str">
        <f>TEXT(Clean_Data[[#This Row],[OrderDate]],"mmm")</f>
        <v>Mar</v>
      </c>
      <c r="O518" s="8" t="str">
        <f>TEXT(Clean_Data[[#This Row],[OrderDate]], "yyyy-mm")</f>
        <v>2018-03</v>
      </c>
      <c r="P518" s="7">
        <f>Clean_Data[[#This Row],[Profit]]/Clean_Data[[#This Row],[Revenue ]]</f>
        <v>0.33950617283950618</v>
      </c>
      <c r="Q518" t="str">
        <f>"Q"&amp;ROUNDUP(MONTH(Clean_Data[[#This Row],[OrderDate]])/3,0)</f>
        <v>Q1</v>
      </c>
      <c r="R518" t="str">
        <f>TEXT(Clean_Data[[#This Row],[OrderDate]], "dddd")</f>
        <v>Friday</v>
      </c>
    </row>
    <row r="519" spans="1:18" x14ac:dyDescent="0.25">
      <c r="A519" t="s">
        <v>414</v>
      </c>
      <c r="B519" s="4">
        <v>229</v>
      </c>
      <c r="C519" s="4">
        <v>-23</v>
      </c>
      <c r="D519" s="3">
        <v>2</v>
      </c>
      <c r="E519" t="s">
        <v>895</v>
      </c>
      <c r="F519" t="s">
        <v>897</v>
      </c>
      <c r="G519" t="s">
        <v>898</v>
      </c>
      <c r="H519" s="6">
        <f>_xlfn.XLOOKUP(A519,Orders[OrderID],Orders[OrderDate])</f>
        <v>43230</v>
      </c>
      <c r="I519" t="str">
        <f>_xlfn.XLOOKUP(A519,Orders[OrderID],Orders[CustomerName])</f>
        <v>Sabah</v>
      </c>
      <c r="J519" t="str">
        <f>_xlfn.XLOOKUP(A519,Orders[OrderID],Orders[State])</f>
        <v>Maharashtra</v>
      </c>
      <c r="K519" t="str">
        <f>_xlfn.XLOOKUP(A519,Orders[OrderID],Orders[City])</f>
        <v>Mumbai</v>
      </c>
      <c r="L519" s="3">
        <f>YEAR(Clean_Data[[#This Row],[OrderDate]])</f>
        <v>2018</v>
      </c>
      <c r="M519" s="3">
        <f>MONTH(Clean_Data[[#This Row],[OrderDate]])</f>
        <v>5</v>
      </c>
      <c r="N519" s="8" t="str">
        <f>TEXT(Clean_Data[[#This Row],[OrderDate]],"mmm")</f>
        <v>May</v>
      </c>
      <c r="O519" s="8" t="str">
        <f>TEXT(Clean_Data[[#This Row],[OrderDate]], "yyyy-mm")</f>
        <v>2018-05</v>
      </c>
      <c r="P519" s="7">
        <f>Clean_Data[[#This Row],[Profit]]/Clean_Data[[#This Row],[Revenue ]]</f>
        <v>-0.10043668122270742</v>
      </c>
      <c r="Q519" t="str">
        <f>"Q"&amp;ROUNDUP(MONTH(Clean_Data[[#This Row],[OrderDate]])/3,0)</f>
        <v>Q2</v>
      </c>
      <c r="R519" t="str">
        <f>TEXT(Clean_Data[[#This Row],[OrderDate]], "dddd")</f>
        <v>Thursday</v>
      </c>
    </row>
    <row r="520" spans="1:18" x14ac:dyDescent="0.25">
      <c r="A520" t="s">
        <v>235</v>
      </c>
      <c r="B520" s="4">
        <v>27</v>
      </c>
      <c r="C520" s="4">
        <v>0</v>
      </c>
      <c r="D520" s="3">
        <v>2</v>
      </c>
      <c r="E520" t="s">
        <v>895</v>
      </c>
      <c r="F520" t="s">
        <v>904</v>
      </c>
      <c r="G520" t="s">
        <v>887</v>
      </c>
      <c r="H520" s="6">
        <f>_xlfn.XLOOKUP(A520,Orders[OrderID],Orders[OrderDate])</f>
        <v>43114</v>
      </c>
      <c r="I520" t="str">
        <f>_xlfn.XLOOKUP(A520,Orders[OrderID],Orders[CustomerName])</f>
        <v>Trupti</v>
      </c>
      <c r="J520" t="str">
        <f>_xlfn.XLOOKUP(A520,Orders[OrderID],Orders[State])</f>
        <v>Gujarat</v>
      </c>
      <c r="K520" t="str">
        <f>_xlfn.XLOOKUP(A520,Orders[OrderID],Orders[City])</f>
        <v>Ahmedabad</v>
      </c>
      <c r="L520" s="3">
        <f>YEAR(Clean_Data[[#This Row],[OrderDate]])</f>
        <v>2018</v>
      </c>
      <c r="M520" s="3">
        <f>MONTH(Clean_Data[[#This Row],[OrderDate]])</f>
        <v>1</v>
      </c>
      <c r="N520" s="8" t="str">
        <f>TEXT(Clean_Data[[#This Row],[OrderDate]],"mmm")</f>
        <v>Jan</v>
      </c>
      <c r="O520" s="8" t="str">
        <f>TEXT(Clean_Data[[#This Row],[OrderDate]], "yyyy-mm")</f>
        <v>2018-01</v>
      </c>
      <c r="P520" s="7">
        <f>Clean_Data[[#This Row],[Profit]]/Clean_Data[[#This Row],[Revenue ]]</f>
        <v>0</v>
      </c>
      <c r="Q520" t="str">
        <f>"Q"&amp;ROUNDUP(MONTH(Clean_Data[[#This Row],[OrderDate]])/3,0)</f>
        <v>Q1</v>
      </c>
      <c r="R520" t="str">
        <f>TEXT(Clean_Data[[#This Row],[OrderDate]], "dddd")</f>
        <v>Sunday</v>
      </c>
    </row>
    <row r="521" spans="1:18" x14ac:dyDescent="0.25">
      <c r="A521" t="s">
        <v>89</v>
      </c>
      <c r="B521" s="4">
        <v>685</v>
      </c>
      <c r="C521" s="4">
        <v>7</v>
      </c>
      <c r="D521" s="3">
        <v>7</v>
      </c>
      <c r="E521" t="s">
        <v>895</v>
      </c>
      <c r="F521" t="s">
        <v>896</v>
      </c>
      <c r="G521" t="s">
        <v>898</v>
      </c>
      <c r="H521" s="6">
        <f>_xlfn.XLOOKUP(A521,Orders[OrderID],Orders[OrderDate])</f>
        <v>43448</v>
      </c>
      <c r="I521" t="str">
        <f>_xlfn.XLOOKUP(A521,Orders[OrderID],Orders[CustomerName])</f>
        <v>Jay</v>
      </c>
      <c r="J521" t="str">
        <f>_xlfn.XLOOKUP(A521,Orders[OrderID],Orders[State])</f>
        <v>Delhi</v>
      </c>
      <c r="K521" t="str">
        <f>_xlfn.XLOOKUP(A521,Orders[OrderID],Orders[City])</f>
        <v>Delhi</v>
      </c>
      <c r="L521" s="3">
        <f>YEAR(Clean_Data[[#This Row],[OrderDate]])</f>
        <v>2018</v>
      </c>
      <c r="M521" s="3">
        <f>MONTH(Clean_Data[[#This Row],[OrderDate]])</f>
        <v>12</v>
      </c>
      <c r="N521" s="8" t="str">
        <f>TEXT(Clean_Data[[#This Row],[OrderDate]],"mmm")</f>
        <v>Dec</v>
      </c>
      <c r="O521" s="8" t="str">
        <f>TEXT(Clean_Data[[#This Row],[OrderDate]], "yyyy-mm")</f>
        <v>2018-12</v>
      </c>
      <c r="P521" s="7">
        <f>Clean_Data[[#This Row],[Profit]]/Clean_Data[[#This Row],[Revenue ]]</f>
        <v>1.0218978102189781E-2</v>
      </c>
      <c r="Q521" t="str">
        <f>"Q"&amp;ROUNDUP(MONTH(Clean_Data[[#This Row],[OrderDate]])/3,0)</f>
        <v>Q4</v>
      </c>
      <c r="R521" t="str">
        <f>TEXT(Clean_Data[[#This Row],[OrderDate]], "dddd")</f>
        <v>Friday</v>
      </c>
    </row>
    <row r="522" spans="1:18" x14ac:dyDescent="0.25">
      <c r="A522" t="s">
        <v>676</v>
      </c>
      <c r="B522" s="4">
        <v>75</v>
      </c>
      <c r="C522" s="4">
        <v>2</v>
      </c>
      <c r="D522" s="3">
        <v>5</v>
      </c>
      <c r="E522" t="s">
        <v>895</v>
      </c>
      <c r="F522" t="s">
        <v>904</v>
      </c>
      <c r="G522" t="s">
        <v>907</v>
      </c>
      <c r="H522" s="6">
        <f>_xlfn.XLOOKUP(A522,Orders[OrderID],Orders[OrderDate])</f>
        <v>43175</v>
      </c>
      <c r="I522" t="str">
        <f>_xlfn.XLOOKUP(A522,Orders[OrderID],Orders[CustomerName])</f>
        <v>Ankita</v>
      </c>
      <c r="J522" t="str">
        <f>_xlfn.XLOOKUP(A522,Orders[OrderID],Orders[State])</f>
        <v>Maharashtra</v>
      </c>
      <c r="K522" t="str">
        <f>_xlfn.XLOOKUP(A522,Orders[OrderID],Orders[City])</f>
        <v>Mumbai</v>
      </c>
      <c r="L522" s="3">
        <f>YEAR(Clean_Data[[#This Row],[OrderDate]])</f>
        <v>2018</v>
      </c>
      <c r="M522" s="3">
        <f>MONTH(Clean_Data[[#This Row],[OrderDate]])</f>
        <v>3</v>
      </c>
      <c r="N522" s="8" t="str">
        <f>TEXT(Clean_Data[[#This Row],[OrderDate]],"mmm")</f>
        <v>Mar</v>
      </c>
      <c r="O522" s="8" t="str">
        <f>TEXT(Clean_Data[[#This Row],[OrderDate]], "yyyy-mm")</f>
        <v>2018-03</v>
      </c>
      <c r="P522" s="7">
        <f>Clean_Data[[#This Row],[Profit]]/Clean_Data[[#This Row],[Revenue ]]</f>
        <v>2.6666666666666668E-2</v>
      </c>
      <c r="Q522" t="str">
        <f>"Q"&amp;ROUNDUP(MONTH(Clean_Data[[#This Row],[OrderDate]])/3,0)</f>
        <v>Q1</v>
      </c>
      <c r="R522" t="str">
        <f>TEXT(Clean_Data[[#This Row],[OrderDate]], "dddd")</f>
        <v>Friday</v>
      </c>
    </row>
    <row r="523" spans="1:18" x14ac:dyDescent="0.25">
      <c r="A523" t="s">
        <v>354</v>
      </c>
      <c r="B523" s="4">
        <v>161</v>
      </c>
      <c r="C523" s="4">
        <v>-229</v>
      </c>
      <c r="D523" s="3">
        <v>8</v>
      </c>
      <c r="E523" t="s">
        <v>888</v>
      </c>
      <c r="F523" t="s">
        <v>908</v>
      </c>
      <c r="G523" t="s">
        <v>887</v>
      </c>
      <c r="H523" s="6">
        <f>_xlfn.XLOOKUP(A523,Orders[OrderID],Orders[OrderDate])</f>
        <v>43130</v>
      </c>
      <c r="I523" t="str">
        <f>_xlfn.XLOOKUP(A523,Orders[OrderID],Orders[CustomerName])</f>
        <v>Atul</v>
      </c>
      <c r="J523" t="str">
        <f>_xlfn.XLOOKUP(A523,Orders[OrderID],Orders[State])</f>
        <v>Delhi</v>
      </c>
      <c r="K523" t="str">
        <f>_xlfn.XLOOKUP(A523,Orders[OrderID],Orders[City])</f>
        <v>Delhi</v>
      </c>
      <c r="L523" s="3">
        <f>YEAR(Clean_Data[[#This Row],[OrderDate]])</f>
        <v>2018</v>
      </c>
      <c r="M523" s="3">
        <f>MONTH(Clean_Data[[#This Row],[OrderDate]])</f>
        <v>1</v>
      </c>
      <c r="N523" s="8" t="str">
        <f>TEXT(Clean_Data[[#This Row],[OrderDate]],"mmm")</f>
        <v>Jan</v>
      </c>
      <c r="O523" s="8" t="str">
        <f>TEXT(Clean_Data[[#This Row],[OrderDate]], "yyyy-mm")</f>
        <v>2018-01</v>
      </c>
      <c r="P523" s="7">
        <f>Clean_Data[[#This Row],[Profit]]/Clean_Data[[#This Row],[Revenue ]]</f>
        <v>-1.4223602484472049</v>
      </c>
      <c r="Q523" t="str">
        <f>"Q"&amp;ROUNDUP(MONTH(Clean_Data[[#This Row],[OrderDate]])/3,0)</f>
        <v>Q1</v>
      </c>
      <c r="R523" t="str">
        <f>TEXT(Clean_Data[[#This Row],[OrderDate]], "dddd")</f>
        <v>Tuesday</v>
      </c>
    </row>
    <row r="524" spans="1:18" x14ac:dyDescent="0.25">
      <c r="A524" t="s">
        <v>516</v>
      </c>
      <c r="B524" s="4">
        <v>71</v>
      </c>
      <c r="C524" s="4">
        <v>19</v>
      </c>
      <c r="D524" s="3">
        <v>3</v>
      </c>
      <c r="E524" t="s">
        <v>895</v>
      </c>
      <c r="F524" t="s">
        <v>906</v>
      </c>
      <c r="G524" t="s">
        <v>887</v>
      </c>
      <c r="H524" s="6">
        <f>_xlfn.XLOOKUP(A524,Orders[OrderID],Orders[OrderDate])</f>
        <v>43139</v>
      </c>
      <c r="I524" t="str">
        <f>_xlfn.XLOOKUP(A524,Orders[OrderID],Orders[CustomerName])</f>
        <v>Harsh</v>
      </c>
      <c r="J524" t="str">
        <f>_xlfn.XLOOKUP(A524,Orders[OrderID],Orders[State])</f>
        <v>Delhi</v>
      </c>
      <c r="K524" t="str">
        <f>_xlfn.XLOOKUP(A524,Orders[OrderID],Orders[City])</f>
        <v>Delhi</v>
      </c>
      <c r="L524" s="3">
        <f>YEAR(Clean_Data[[#This Row],[OrderDate]])</f>
        <v>2018</v>
      </c>
      <c r="M524" s="3">
        <f>MONTH(Clean_Data[[#This Row],[OrderDate]])</f>
        <v>2</v>
      </c>
      <c r="N524" s="8" t="str">
        <f>TEXT(Clean_Data[[#This Row],[OrderDate]],"mmm")</f>
        <v>Feb</v>
      </c>
      <c r="O524" s="8" t="str">
        <f>TEXT(Clean_Data[[#This Row],[OrderDate]], "yyyy-mm")</f>
        <v>2018-02</v>
      </c>
      <c r="P524" s="7">
        <f>Clean_Data[[#This Row],[Profit]]/Clean_Data[[#This Row],[Revenue ]]</f>
        <v>0.26760563380281688</v>
      </c>
      <c r="Q524" t="str">
        <f>"Q"&amp;ROUNDUP(MONTH(Clean_Data[[#This Row],[OrderDate]])/3,0)</f>
        <v>Q1</v>
      </c>
      <c r="R524" t="str">
        <f>TEXT(Clean_Data[[#This Row],[OrderDate]], "dddd")</f>
        <v>Thursday</v>
      </c>
    </row>
    <row r="525" spans="1:18" x14ac:dyDescent="0.25">
      <c r="A525" t="s">
        <v>224</v>
      </c>
      <c r="B525" s="4">
        <v>211</v>
      </c>
      <c r="C525" s="4">
        <v>-105</v>
      </c>
      <c r="D525" s="3">
        <v>2</v>
      </c>
      <c r="E525" t="s">
        <v>895</v>
      </c>
      <c r="F525" t="s">
        <v>897</v>
      </c>
      <c r="G525" t="s">
        <v>893</v>
      </c>
      <c r="H525" s="6">
        <f>_xlfn.XLOOKUP(A525,Orders[OrderID],Orders[OrderDate])</f>
        <v>43226</v>
      </c>
      <c r="I525" t="str">
        <f>_xlfn.XLOOKUP(A525,Orders[OrderID],Orders[CustomerName])</f>
        <v>Chirag</v>
      </c>
      <c r="J525" t="str">
        <f>_xlfn.XLOOKUP(A525,Orders[OrderID],Orders[State])</f>
        <v>Maharashtra</v>
      </c>
      <c r="K525" t="str">
        <f>_xlfn.XLOOKUP(A525,Orders[OrderID],Orders[City])</f>
        <v>Mumbai</v>
      </c>
      <c r="L525" s="3">
        <f>YEAR(Clean_Data[[#This Row],[OrderDate]])</f>
        <v>2018</v>
      </c>
      <c r="M525" s="3">
        <f>MONTH(Clean_Data[[#This Row],[OrderDate]])</f>
        <v>5</v>
      </c>
      <c r="N525" s="8" t="str">
        <f>TEXT(Clean_Data[[#This Row],[OrderDate]],"mmm")</f>
        <v>May</v>
      </c>
      <c r="O525" s="8" t="str">
        <f>TEXT(Clean_Data[[#This Row],[OrderDate]], "yyyy-mm")</f>
        <v>2018-05</v>
      </c>
      <c r="P525" s="7">
        <f>Clean_Data[[#This Row],[Profit]]/Clean_Data[[#This Row],[Revenue ]]</f>
        <v>-0.49763033175355448</v>
      </c>
      <c r="Q525" t="str">
        <f>"Q"&amp;ROUNDUP(MONTH(Clean_Data[[#This Row],[OrderDate]])/3,0)</f>
        <v>Q2</v>
      </c>
      <c r="R525" t="str">
        <f>TEXT(Clean_Data[[#This Row],[OrderDate]], "dddd")</f>
        <v>Sunday</v>
      </c>
    </row>
    <row r="526" spans="1:18" x14ac:dyDescent="0.25">
      <c r="A526" t="s">
        <v>578</v>
      </c>
      <c r="B526" s="4">
        <v>79</v>
      </c>
      <c r="C526" s="4">
        <v>5</v>
      </c>
      <c r="D526" s="3">
        <v>6</v>
      </c>
      <c r="E526" t="s">
        <v>895</v>
      </c>
      <c r="F526" t="s">
        <v>899</v>
      </c>
      <c r="G526" t="s">
        <v>907</v>
      </c>
      <c r="H526" s="6">
        <f>_xlfn.XLOOKUP(A526,Orders[OrderID],Orders[OrderDate])</f>
        <v>43160</v>
      </c>
      <c r="I526" t="str">
        <f>_xlfn.XLOOKUP(A526,Orders[OrderID],Orders[CustomerName])</f>
        <v>Amit</v>
      </c>
      <c r="J526" t="str">
        <f>_xlfn.XLOOKUP(A526,Orders[OrderID],Orders[State])</f>
        <v>Sikkim</v>
      </c>
      <c r="K526" t="str">
        <f>_xlfn.XLOOKUP(A526,Orders[OrderID],Orders[City])</f>
        <v>Gangtok</v>
      </c>
      <c r="L526" s="3">
        <f>YEAR(Clean_Data[[#This Row],[OrderDate]])</f>
        <v>2018</v>
      </c>
      <c r="M526" s="3">
        <f>MONTH(Clean_Data[[#This Row],[OrderDate]])</f>
        <v>3</v>
      </c>
      <c r="N526" s="8" t="str">
        <f>TEXT(Clean_Data[[#This Row],[OrderDate]],"mmm")</f>
        <v>Mar</v>
      </c>
      <c r="O526" s="8" t="str">
        <f>TEXT(Clean_Data[[#This Row],[OrderDate]], "yyyy-mm")</f>
        <v>2018-03</v>
      </c>
      <c r="P526" s="7">
        <f>Clean_Data[[#This Row],[Profit]]/Clean_Data[[#This Row],[Revenue ]]</f>
        <v>6.3291139240506333E-2</v>
      </c>
      <c r="Q526" t="str">
        <f>"Q"&amp;ROUNDUP(MONTH(Clean_Data[[#This Row],[OrderDate]])/3,0)</f>
        <v>Q1</v>
      </c>
      <c r="R526" t="str">
        <f>TEXT(Clean_Data[[#This Row],[OrderDate]], "dddd")</f>
        <v>Thursday</v>
      </c>
    </row>
    <row r="527" spans="1:18" x14ac:dyDescent="0.25">
      <c r="A527" t="s">
        <v>211</v>
      </c>
      <c r="B527" s="4">
        <v>32</v>
      </c>
      <c r="C527" s="4">
        <v>-22</v>
      </c>
      <c r="D527" s="3">
        <v>5</v>
      </c>
      <c r="E527" t="s">
        <v>895</v>
      </c>
      <c r="F527" t="s">
        <v>897</v>
      </c>
      <c r="G527" t="s">
        <v>898</v>
      </c>
      <c r="H527" s="6">
        <f>_xlfn.XLOOKUP(A527,Orders[OrderID],Orders[OrderDate])</f>
        <v>43233</v>
      </c>
      <c r="I527" t="str">
        <f>_xlfn.XLOOKUP(A527,Orders[OrderID],Orders[CustomerName])</f>
        <v>Tulika</v>
      </c>
      <c r="J527" t="str">
        <f>_xlfn.XLOOKUP(A527,Orders[OrderID],Orders[State])</f>
        <v>Madhya Pradesh</v>
      </c>
      <c r="K527" t="str">
        <f>_xlfn.XLOOKUP(A527,Orders[OrderID],Orders[City])</f>
        <v>Bhopal</v>
      </c>
      <c r="L527" s="3">
        <f>YEAR(Clean_Data[[#This Row],[OrderDate]])</f>
        <v>2018</v>
      </c>
      <c r="M527" s="3">
        <f>MONTH(Clean_Data[[#This Row],[OrderDate]])</f>
        <v>5</v>
      </c>
      <c r="N527" s="8" t="str">
        <f>TEXT(Clean_Data[[#This Row],[OrderDate]],"mmm")</f>
        <v>May</v>
      </c>
      <c r="O527" s="8" t="str">
        <f>TEXT(Clean_Data[[#This Row],[OrderDate]], "yyyy-mm")</f>
        <v>2018-05</v>
      </c>
      <c r="P527" s="7">
        <f>Clean_Data[[#This Row],[Profit]]/Clean_Data[[#This Row],[Revenue ]]</f>
        <v>-0.6875</v>
      </c>
      <c r="Q527" t="str">
        <f>"Q"&amp;ROUNDUP(MONTH(Clean_Data[[#This Row],[OrderDate]])/3,0)</f>
        <v>Q2</v>
      </c>
      <c r="R527" t="str">
        <f>TEXT(Clean_Data[[#This Row],[OrderDate]], "dddd")</f>
        <v>Sunday</v>
      </c>
    </row>
    <row r="528" spans="1:18" x14ac:dyDescent="0.25">
      <c r="A528" t="s">
        <v>216</v>
      </c>
      <c r="B528" s="4">
        <v>161</v>
      </c>
      <c r="C528" s="4">
        <v>40</v>
      </c>
      <c r="D528" s="3">
        <v>3</v>
      </c>
      <c r="E528" t="s">
        <v>895</v>
      </c>
      <c r="F528" t="s">
        <v>903</v>
      </c>
      <c r="G528" t="s">
        <v>887</v>
      </c>
      <c r="H528" s="6">
        <f>_xlfn.XLOOKUP(A528,Orders[OrderID],Orders[OrderDate])</f>
        <v>43402</v>
      </c>
      <c r="I528" t="str">
        <f>_xlfn.XLOOKUP(A528,Orders[OrderID],Orders[CustomerName])</f>
        <v>Sanjana</v>
      </c>
      <c r="J528" t="str">
        <f>_xlfn.XLOOKUP(A528,Orders[OrderID],Orders[State])</f>
        <v>Madhya Pradesh</v>
      </c>
      <c r="K528" t="str">
        <f>_xlfn.XLOOKUP(A528,Orders[OrderID],Orders[City])</f>
        <v>Indore</v>
      </c>
      <c r="L528" s="3">
        <f>YEAR(Clean_Data[[#This Row],[OrderDate]])</f>
        <v>2018</v>
      </c>
      <c r="M528" s="3">
        <f>MONTH(Clean_Data[[#This Row],[OrderDate]])</f>
        <v>10</v>
      </c>
      <c r="N528" s="8" t="str">
        <f>TEXT(Clean_Data[[#This Row],[OrderDate]],"mmm")</f>
        <v>Oct</v>
      </c>
      <c r="O528" s="8" t="str">
        <f>TEXT(Clean_Data[[#This Row],[OrderDate]], "yyyy-mm")</f>
        <v>2018-10</v>
      </c>
      <c r="P528" s="7">
        <f>Clean_Data[[#This Row],[Profit]]/Clean_Data[[#This Row],[Revenue ]]</f>
        <v>0.2484472049689441</v>
      </c>
      <c r="Q528" t="str">
        <f>"Q"&amp;ROUNDUP(MONTH(Clean_Data[[#This Row],[OrderDate]])/3,0)</f>
        <v>Q4</v>
      </c>
      <c r="R528" t="str">
        <f>TEXT(Clean_Data[[#This Row],[OrderDate]], "dddd")</f>
        <v>Monday</v>
      </c>
    </row>
    <row r="529" spans="1:18" x14ac:dyDescent="0.25">
      <c r="A529" t="s">
        <v>258</v>
      </c>
      <c r="B529" s="4">
        <v>159</v>
      </c>
      <c r="C529" s="4">
        <v>4</v>
      </c>
      <c r="D529" s="3">
        <v>1</v>
      </c>
      <c r="E529" t="s">
        <v>895</v>
      </c>
      <c r="F529" t="s">
        <v>897</v>
      </c>
      <c r="G529" t="s">
        <v>887</v>
      </c>
      <c r="H529" s="6">
        <f>_xlfn.XLOOKUP(A529,Orders[OrderID],Orders[OrderDate])</f>
        <v>43227</v>
      </c>
      <c r="I529" t="str">
        <f>_xlfn.XLOOKUP(A529,Orders[OrderID],Orders[CustomerName])</f>
        <v>Anurag</v>
      </c>
      <c r="J529" t="str">
        <f>_xlfn.XLOOKUP(A529,Orders[OrderID],Orders[State])</f>
        <v>Madhya Pradesh</v>
      </c>
      <c r="K529" t="str">
        <f>_xlfn.XLOOKUP(A529,Orders[OrderID],Orders[City])</f>
        <v>Indore</v>
      </c>
      <c r="L529" s="3">
        <f>YEAR(Clean_Data[[#This Row],[OrderDate]])</f>
        <v>2018</v>
      </c>
      <c r="M529" s="3">
        <f>MONTH(Clean_Data[[#This Row],[OrderDate]])</f>
        <v>5</v>
      </c>
      <c r="N529" s="8" t="str">
        <f>TEXT(Clean_Data[[#This Row],[OrderDate]],"mmm")</f>
        <v>May</v>
      </c>
      <c r="O529" s="8" t="str">
        <f>TEXT(Clean_Data[[#This Row],[OrderDate]], "yyyy-mm")</f>
        <v>2018-05</v>
      </c>
      <c r="P529" s="7">
        <f>Clean_Data[[#This Row],[Profit]]/Clean_Data[[#This Row],[Revenue ]]</f>
        <v>2.5157232704402517E-2</v>
      </c>
      <c r="Q529" t="str">
        <f>"Q"&amp;ROUNDUP(MONTH(Clean_Data[[#This Row],[OrderDate]])/3,0)</f>
        <v>Q2</v>
      </c>
      <c r="R529" t="str">
        <f>TEXT(Clean_Data[[#This Row],[OrderDate]], "dddd")</f>
        <v>Monday</v>
      </c>
    </row>
    <row r="530" spans="1:18" x14ac:dyDescent="0.25">
      <c r="A530" t="s">
        <v>548</v>
      </c>
      <c r="B530" s="4">
        <v>210</v>
      </c>
      <c r="C530" s="4">
        <v>-50</v>
      </c>
      <c r="D530" s="3">
        <v>4</v>
      </c>
      <c r="E530" t="s">
        <v>895</v>
      </c>
      <c r="F530" t="s">
        <v>899</v>
      </c>
      <c r="G530" t="s">
        <v>893</v>
      </c>
      <c r="H530" s="6">
        <f>_xlfn.XLOOKUP(A530,Orders[OrderID],Orders[OrderDate])</f>
        <v>43381</v>
      </c>
      <c r="I530" t="str">
        <f>_xlfn.XLOOKUP(A530,Orders[OrderID],Orders[CustomerName])</f>
        <v>Apsingekar</v>
      </c>
      <c r="J530" t="str">
        <f>_xlfn.XLOOKUP(A530,Orders[OrderID],Orders[State])</f>
        <v>Bihar</v>
      </c>
      <c r="K530" t="str">
        <f>_xlfn.XLOOKUP(A530,Orders[OrderID],Orders[City])</f>
        <v>Patna</v>
      </c>
      <c r="L530" s="3">
        <f>YEAR(Clean_Data[[#This Row],[OrderDate]])</f>
        <v>2018</v>
      </c>
      <c r="M530" s="3">
        <f>MONTH(Clean_Data[[#This Row],[OrderDate]])</f>
        <v>10</v>
      </c>
      <c r="N530" s="8" t="str">
        <f>TEXT(Clean_Data[[#This Row],[OrderDate]],"mmm")</f>
        <v>Oct</v>
      </c>
      <c r="O530" s="8" t="str">
        <f>TEXT(Clean_Data[[#This Row],[OrderDate]], "yyyy-mm")</f>
        <v>2018-10</v>
      </c>
      <c r="P530" s="7">
        <f>Clean_Data[[#This Row],[Profit]]/Clean_Data[[#This Row],[Revenue ]]</f>
        <v>-0.23809523809523808</v>
      </c>
      <c r="Q530" t="str">
        <f>"Q"&amp;ROUNDUP(MONTH(Clean_Data[[#This Row],[OrderDate]])/3,0)</f>
        <v>Q4</v>
      </c>
      <c r="R530" t="str">
        <f>TEXT(Clean_Data[[#This Row],[OrderDate]], "dddd")</f>
        <v>Monday</v>
      </c>
    </row>
    <row r="531" spans="1:18" x14ac:dyDescent="0.25">
      <c r="A531" t="s">
        <v>10</v>
      </c>
      <c r="B531" s="4">
        <v>79</v>
      </c>
      <c r="C531" s="4">
        <v>39</v>
      </c>
      <c r="D531" s="3">
        <v>2</v>
      </c>
      <c r="E531" t="s">
        <v>895</v>
      </c>
      <c r="F531" t="s">
        <v>909</v>
      </c>
      <c r="G531" t="s">
        <v>907</v>
      </c>
      <c r="H531" s="6">
        <f>_xlfn.XLOOKUP(A531,Orders[OrderID],Orders[OrderDate])</f>
        <v>43124</v>
      </c>
      <c r="I531" t="str">
        <f>_xlfn.XLOOKUP(A531,Orders[OrderID],Orders[CustomerName])</f>
        <v>Madan Mohan</v>
      </c>
      <c r="J531" t="str">
        <f>_xlfn.XLOOKUP(A531,Orders[OrderID],Orders[State])</f>
        <v>Uttar Pradesh</v>
      </c>
      <c r="K531" t="str">
        <f>_xlfn.XLOOKUP(A531,Orders[OrderID],Orders[City])</f>
        <v>Mathura</v>
      </c>
      <c r="L531" s="3">
        <f>YEAR(Clean_Data[[#This Row],[OrderDate]])</f>
        <v>2018</v>
      </c>
      <c r="M531" s="3">
        <f>MONTH(Clean_Data[[#This Row],[OrderDate]])</f>
        <v>1</v>
      </c>
      <c r="N531" s="8" t="str">
        <f>TEXT(Clean_Data[[#This Row],[OrderDate]],"mmm")</f>
        <v>Jan</v>
      </c>
      <c r="O531" s="8" t="str">
        <f>TEXT(Clean_Data[[#This Row],[OrderDate]], "yyyy-mm")</f>
        <v>2018-01</v>
      </c>
      <c r="P531" s="7">
        <f>Clean_Data[[#This Row],[Profit]]/Clean_Data[[#This Row],[Revenue ]]</f>
        <v>0.49367088607594939</v>
      </c>
      <c r="Q531" t="str">
        <f>"Q"&amp;ROUNDUP(MONTH(Clean_Data[[#This Row],[OrderDate]])/3,0)</f>
        <v>Q1</v>
      </c>
      <c r="R531" t="str">
        <f>TEXT(Clean_Data[[#This Row],[OrderDate]], "dddd")</f>
        <v>Wednesday</v>
      </c>
    </row>
    <row r="532" spans="1:18" x14ac:dyDescent="0.25">
      <c r="A532" t="s">
        <v>379</v>
      </c>
      <c r="B532" s="4">
        <v>207</v>
      </c>
      <c r="C532" s="4">
        <v>153</v>
      </c>
      <c r="D532" s="3">
        <v>3</v>
      </c>
      <c r="E532" t="s">
        <v>895</v>
      </c>
      <c r="F532" t="s">
        <v>897</v>
      </c>
      <c r="G532" t="s">
        <v>893</v>
      </c>
      <c r="H532" s="6">
        <f>_xlfn.XLOOKUP(A532,Orders[OrderID],Orders[OrderDate])</f>
        <v>43274</v>
      </c>
      <c r="I532" t="str">
        <f>_xlfn.XLOOKUP(A532,Orders[OrderID],Orders[CustomerName])</f>
        <v>Amisha</v>
      </c>
      <c r="J532" t="str">
        <f>_xlfn.XLOOKUP(A532,Orders[OrderID],Orders[State])</f>
        <v>Tamil Nadu</v>
      </c>
      <c r="K532" t="str">
        <f>_xlfn.XLOOKUP(A532,Orders[OrderID],Orders[City])</f>
        <v>Chennai</v>
      </c>
      <c r="L532" s="3">
        <f>YEAR(Clean_Data[[#This Row],[OrderDate]])</f>
        <v>2018</v>
      </c>
      <c r="M532" s="3">
        <f>MONTH(Clean_Data[[#This Row],[OrderDate]])</f>
        <v>6</v>
      </c>
      <c r="N532" s="8" t="str">
        <f>TEXT(Clean_Data[[#This Row],[OrderDate]],"mmm")</f>
        <v>Jun</v>
      </c>
      <c r="O532" s="8" t="str">
        <f>TEXT(Clean_Data[[#This Row],[OrderDate]], "yyyy-mm")</f>
        <v>2018-06</v>
      </c>
      <c r="P532" s="7">
        <f>Clean_Data[[#This Row],[Profit]]/Clean_Data[[#This Row],[Revenue ]]</f>
        <v>0.73913043478260865</v>
      </c>
      <c r="Q532" t="str">
        <f>"Q"&amp;ROUNDUP(MONTH(Clean_Data[[#This Row],[OrderDate]])/3,0)</f>
        <v>Q2</v>
      </c>
      <c r="R532" t="str">
        <f>TEXT(Clean_Data[[#This Row],[OrderDate]], "dddd")</f>
        <v>Saturday</v>
      </c>
    </row>
    <row r="533" spans="1:18" x14ac:dyDescent="0.25">
      <c r="A533" t="s">
        <v>724</v>
      </c>
      <c r="B533" s="4">
        <v>36</v>
      </c>
      <c r="C533" s="4">
        <v>0</v>
      </c>
      <c r="D533" s="3">
        <v>4</v>
      </c>
      <c r="E533" t="s">
        <v>895</v>
      </c>
      <c r="F533" t="s">
        <v>900</v>
      </c>
      <c r="G533" t="s">
        <v>887</v>
      </c>
      <c r="H533" s="6">
        <f>_xlfn.XLOOKUP(A533,Orders[OrderID],Orders[OrderDate])</f>
        <v>43387</v>
      </c>
      <c r="I533" t="str">
        <f>_xlfn.XLOOKUP(A533,Orders[OrderID],Orders[CustomerName])</f>
        <v>Sandeep</v>
      </c>
      <c r="J533" t="str">
        <f>_xlfn.XLOOKUP(A533,Orders[OrderID],Orders[State])</f>
        <v>Madhya Pradesh</v>
      </c>
      <c r="K533" t="str">
        <f>_xlfn.XLOOKUP(A533,Orders[OrderID],Orders[City])</f>
        <v>Indore</v>
      </c>
      <c r="L533" s="3">
        <f>YEAR(Clean_Data[[#This Row],[OrderDate]])</f>
        <v>2018</v>
      </c>
      <c r="M533" s="3">
        <f>MONTH(Clean_Data[[#This Row],[OrderDate]])</f>
        <v>10</v>
      </c>
      <c r="N533" s="8" t="str">
        <f>TEXT(Clean_Data[[#This Row],[OrderDate]],"mmm")</f>
        <v>Oct</v>
      </c>
      <c r="O533" s="8" t="str">
        <f>TEXT(Clean_Data[[#This Row],[OrderDate]], "yyyy-mm")</f>
        <v>2018-10</v>
      </c>
      <c r="P533" s="7">
        <f>Clean_Data[[#This Row],[Profit]]/Clean_Data[[#This Row],[Revenue ]]</f>
        <v>0</v>
      </c>
      <c r="Q533" t="str">
        <f>"Q"&amp;ROUNDUP(MONTH(Clean_Data[[#This Row],[OrderDate]])/3,0)</f>
        <v>Q4</v>
      </c>
      <c r="R533" t="str">
        <f>TEXT(Clean_Data[[#This Row],[OrderDate]], "dddd")</f>
        <v>Sunday</v>
      </c>
    </row>
    <row r="534" spans="1:18" x14ac:dyDescent="0.25">
      <c r="A534" t="s">
        <v>214</v>
      </c>
      <c r="B534" s="4">
        <v>206</v>
      </c>
      <c r="C534" s="4">
        <v>12</v>
      </c>
      <c r="D534" s="3">
        <v>1</v>
      </c>
      <c r="E534" t="s">
        <v>885</v>
      </c>
      <c r="F534" t="s">
        <v>892</v>
      </c>
      <c r="G534" t="s">
        <v>893</v>
      </c>
      <c r="H534" s="6">
        <f>_xlfn.XLOOKUP(A534,Orders[OrderID],Orders[OrderDate])</f>
        <v>43173</v>
      </c>
      <c r="I534" t="str">
        <f>_xlfn.XLOOKUP(A534,Orders[OrderID],Orders[CustomerName])</f>
        <v>Anurag</v>
      </c>
      <c r="J534" t="str">
        <f>_xlfn.XLOOKUP(A534,Orders[OrderID],Orders[State])</f>
        <v>Madhya Pradesh</v>
      </c>
      <c r="K534" t="str">
        <f>_xlfn.XLOOKUP(A534,Orders[OrderID],Orders[City])</f>
        <v>Indore</v>
      </c>
      <c r="L534" s="3">
        <f>YEAR(Clean_Data[[#This Row],[OrderDate]])</f>
        <v>2018</v>
      </c>
      <c r="M534" s="3">
        <f>MONTH(Clean_Data[[#This Row],[OrderDate]])</f>
        <v>3</v>
      </c>
      <c r="N534" s="8" t="str">
        <f>TEXT(Clean_Data[[#This Row],[OrderDate]],"mmm")</f>
        <v>Mar</v>
      </c>
      <c r="O534" s="8" t="str">
        <f>TEXT(Clean_Data[[#This Row],[OrderDate]], "yyyy-mm")</f>
        <v>2018-03</v>
      </c>
      <c r="P534" s="7">
        <f>Clean_Data[[#This Row],[Profit]]/Clean_Data[[#This Row],[Revenue ]]</f>
        <v>5.8252427184466021E-2</v>
      </c>
      <c r="Q534" t="str">
        <f>"Q"&amp;ROUNDUP(MONTH(Clean_Data[[#This Row],[OrderDate]])/3,0)</f>
        <v>Q1</v>
      </c>
      <c r="R534" t="str">
        <f>TEXT(Clean_Data[[#This Row],[OrderDate]], "dddd")</f>
        <v>Wednesday</v>
      </c>
    </row>
    <row r="535" spans="1:18" x14ac:dyDescent="0.25">
      <c r="A535" t="s">
        <v>288</v>
      </c>
      <c r="B535" s="4">
        <v>46</v>
      </c>
      <c r="C535" s="4">
        <v>0</v>
      </c>
      <c r="D535" s="3">
        <v>4</v>
      </c>
      <c r="E535" t="s">
        <v>895</v>
      </c>
      <c r="F535" t="s">
        <v>904</v>
      </c>
      <c r="G535" t="s">
        <v>887</v>
      </c>
      <c r="H535" s="6">
        <f>_xlfn.XLOOKUP(A535,Orders[OrderID],Orders[OrderDate])</f>
        <v>43428</v>
      </c>
      <c r="I535" t="str">
        <f>_xlfn.XLOOKUP(A535,Orders[OrderID],Orders[CustomerName])</f>
        <v>Mrinal</v>
      </c>
      <c r="J535" t="str">
        <f>_xlfn.XLOOKUP(A535,Orders[OrderID],Orders[State])</f>
        <v>Maharashtra</v>
      </c>
      <c r="K535" t="str">
        <f>_xlfn.XLOOKUP(A535,Orders[OrderID],Orders[City])</f>
        <v>Mumbai</v>
      </c>
      <c r="L535" s="3">
        <f>YEAR(Clean_Data[[#This Row],[OrderDate]])</f>
        <v>2018</v>
      </c>
      <c r="M535" s="3">
        <f>MONTH(Clean_Data[[#This Row],[OrderDate]])</f>
        <v>11</v>
      </c>
      <c r="N535" s="8" t="str">
        <f>TEXT(Clean_Data[[#This Row],[OrderDate]],"mmm")</f>
        <v>Nov</v>
      </c>
      <c r="O535" s="8" t="str">
        <f>TEXT(Clean_Data[[#This Row],[OrderDate]], "yyyy-mm")</f>
        <v>2018-11</v>
      </c>
      <c r="P535" s="7">
        <f>Clean_Data[[#This Row],[Profit]]/Clean_Data[[#This Row],[Revenue ]]</f>
        <v>0</v>
      </c>
      <c r="Q535" t="str">
        <f>"Q"&amp;ROUNDUP(MONTH(Clean_Data[[#This Row],[OrderDate]])/3,0)</f>
        <v>Q4</v>
      </c>
      <c r="R535" t="str">
        <f>TEXT(Clean_Data[[#This Row],[OrderDate]], "dddd")</f>
        <v>Saturday</v>
      </c>
    </row>
    <row r="536" spans="1:18" x14ac:dyDescent="0.25">
      <c r="A536" t="s">
        <v>358</v>
      </c>
      <c r="B536" s="4">
        <v>156</v>
      </c>
      <c r="C536" s="4">
        <v>23</v>
      </c>
      <c r="D536" s="3">
        <v>3</v>
      </c>
      <c r="E536" t="s">
        <v>895</v>
      </c>
      <c r="F536" t="s">
        <v>903</v>
      </c>
      <c r="G536" t="s">
        <v>887</v>
      </c>
      <c r="H536" s="6">
        <f>_xlfn.XLOOKUP(A536,Orders[OrderID],Orders[OrderDate])</f>
        <v>43169</v>
      </c>
      <c r="I536" t="str">
        <f>_xlfn.XLOOKUP(A536,Orders[OrderID],Orders[CustomerName])</f>
        <v>Mayank</v>
      </c>
      <c r="J536" t="str">
        <f>_xlfn.XLOOKUP(A536,Orders[OrderID],Orders[State])</f>
        <v>Maharashtra</v>
      </c>
      <c r="K536" t="str">
        <f>_xlfn.XLOOKUP(A536,Orders[OrderID],Orders[City])</f>
        <v>Mumbai</v>
      </c>
      <c r="L536" s="3">
        <f>YEAR(Clean_Data[[#This Row],[OrderDate]])</f>
        <v>2018</v>
      </c>
      <c r="M536" s="3">
        <f>MONTH(Clean_Data[[#This Row],[OrderDate]])</f>
        <v>3</v>
      </c>
      <c r="N536" s="8" t="str">
        <f>TEXT(Clean_Data[[#This Row],[OrderDate]],"mmm")</f>
        <v>Mar</v>
      </c>
      <c r="O536" s="8" t="str">
        <f>TEXT(Clean_Data[[#This Row],[OrderDate]], "yyyy-mm")</f>
        <v>2018-03</v>
      </c>
      <c r="P536" s="7">
        <f>Clean_Data[[#This Row],[Profit]]/Clean_Data[[#This Row],[Revenue ]]</f>
        <v>0.14743589743589744</v>
      </c>
      <c r="Q536" t="str">
        <f>"Q"&amp;ROUNDUP(MONTH(Clean_Data[[#This Row],[OrderDate]])/3,0)</f>
        <v>Q1</v>
      </c>
      <c r="R536" t="str">
        <f>TEXT(Clean_Data[[#This Row],[OrderDate]], "dddd")</f>
        <v>Saturday</v>
      </c>
    </row>
    <row r="537" spans="1:18" x14ac:dyDescent="0.25">
      <c r="A537" t="s">
        <v>616</v>
      </c>
      <c r="B537" s="4">
        <v>154</v>
      </c>
      <c r="C537" s="4">
        <v>54</v>
      </c>
      <c r="D537" s="3">
        <v>3</v>
      </c>
      <c r="E537" t="s">
        <v>895</v>
      </c>
      <c r="F537" t="s">
        <v>899</v>
      </c>
      <c r="G537" t="s">
        <v>887</v>
      </c>
      <c r="H537" s="6">
        <f>_xlfn.XLOOKUP(A537,Orders[OrderID],Orders[OrderDate])</f>
        <v>43382</v>
      </c>
      <c r="I537" t="str">
        <f>_xlfn.XLOOKUP(A537,Orders[OrderID],Orders[CustomerName])</f>
        <v>Suman</v>
      </c>
      <c r="J537" t="str">
        <f>_xlfn.XLOOKUP(A537,Orders[OrderID],Orders[State])</f>
        <v xml:space="preserve">Kerala </v>
      </c>
      <c r="K537" t="str">
        <f>_xlfn.XLOOKUP(A537,Orders[OrderID],Orders[City])</f>
        <v>Thiruvananthapuram</v>
      </c>
      <c r="L537" s="3">
        <f>YEAR(Clean_Data[[#This Row],[OrderDate]])</f>
        <v>2018</v>
      </c>
      <c r="M537" s="3">
        <f>MONTH(Clean_Data[[#This Row],[OrderDate]])</f>
        <v>10</v>
      </c>
      <c r="N537" s="8" t="str">
        <f>TEXT(Clean_Data[[#This Row],[OrderDate]],"mmm")</f>
        <v>Oct</v>
      </c>
      <c r="O537" s="8" t="str">
        <f>TEXT(Clean_Data[[#This Row],[OrderDate]], "yyyy-mm")</f>
        <v>2018-10</v>
      </c>
      <c r="P537" s="7">
        <f>Clean_Data[[#This Row],[Profit]]/Clean_Data[[#This Row],[Revenue ]]</f>
        <v>0.35064935064935066</v>
      </c>
      <c r="Q537" t="str">
        <f>"Q"&amp;ROUNDUP(MONTH(Clean_Data[[#This Row],[OrderDate]])/3,0)</f>
        <v>Q4</v>
      </c>
      <c r="R537" t="str">
        <f>TEXT(Clean_Data[[#This Row],[OrderDate]], "dddd")</f>
        <v>Tuesday</v>
      </c>
    </row>
    <row r="538" spans="1:18" x14ac:dyDescent="0.25">
      <c r="A538" t="s">
        <v>819</v>
      </c>
      <c r="B538" s="4">
        <v>36</v>
      </c>
      <c r="C538" s="4">
        <v>15</v>
      </c>
      <c r="D538" s="3">
        <v>3</v>
      </c>
      <c r="E538" t="s">
        <v>895</v>
      </c>
      <c r="F538" t="s">
        <v>903</v>
      </c>
      <c r="G538" t="s">
        <v>898</v>
      </c>
      <c r="H538" s="6">
        <f>_xlfn.XLOOKUP(A538,Orders[OrderID],Orders[OrderDate])</f>
        <v>43159</v>
      </c>
      <c r="I538" t="str">
        <f>_xlfn.XLOOKUP(A538,Orders[OrderID],Orders[CustomerName])</f>
        <v>Manish</v>
      </c>
      <c r="J538" t="str">
        <f>_xlfn.XLOOKUP(A538,Orders[OrderID],Orders[State])</f>
        <v>Himachal Pradesh</v>
      </c>
      <c r="K538" t="str">
        <f>_xlfn.XLOOKUP(A538,Orders[OrderID],Orders[City])</f>
        <v>Simla</v>
      </c>
      <c r="L538" s="3">
        <f>YEAR(Clean_Data[[#This Row],[OrderDate]])</f>
        <v>2018</v>
      </c>
      <c r="M538" s="3">
        <f>MONTH(Clean_Data[[#This Row],[OrderDate]])</f>
        <v>2</v>
      </c>
      <c r="N538" s="8" t="str">
        <f>TEXT(Clean_Data[[#This Row],[OrderDate]],"mmm")</f>
        <v>Feb</v>
      </c>
      <c r="O538" s="8" t="str">
        <f>TEXT(Clean_Data[[#This Row],[OrderDate]], "yyyy-mm")</f>
        <v>2018-02</v>
      </c>
      <c r="P538" s="7">
        <f>Clean_Data[[#This Row],[Profit]]/Clean_Data[[#This Row],[Revenue ]]</f>
        <v>0.41666666666666669</v>
      </c>
      <c r="Q538" t="str">
        <f>"Q"&amp;ROUNDUP(MONTH(Clean_Data[[#This Row],[OrderDate]])/3,0)</f>
        <v>Q1</v>
      </c>
      <c r="R538" t="str">
        <f>TEXT(Clean_Data[[#This Row],[OrderDate]], "dddd")</f>
        <v>Wednesday</v>
      </c>
    </row>
    <row r="539" spans="1:18" x14ac:dyDescent="0.25">
      <c r="A539" t="s">
        <v>555</v>
      </c>
      <c r="B539" s="4">
        <v>206</v>
      </c>
      <c r="C539" s="4">
        <v>51</v>
      </c>
      <c r="D539" s="3">
        <v>4</v>
      </c>
      <c r="E539" t="s">
        <v>895</v>
      </c>
      <c r="F539" t="s">
        <v>899</v>
      </c>
      <c r="G539" t="s">
        <v>893</v>
      </c>
      <c r="H539" s="6">
        <f>_xlfn.XLOOKUP(A539,Orders[OrderID],Orders[OrderDate])</f>
        <v>43140</v>
      </c>
      <c r="I539" t="str">
        <f>_xlfn.XLOOKUP(A539,Orders[OrderID],Orders[CustomerName])</f>
        <v>Kalyani</v>
      </c>
      <c r="J539" t="str">
        <f>_xlfn.XLOOKUP(A539,Orders[OrderID],Orders[State])</f>
        <v>Tamil Nadu</v>
      </c>
      <c r="K539" t="str">
        <f>_xlfn.XLOOKUP(A539,Orders[OrderID],Orders[City])</f>
        <v>Chennai</v>
      </c>
      <c r="L539" s="3">
        <f>YEAR(Clean_Data[[#This Row],[OrderDate]])</f>
        <v>2018</v>
      </c>
      <c r="M539" s="3">
        <f>MONTH(Clean_Data[[#This Row],[OrderDate]])</f>
        <v>2</v>
      </c>
      <c r="N539" s="8" t="str">
        <f>TEXT(Clean_Data[[#This Row],[OrderDate]],"mmm")</f>
        <v>Feb</v>
      </c>
      <c r="O539" s="8" t="str">
        <f>TEXT(Clean_Data[[#This Row],[OrderDate]], "yyyy-mm")</f>
        <v>2018-02</v>
      </c>
      <c r="P539" s="7">
        <f>Clean_Data[[#This Row],[Profit]]/Clean_Data[[#This Row],[Revenue ]]</f>
        <v>0.24757281553398058</v>
      </c>
      <c r="Q539" t="str">
        <f>"Q"&amp;ROUNDUP(MONTH(Clean_Data[[#This Row],[OrderDate]])/3,0)</f>
        <v>Q1</v>
      </c>
      <c r="R539" t="str">
        <f>TEXT(Clean_Data[[#This Row],[OrderDate]], "dddd")</f>
        <v>Friday</v>
      </c>
    </row>
    <row r="540" spans="1:18" x14ac:dyDescent="0.25">
      <c r="A540" t="s">
        <v>559</v>
      </c>
      <c r="B540" s="4">
        <v>200</v>
      </c>
      <c r="C540" s="4">
        <v>7</v>
      </c>
      <c r="D540" s="3">
        <v>4</v>
      </c>
      <c r="E540" t="s">
        <v>885</v>
      </c>
      <c r="F540" t="s">
        <v>886</v>
      </c>
      <c r="G540" t="s">
        <v>893</v>
      </c>
      <c r="H540" s="6">
        <f>_xlfn.XLOOKUP(A540,Orders[OrderID],Orders[OrderDate])</f>
        <v>43465</v>
      </c>
      <c r="I540" t="str">
        <f>_xlfn.XLOOKUP(A540,Orders[OrderID],Orders[CustomerName])</f>
        <v>Shreya</v>
      </c>
      <c r="J540" t="str">
        <f>_xlfn.XLOOKUP(A540,Orders[OrderID],Orders[State])</f>
        <v>Uttar Pradesh</v>
      </c>
      <c r="K540" t="str">
        <f>_xlfn.XLOOKUP(A540,Orders[OrderID],Orders[City])</f>
        <v>Lucknow</v>
      </c>
      <c r="L540" s="3">
        <f>YEAR(Clean_Data[[#This Row],[OrderDate]])</f>
        <v>2018</v>
      </c>
      <c r="M540" s="3">
        <f>MONTH(Clean_Data[[#This Row],[OrderDate]])</f>
        <v>12</v>
      </c>
      <c r="N540" s="8" t="str">
        <f>TEXT(Clean_Data[[#This Row],[OrderDate]],"mmm")</f>
        <v>Dec</v>
      </c>
      <c r="O540" s="8" t="str">
        <f>TEXT(Clean_Data[[#This Row],[OrderDate]], "yyyy-mm")</f>
        <v>2018-12</v>
      </c>
      <c r="P540" s="7">
        <f>Clean_Data[[#This Row],[Profit]]/Clean_Data[[#This Row],[Revenue ]]</f>
        <v>3.5000000000000003E-2</v>
      </c>
      <c r="Q540" t="str">
        <f>"Q"&amp;ROUNDUP(MONTH(Clean_Data[[#This Row],[OrderDate]])/3,0)</f>
        <v>Q4</v>
      </c>
      <c r="R540" t="str">
        <f>TEXT(Clean_Data[[#This Row],[OrderDate]], "dddd")</f>
        <v>Monday</v>
      </c>
    </row>
    <row r="541" spans="1:18" x14ac:dyDescent="0.25">
      <c r="A541" t="s">
        <v>555</v>
      </c>
      <c r="B541" s="4">
        <v>199</v>
      </c>
      <c r="C541" s="4">
        <v>-1</v>
      </c>
      <c r="D541" s="3">
        <v>1</v>
      </c>
      <c r="E541" t="s">
        <v>895</v>
      </c>
      <c r="F541" t="s">
        <v>897</v>
      </c>
      <c r="G541" t="s">
        <v>893</v>
      </c>
      <c r="H541" s="6">
        <f>_xlfn.XLOOKUP(A541,Orders[OrderID],Orders[OrderDate])</f>
        <v>43140</v>
      </c>
      <c r="I541" t="str">
        <f>_xlfn.XLOOKUP(A541,Orders[OrderID],Orders[CustomerName])</f>
        <v>Kalyani</v>
      </c>
      <c r="J541" t="str">
        <f>_xlfn.XLOOKUP(A541,Orders[OrderID],Orders[State])</f>
        <v>Tamil Nadu</v>
      </c>
      <c r="K541" t="str">
        <f>_xlfn.XLOOKUP(A541,Orders[OrderID],Orders[City])</f>
        <v>Chennai</v>
      </c>
      <c r="L541" s="3">
        <f>YEAR(Clean_Data[[#This Row],[OrderDate]])</f>
        <v>2018</v>
      </c>
      <c r="M541" s="3">
        <f>MONTH(Clean_Data[[#This Row],[OrderDate]])</f>
        <v>2</v>
      </c>
      <c r="N541" s="8" t="str">
        <f>TEXT(Clean_Data[[#This Row],[OrderDate]],"mmm")</f>
        <v>Feb</v>
      </c>
      <c r="O541" s="8" t="str">
        <f>TEXT(Clean_Data[[#This Row],[OrderDate]], "yyyy-mm")</f>
        <v>2018-02</v>
      </c>
      <c r="P541" s="7">
        <f>Clean_Data[[#This Row],[Profit]]/Clean_Data[[#This Row],[Revenue ]]</f>
        <v>-5.0251256281407036E-3</v>
      </c>
      <c r="Q541" t="str">
        <f>"Q"&amp;ROUNDUP(MONTH(Clean_Data[[#This Row],[OrderDate]])/3,0)</f>
        <v>Q1</v>
      </c>
      <c r="R541" t="str">
        <f>TEXT(Clean_Data[[#This Row],[OrderDate]], "dddd")</f>
        <v>Friday</v>
      </c>
    </row>
    <row r="542" spans="1:18" x14ac:dyDescent="0.25">
      <c r="A542" t="s">
        <v>212</v>
      </c>
      <c r="B542" s="4">
        <v>154</v>
      </c>
      <c r="C542" s="4">
        <v>22</v>
      </c>
      <c r="D542" s="3">
        <v>7</v>
      </c>
      <c r="E542" t="s">
        <v>895</v>
      </c>
      <c r="F542" t="s">
        <v>906</v>
      </c>
      <c r="G542" t="s">
        <v>887</v>
      </c>
      <c r="H542" s="6">
        <f>_xlfn.XLOOKUP(A542,Orders[OrderID],Orders[OrderDate])</f>
        <v>43329</v>
      </c>
      <c r="I542" t="str">
        <f>_xlfn.XLOOKUP(A542,Orders[OrderID],Orders[CustomerName])</f>
        <v>Shivam</v>
      </c>
      <c r="J542" t="str">
        <f>_xlfn.XLOOKUP(A542,Orders[OrderID],Orders[State])</f>
        <v>Uttar Pradesh</v>
      </c>
      <c r="K542" t="str">
        <f>_xlfn.XLOOKUP(A542,Orders[OrderID],Orders[City])</f>
        <v>Lucknow</v>
      </c>
      <c r="L542" s="3">
        <f>YEAR(Clean_Data[[#This Row],[OrderDate]])</f>
        <v>2018</v>
      </c>
      <c r="M542" s="3">
        <f>MONTH(Clean_Data[[#This Row],[OrderDate]])</f>
        <v>8</v>
      </c>
      <c r="N542" s="8" t="str">
        <f>TEXT(Clean_Data[[#This Row],[OrderDate]],"mmm")</f>
        <v>Aug</v>
      </c>
      <c r="O542" s="8" t="str">
        <f>TEXT(Clean_Data[[#This Row],[OrderDate]], "yyyy-mm")</f>
        <v>2018-08</v>
      </c>
      <c r="P542" s="7">
        <f>Clean_Data[[#This Row],[Profit]]/Clean_Data[[#This Row],[Revenue ]]</f>
        <v>0.14285714285714285</v>
      </c>
      <c r="Q542" t="str">
        <f>"Q"&amp;ROUNDUP(MONTH(Clean_Data[[#This Row],[OrderDate]])/3,0)</f>
        <v>Q3</v>
      </c>
      <c r="R542" t="str">
        <f>TEXT(Clean_Data[[#This Row],[OrderDate]], "dddd")</f>
        <v>Friday</v>
      </c>
    </row>
    <row r="543" spans="1:18" x14ac:dyDescent="0.25">
      <c r="A543" t="s">
        <v>620</v>
      </c>
      <c r="B543" s="4">
        <v>152</v>
      </c>
      <c r="C543" s="4">
        <v>23</v>
      </c>
      <c r="D543" s="3">
        <v>3</v>
      </c>
      <c r="E543" t="s">
        <v>888</v>
      </c>
      <c r="F543" t="s">
        <v>908</v>
      </c>
      <c r="G543" t="s">
        <v>887</v>
      </c>
      <c r="H543" s="6">
        <f>_xlfn.XLOOKUP(A543,Orders[OrderID],Orders[OrderDate])</f>
        <v>43113</v>
      </c>
      <c r="I543" t="str">
        <f>_xlfn.XLOOKUP(A543,Orders[OrderID],Orders[CustomerName])</f>
        <v>Mukund</v>
      </c>
      <c r="J543" t="str">
        <f>_xlfn.XLOOKUP(A543,Orders[OrderID],Orders[State])</f>
        <v>Maharashtra</v>
      </c>
      <c r="K543" t="str">
        <f>_xlfn.XLOOKUP(A543,Orders[OrderID],Orders[City])</f>
        <v>Pune</v>
      </c>
      <c r="L543" s="3">
        <f>YEAR(Clean_Data[[#This Row],[OrderDate]])</f>
        <v>2018</v>
      </c>
      <c r="M543" s="3">
        <f>MONTH(Clean_Data[[#This Row],[OrderDate]])</f>
        <v>1</v>
      </c>
      <c r="N543" s="8" t="str">
        <f>TEXT(Clean_Data[[#This Row],[OrderDate]],"mmm")</f>
        <v>Jan</v>
      </c>
      <c r="O543" s="8" t="str">
        <f>TEXT(Clean_Data[[#This Row],[OrderDate]], "yyyy-mm")</f>
        <v>2018-01</v>
      </c>
      <c r="P543" s="7">
        <f>Clean_Data[[#This Row],[Profit]]/Clean_Data[[#This Row],[Revenue ]]</f>
        <v>0.15131578947368421</v>
      </c>
      <c r="Q543" t="str">
        <f>"Q"&amp;ROUNDUP(MONTH(Clean_Data[[#This Row],[OrderDate]])/3,0)</f>
        <v>Q1</v>
      </c>
      <c r="R543" t="str">
        <f>TEXT(Clean_Data[[#This Row],[OrderDate]], "dddd")</f>
        <v>Saturday</v>
      </c>
    </row>
    <row r="544" spans="1:18" x14ac:dyDescent="0.25">
      <c r="A544" t="s">
        <v>622</v>
      </c>
      <c r="B544" s="4">
        <v>152</v>
      </c>
      <c r="C544" s="4">
        <v>50</v>
      </c>
      <c r="D544" s="3">
        <v>6</v>
      </c>
      <c r="E544" t="s">
        <v>895</v>
      </c>
      <c r="F544" t="s">
        <v>903</v>
      </c>
      <c r="G544" t="s">
        <v>887</v>
      </c>
      <c r="H544" s="6">
        <f>_xlfn.XLOOKUP(A544,Orders[OrderID],Orders[OrderDate])</f>
        <v>43186</v>
      </c>
      <c r="I544" t="str">
        <f>_xlfn.XLOOKUP(A544,Orders[OrderID],Orders[CustomerName])</f>
        <v>Deepak</v>
      </c>
      <c r="J544" t="str">
        <f>_xlfn.XLOOKUP(A544,Orders[OrderID],Orders[State])</f>
        <v>Madhya Pradesh</v>
      </c>
      <c r="K544" t="str">
        <f>_xlfn.XLOOKUP(A544,Orders[OrderID],Orders[City])</f>
        <v>Bhopal</v>
      </c>
      <c r="L544" s="3">
        <f>YEAR(Clean_Data[[#This Row],[OrderDate]])</f>
        <v>2018</v>
      </c>
      <c r="M544" s="3">
        <f>MONTH(Clean_Data[[#This Row],[OrderDate]])</f>
        <v>3</v>
      </c>
      <c r="N544" s="8" t="str">
        <f>TEXT(Clean_Data[[#This Row],[OrderDate]],"mmm")</f>
        <v>Mar</v>
      </c>
      <c r="O544" s="8" t="str">
        <f>TEXT(Clean_Data[[#This Row],[OrderDate]], "yyyy-mm")</f>
        <v>2018-03</v>
      </c>
      <c r="P544" s="7">
        <f>Clean_Data[[#This Row],[Profit]]/Clean_Data[[#This Row],[Revenue ]]</f>
        <v>0.32894736842105265</v>
      </c>
      <c r="Q544" t="str">
        <f>"Q"&amp;ROUNDUP(MONTH(Clean_Data[[#This Row],[OrderDate]])/3,0)</f>
        <v>Q1</v>
      </c>
      <c r="R544" t="str">
        <f>TEXT(Clean_Data[[#This Row],[OrderDate]], "dddd")</f>
        <v>Tuesday</v>
      </c>
    </row>
    <row r="545" spans="1:18" x14ac:dyDescent="0.25">
      <c r="A545" t="s">
        <v>414</v>
      </c>
      <c r="B545" s="4">
        <v>122</v>
      </c>
      <c r="C545" s="4">
        <v>-21</v>
      </c>
      <c r="D545" s="3">
        <v>3</v>
      </c>
      <c r="E545" t="s">
        <v>888</v>
      </c>
      <c r="F545" t="s">
        <v>908</v>
      </c>
      <c r="G545" t="s">
        <v>898</v>
      </c>
      <c r="H545" s="6">
        <f>_xlfn.XLOOKUP(A545,Orders[OrderID],Orders[OrderDate])</f>
        <v>43230</v>
      </c>
      <c r="I545" t="str">
        <f>_xlfn.XLOOKUP(A545,Orders[OrderID],Orders[CustomerName])</f>
        <v>Sabah</v>
      </c>
      <c r="J545" t="str">
        <f>_xlfn.XLOOKUP(A545,Orders[OrderID],Orders[State])</f>
        <v>Maharashtra</v>
      </c>
      <c r="K545" t="str">
        <f>_xlfn.XLOOKUP(A545,Orders[OrderID],Orders[City])</f>
        <v>Mumbai</v>
      </c>
      <c r="L545" s="3">
        <f>YEAR(Clean_Data[[#This Row],[OrderDate]])</f>
        <v>2018</v>
      </c>
      <c r="M545" s="3">
        <f>MONTH(Clean_Data[[#This Row],[OrderDate]])</f>
        <v>5</v>
      </c>
      <c r="N545" s="8" t="str">
        <f>TEXT(Clean_Data[[#This Row],[OrderDate]],"mmm")</f>
        <v>May</v>
      </c>
      <c r="O545" s="8" t="str">
        <f>TEXT(Clean_Data[[#This Row],[OrderDate]], "yyyy-mm")</f>
        <v>2018-05</v>
      </c>
      <c r="P545" s="7">
        <f>Clean_Data[[#This Row],[Profit]]/Clean_Data[[#This Row],[Revenue ]]</f>
        <v>-0.1721311475409836</v>
      </c>
      <c r="Q545" t="str">
        <f>"Q"&amp;ROUNDUP(MONTH(Clean_Data[[#This Row],[OrderDate]])/3,0)</f>
        <v>Q2</v>
      </c>
      <c r="R545" t="str">
        <f>TEXT(Clean_Data[[#This Row],[OrderDate]], "dddd")</f>
        <v>Thursday</v>
      </c>
    </row>
    <row r="546" spans="1:18" x14ac:dyDescent="0.25">
      <c r="A546" t="s">
        <v>419</v>
      </c>
      <c r="B546" s="4">
        <v>149</v>
      </c>
      <c r="C546" s="4">
        <v>48</v>
      </c>
      <c r="D546" s="3">
        <v>6</v>
      </c>
      <c r="E546" t="s">
        <v>895</v>
      </c>
      <c r="F546" t="s">
        <v>903</v>
      </c>
      <c r="G546" t="s">
        <v>887</v>
      </c>
      <c r="H546" s="6">
        <f>_xlfn.XLOOKUP(A546,Orders[OrderID],Orders[OrderDate])</f>
        <v>43412</v>
      </c>
      <c r="I546" t="str">
        <f>_xlfn.XLOOKUP(A546,Orders[OrderID],Orders[CustomerName])</f>
        <v>Shubham</v>
      </c>
      <c r="J546" t="str">
        <f>_xlfn.XLOOKUP(A546,Orders[OrderID],Orders[State])</f>
        <v>Maharashtra</v>
      </c>
      <c r="K546" t="str">
        <f>_xlfn.XLOOKUP(A546,Orders[OrderID],Orders[City])</f>
        <v>Pune</v>
      </c>
      <c r="L546" s="3">
        <f>YEAR(Clean_Data[[#This Row],[OrderDate]])</f>
        <v>2018</v>
      </c>
      <c r="M546" s="3">
        <f>MONTH(Clean_Data[[#This Row],[OrderDate]])</f>
        <v>11</v>
      </c>
      <c r="N546" s="8" t="str">
        <f>TEXT(Clean_Data[[#This Row],[OrderDate]],"mmm")</f>
        <v>Nov</v>
      </c>
      <c r="O546" s="8" t="str">
        <f>TEXT(Clean_Data[[#This Row],[OrderDate]], "yyyy-mm")</f>
        <v>2018-11</v>
      </c>
      <c r="P546" s="7">
        <f>Clean_Data[[#This Row],[Profit]]/Clean_Data[[#This Row],[Revenue ]]</f>
        <v>0.32214765100671139</v>
      </c>
      <c r="Q546" t="str">
        <f>"Q"&amp;ROUNDUP(MONTH(Clean_Data[[#This Row],[OrderDate]])/3,0)</f>
        <v>Q4</v>
      </c>
      <c r="R546" t="str">
        <f>TEXT(Clean_Data[[#This Row],[OrderDate]], "dddd")</f>
        <v>Thursday</v>
      </c>
    </row>
    <row r="547" spans="1:18" x14ac:dyDescent="0.25">
      <c r="A547" t="s">
        <v>606</v>
      </c>
      <c r="B547" s="4">
        <v>149</v>
      </c>
      <c r="C547" s="4">
        <v>-87</v>
      </c>
      <c r="D547" s="3">
        <v>4</v>
      </c>
      <c r="E547" t="s">
        <v>895</v>
      </c>
      <c r="F547" t="s">
        <v>897</v>
      </c>
      <c r="G547" t="s">
        <v>887</v>
      </c>
      <c r="H547" s="6">
        <f>_xlfn.XLOOKUP(A547,Orders[OrderID],Orders[OrderDate])</f>
        <v>43212</v>
      </c>
      <c r="I547" t="str">
        <f>_xlfn.XLOOKUP(A547,Orders[OrderID],Orders[CustomerName])</f>
        <v>Atharv</v>
      </c>
      <c r="J547" t="str">
        <f>_xlfn.XLOOKUP(A547,Orders[OrderID],Orders[State])</f>
        <v>West Bengal</v>
      </c>
      <c r="K547" t="str">
        <f>_xlfn.XLOOKUP(A547,Orders[OrderID],Orders[City])</f>
        <v>Kolkata</v>
      </c>
      <c r="L547" s="3">
        <f>YEAR(Clean_Data[[#This Row],[OrderDate]])</f>
        <v>2018</v>
      </c>
      <c r="M547" s="3">
        <f>MONTH(Clean_Data[[#This Row],[OrderDate]])</f>
        <v>4</v>
      </c>
      <c r="N547" s="8" t="str">
        <f>TEXT(Clean_Data[[#This Row],[OrderDate]],"mmm")</f>
        <v>Apr</v>
      </c>
      <c r="O547" s="8" t="str">
        <f>TEXT(Clean_Data[[#This Row],[OrderDate]], "yyyy-mm")</f>
        <v>2018-04</v>
      </c>
      <c r="P547" s="7">
        <f>Clean_Data[[#This Row],[Profit]]/Clean_Data[[#This Row],[Revenue ]]</f>
        <v>-0.58389261744966447</v>
      </c>
      <c r="Q547" t="str">
        <f>"Q"&amp;ROUNDUP(MONTH(Clean_Data[[#This Row],[OrderDate]])/3,0)</f>
        <v>Q2</v>
      </c>
      <c r="R547" t="str">
        <f>TEXT(Clean_Data[[#This Row],[OrderDate]], "dddd")</f>
        <v>Sunday</v>
      </c>
    </row>
    <row r="548" spans="1:18" x14ac:dyDescent="0.25">
      <c r="A548" t="s">
        <v>560</v>
      </c>
      <c r="B548" s="4">
        <v>197</v>
      </c>
      <c r="C548" s="4">
        <v>20</v>
      </c>
      <c r="D548" s="3">
        <v>4</v>
      </c>
      <c r="E548" t="s">
        <v>895</v>
      </c>
      <c r="F548" t="s">
        <v>900</v>
      </c>
      <c r="G548" t="s">
        <v>893</v>
      </c>
      <c r="H548" s="6">
        <f>_xlfn.XLOOKUP(A548,Orders[OrderID],Orders[OrderDate])</f>
        <v>43131</v>
      </c>
      <c r="I548" t="str">
        <f>_xlfn.XLOOKUP(A548,Orders[OrderID],Orders[CustomerName])</f>
        <v>Ginny</v>
      </c>
      <c r="J548" t="str">
        <f>_xlfn.XLOOKUP(A548,Orders[OrderID],Orders[State])</f>
        <v>Madhya Pradesh</v>
      </c>
      <c r="K548" t="str">
        <f>_xlfn.XLOOKUP(A548,Orders[OrderID],Orders[City])</f>
        <v>Indore</v>
      </c>
      <c r="L548" s="3">
        <f>YEAR(Clean_Data[[#This Row],[OrderDate]])</f>
        <v>2018</v>
      </c>
      <c r="M548" s="3">
        <f>MONTH(Clean_Data[[#This Row],[OrderDate]])</f>
        <v>1</v>
      </c>
      <c r="N548" s="8" t="str">
        <f>TEXT(Clean_Data[[#This Row],[OrderDate]],"mmm")</f>
        <v>Jan</v>
      </c>
      <c r="O548" s="8" t="str">
        <f>TEXT(Clean_Data[[#This Row],[OrderDate]], "yyyy-mm")</f>
        <v>2018-01</v>
      </c>
      <c r="P548" s="7">
        <f>Clean_Data[[#This Row],[Profit]]/Clean_Data[[#This Row],[Revenue ]]</f>
        <v>0.10152284263959391</v>
      </c>
      <c r="Q548" t="str">
        <f>"Q"&amp;ROUNDUP(MONTH(Clean_Data[[#This Row],[OrderDate]])/3,0)</f>
        <v>Q1</v>
      </c>
      <c r="R548" t="str">
        <f>TEXT(Clean_Data[[#This Row],[OrderDate]], "dddd")</f>
        <v>Wednesday</v>
      </c>
    </row>
    <row r="549" spans="1:18" x14ac:dyDescent="0.25">
      <c r="A549" t="s">
        <v>753</v>
      </c>
      <c r="B549" s="4">
        <v>76</v>
      </c>
      <c r="C549" s="4">
        <v>-54</v>
      </c>
      <c r="D549" s="3">
        <v>3</v>
      </c>
      <c r="E549" t="s">
        <v>885</v>
      </c>
      <c r="F549" t="s">
        <v>886</v>
      </c>
      <c r="G549" t="s">
        <v>887</v>
      </c>
      <c r="H549" s="6">
        <f>_xlfn.XLOOKUP(A549,Orders[OrderID],Orders[OrderDate])</f>
        <v>43299</v>
      </c>
      <c r="I549" t="str">
        <f>_xlfn.XLOOKUP(A549,Orders[OrderID],Orders[CustomerName])</f>
        <v>Wale</v>
      </c>
      <c r="J549" t="str">
        <f>_xlfn.XLOOKUP(A549,Orders[OrderID],Orders[State])</f>
        <v>Maharashtra</v>
      </c>
      <c r="K549" t="str">
        <f>_xlfn.XLOOKUP(A549,Orders[OrderID],Orders[City])</f>
        <v>Mumbai</v>
      </c>
      <c r="L549" s="3">
        <f>YEAR(Clean_Data[[#This Row],[OrderDate]])</f>
        <v>2018</v>
      </c>
      <c r="M549" s="3">
        <f>MONTH(Clean_Data[[#This Row],[OrderDate]])</f>
        <v>7</v>
      </c>
      <c r="N549" s="8" t="str">
        <f>TEXT(Clean_Data[[#This Row],[OrderDate]],"mmm")</f>
        <v>Jul</v>
      </c>
      <c r="O549" s="8" t="str">
        <f>TEXT(Clean_Data[[#This Row],[OrderDate]], "yyyy-mm")</f>
        <v>2018-07</v>
      </c>
      <c r="P549" s="7">
        <f>Clean_Data[[#This Row],[Profit]]/Clean_Data[[#This Row],[Revenue ]]</f>
        <v>-0.71052631578947367</v>
      </c>
      <c r="Q549" t="str">
        <f>"Q"&amp;ROUNDUP(MONTH(Clean_Data[[#This Row],[OrderDate]])/3,0)</f>
        <v>Q3</v>
      </c>
      <c r="R549" t="str">
        <f>TEXT(Clean_Data[[#This Row],[OrderDate]], "dddd")</f>
        <v>Wednesday</v>
      </c>
    </row>
    <row r="550" spans="1:18" x14ac:dyDescent="0.25">
      <c r="A550" t="s">
        <v>373</v>
      </c>
      <c r="B550" s="4">
        <v>221</v>
      </c>
      <c r="C550" s="4">
        <v>-15</v>
      </c>
      <c r="D550" s="3">
        <v>2</v>
      </c>
      <c r="E550" t="s">
        <v>885</v>
      </c>
      <c r="F550" t="s">
        <v>886</v>
      </c>
      <c r="G550" t="s">
        <v>887</v>
      </c>
      <c r="H550" s="6">
        <f>_xlfn.XLOOKUP(A550,Orders[OrderID],Orders[OrderDate])</f>
        <v>43326</v>
      </c>
      <c r="I550" t="str">
        <f>_xlfn.XLOOKUP(A550,Orders[OrderID],Orders[CustomerName])</f>
        <v>Nishant</v>
      </c>
      <c r="J550" t="str">
        <f>_xlfn.XLOOKUP(A550,Orders[OrderID],Orders[State])</f>
        <v>Maharashtra</v>
      </c>
      <c r="K550" t="str">
        <f>_xlfn.XLOOKUP(A550,Orders[OrderID],Orders[City])</f>
        <v>Mumbai</v>
      </c>
      <c r="L550" s="3">
        <f>YEAR(Clean_Data[[#This Row],[OrderDate]])</f>
        <v>2018</v>
      </c>
      <c r="M550" s="3">
        <f>MONTH(Clean_Data[[#This Row],[OrderDate]])</f>
        <v>8</v>
      </c>
      <c r="N550" s="8" t="str">
        <f>TEXT(Clean_Data[[#This Row],[OrderDate]],"mmm")</f>
        <v>Aug</v>
      </c>
      <c r="O550" s="8" t="str">
        <f>TEXT(Clean_Data[[#This Row],[OrderDate]], "yyyy-mm")</f>
        <v>2018-08</v>
      </c>
      <c r="P550" s="7">
        <f>Clean_Data[[#This Row],[Profit]]/Clean_Data[[#This Row],[Revenue ]]</f>
        <v>-6.7873303167420809E-2</v>
      </c>
      <c r="Q550" t="str">
        <f>"Q"&amp;ROUNDUP(MONTH(Clean_Data[[#This Row],[OrderDate]])/3,0)</f>
        <v>Q3</v>
      </c>
      <c r="R550" t="str">
        <f>TEXT(Clean_Data[[#This Row],[OrderDate]], "dddd")</f>
        <v>Tuesday</v>
      </c>
    </row>
    <row r="551" spans="1:18" x14ac:dyDescent="0.25">
      <c r="A551" t="s">
        <v>395</v>
      </c>
      <c r="B551" s="4">
        <v>79</v>
      </c>
      <c r="C551" s="4">
        <v>32</v>
      </c>
      <c r="D551" s="3">
        <v>3</v>
      </c>
      <c r="E551" t="s">
        <v>895</v>
      </c>
      <c r="F551" t="s">
        <v>897</v>
      </c>
      <c r="G551" t="s">
        <v>907</v>
      </c>
      <c r="H551" s="6">
        <f>_xlfn.XLOOKUP(A551,Orders[OrderID],Orders[OrderDate])</f>
        <v>43165</v>
      </c>
      <c r="I551" t="str">
        <f>_xlfn.XLOOKUP(A551,Orders[OrderID],Orders[CustomerName])</f>
        <v>Paridhi</v>
      </c>
      <c r="J551" t="str">
        <f>_xlfn.XLOOKUP(A551,Orders[OrderID],Orders[State])</f>
        <v>Rajasthan</v>
      </c>
      <c r="K551" t="str">
        <f>_xlfn.XLOOKUP(A551,Orders[OrderID],Orders[City])</f>
        <v>Jaipur</v>
      </c>
      <c r="L551" s="3">
        <f>YEAR(Clean_Data[[#This Row],[OrderDate]])</f>
        <v>2018</v>
      </c>
      <c r="M551" s="3">
        <f>MONTH(Clean_Data[[#This Row],[OrderDate]])</f>
        <v>3</v>
      </c>
      <c r="N551" s="8" t="str">
        <f>TEXT(Clean_Data[[#This Row],[OrderDate]],"mmm")</f>
        <v>Mar</v>
      </c>
      <c r="O551" s="8" t="str">
        <f>TEXT(Clean_Data[[#This Row],[OrderDate]], "yyyy-mm")</f>
        <v>2018-03</v>
      </c>
      <c r="P551" s="7">
        <f>Clean_Data[[#This Row],[Profit]]/Clean_Data[[#This Row],[Revenue ]]</f>
        <v>0.4050632911392405</v>
      </c>
      <c r="Q551" t="str">
        <f>"Q"&amp;ROUNDUP(MONTH(Clean_Data[[#This Row],[OrderDate]])/3,0)</f>
        <v>Q1</v>
      </c>
      <c r="R551" t="str">
        <f>TEXT(Clean_Data[[#This Row],[OrderDate]], "dddd")</f>
        <v>Tuesday</v>
      </c>
    </row>
    <row r="552" spans="1:18" x14ac:dyDescent="0.25">
      <c r="A552" t="s">
        <v>671</v>
      </c>
      <c r="B552" s="4">
        <v>45</v>
      </c>
      <c r="C552" s="4">
        <v>12</v>
      </c>
      <c r="D552" s="3">
        <v>7</v>
      </c>
      <c r="E552" t="s">
        <v>895</v>
      </c>
      <c r="F552" t="s">
        <v>899</v>
      </c>
      <c r="G552" t="s">
        <v>898</v>
      </c>
      <c r="H552" s="6">
        <f>_xlfn.XLOOKUP(A552,Orders[OrderID],Orders[OrderDate])</f>
        <v>43374</v>
      </c>
      <c r="I552" t="str">
        <f>_xlfn.XLOOKUP(A552,Orders[OrderID],Orders[CustomerName])</f>
        <v>Ishit</v>
      </c>
      <c r="J552" t="str">
        <f>_xlfn.XLOOKUP(A552,Orders[OrderID],Orders[State])</f>
        <v>Maharashtra</v>
      </c>
      <c r="K552" t="str">
        <f>_xlfn.XLOOKUP(A552,Orders[OrderID],Orders[City])</f>
        <v>Pune</v>
      </c>
      <c r="L552" s="3">
        <f>YEAR(Clean_Data[[#This Row],[OrderDate]])</f>
        <v>2018</v>
      </c>
      <c r="M552" s="3">
        <f>MONTH(Clean_Data[[#This Row],[OrderDate]])</f>
        <v>10</v>
      </c>
      <c r="N552" s="8" t="str">
        <f>TEXT(Clean_Data[[#This Row],[OrderDate]],"mmm")</f>
        <v>Oct</v>
      </c>
      <c r="O552" s="8" t="str">
        <f>TEXT(Clean_Data[[#This Row],[OrderDate]], "yyyy-mm")</f>
        <v>2018-10</v>
      </c>
      <c r="P552" s="7">
        <f>Clean_Data[[#This Row],[Profit]]/Clean_Data[[#This Row],[Revenue ]]</f>
        <v>0.26666666666666666</v>
      </c>
      <c r="Q552" t="str">
        <f>"Q"&amp;ROUNDUP(MONTH(Clean_Data[[#This Row],[OrderDate]])/3,0)</f>
        <v>Q4</v>
      </c>
      <c r="R552" t="str">
        <f>TEXT(Clean_Data[[#This Row],[OrderDate]], "dddd")</f>
        <v>Monday</v>
      </c>
    </row>
    <row r="553" spans="1:18" x14ac:dyDescent="0.25">
      <c r="A553" t="s">
        <v>642</v>
      </c>
      <c r="B553" s="4">
        <v>149</v>
      </c>
      <c r="C553" s="4">
        <v>-1</v>
      </c>
      <c r="D553" s="3">
        <v>1</v>
      </c>
      <c r="E553" t="s">
        <v>895</v>
      </c>
      <c r="F553" t="s">
        <v>897</v>
      </c>
      <c r="G553" t="s">
        <v>887</v>
      </c>
      <c r="H553" s="6">
        <f>_xlfn.XLOOKUP(A553,Orders[OrderID],Orders[OrderDate])</f>
        <v>43248</v>
      </c>
      <c r="I553" t="str">
        <f>_xlfn.XLOOKUP(A553,Orders[OrderID],Orders[CustomerName])</f>
        <v>Arsheen</v>
      </c>
      <c r="J553" t="str">
        <f>_xlfn.XLOOKUP(A553,Orders[OrderID],Orders[State])</f>
        <v>Gujarat</v>
      </c>
      <c r="K553" t="str">
        <f>_xlfn.XLOOKUP(A553,Orders[OrderID],Orders[City])</f>
        <v>Ahmedabad</v>
      </c>
      <c r="L553" s="3">
        <f>YEAR(Clean_Data[[#This Row],[OrderDate]])</f>
        <v>2018</v>
      </c>
      <c r="M553" s="3">
        <f>MONTH(Clean_Data[[#This Row],[OrderDate]])</f>
        <v>5</v>
      </c>
      <c r="N553" s="8" t="str">
        <f>TEXT(Clean_Data[[#This Row],[OrderDate]],"mmm")</f>
        <v>May</v>
      </c>
      <c r="O553" s="8" t="str">
        <f>TEXT(Clean_Data[[#This Row],[OrderDate]], "yyyy-mm")</f>
        <v>2018-05</v>
      </c>
      <c r="P553" s="7">
        <f>Clean_Data[[#This Row],[Profit]]/Clean_Data[[#This Row],[Revenue ]]</f>
        <v>-6.7114093959731542E-3</v>
      </c>
      <c r="Q553" t="str">
        <f>"Q"&amp;ROUNDUP(MONTH(Clean_Data[[#This Row],[OrderDate]])/3,0)</f>
        <v>Q2</v>
      </c>
      <c r="R553" t="str">
        <f>TEXT(Clean_Data[[#This Row],[OrderDate]], "dddd")</f>
        <v>Monday</v>
      </c>
    </row>
    <row r="554" spans="1:18" x14ac:dyDescent="0.25">
      <c r="A554" t="s">
        <v>516</v>
      </c>
      <c r="B554" s="4">
        <v>80</v>
      </c>
      <c r="C554" s="4">
        <v>22</v>
      </c>
      <c r="D554" s="3">
        <v>3</v>
      </c>
      <c r="E554" t="s">
        <v>895</v>
      </c>
      <c r="F554" t="s">
        <v>903</v>
      </c>
      <c r="G554" t="s">
        <v>907</v>
      </c>
      <c r="H554" s="6">
        <f>_xlfn.XLOOKUP(A554,Orders[OrderID],Orders[OrderDate])</f>
        <v>43139</v>
      </c>
      <c r="I554" t="str">
        <f>_xlfn.XLOOKUP(A554,Orders[OrderID],Orders[CustomerName])</f>
        <v>Harsh</v>
      </c>
      <c r="J554" t="str">
        <f>_xlfn.XLOOKUP(A554,Orders[OrderID],Orders[State])</f>
        <v>Delhi</v>
      </c>
      <c r="K554" t="str">
        <f>_xlfn.XLOOKUP(A554,Orders[OrderID],Orders[City])</f>
        <v>Delhi</v>
      </c>
      <c r="L554" s="3">
        <f>YEAR(Clean_Data[[#This Row],[OrderDate]])</f>
        <v>2018</v>
      </c>
      <c r="M554" s="3">
        <f>MONTH(Clean_Data[[#This Row],[OrderDate]])</f>
        <v>2</v>
      </c>
      <c r="N554" s="8" t="str">
        <f>TEXT(Clean_Data[[#This Row],[OrderDate]],"mmm")</f>
        <v>Feb</v>
      </c>
      <c r="O554" s="8" t="str">
        <f>TEXT(Clean_Data[[#This Row],[OrderDate]], "yyyy-mm")</f>
        <v>2018-02</v>
      </c>
      <c r="P554" s="7">
        <f>Clean_Data[[#This Row],[Profit]]/Clean_Data[[#This Row],[Revenue ]]</f>
        <v>0.27500000000000002</v>
      </c>
      <c r="Q554" t="str">
        <f>"Q"&amp;ROUNDUP(MONTH(Clean_Data[[#This Row],[OrderDate]])/3,0)</f>
        <v>Q1</v>
      </c>
      <c r="R554" t="str">
        <f>TEXT(Clean_Data[[#This Row],[OrderDate]], "dddd")</f>
        <v>Thursday</v>
      </c>
    </row>
    <row r="555" spans="1:18" x14ac:dyDescent="0.25">
      <c r="A555" t="s">
        <v>508</v>
      </c>
      <c r="B555" s="4">
        <v>195</v>
      </c>
      <c r="C555" s="4">
        <v>12</v>
      </c>
      <c r="D555" s="3">
        <v>9</v>
      </c>
      <c r="E555" t="s">
        <v>895</v>
      </c>
      <c r="F555" t="s">
        <v>909</v>
      </c>
      <c r="G555" t="s">
        <v>893</v>
      </c>
      <c r="H555" s="6">
        <f>_xlfn.XLOOKUP(A555,Orders[OrderID],Orders[OrderDate])</f>
        <v>43141</v>
      </c>
      <c r="I555" t="str">
        <f>_xlfn.XLOOKUP(A555,Orders[OrderID],Orders[CustomerName])</f>
        <v>Komal</v>
      </c>
      <c r="J555" t="str">
        <f>_xlfn.XLOOKUP(A555,Orders[OrderID],Orders[State])</f>
        <v>Uttar Pradesh</v>
      </c>
      <c r="K555" t="str">
        <f>_xlfn.XLOOKUP(A555,Orders[OrderID],Orders[City])</f>
        <v>Lucknow</v>
      </c>
      <c r="L555" s="3">
        <f>YEAR(Clean_Data[[#This Row],[OrderDate]])</f>
        <v>2018</v>
      </c>
      <c r="M555" s="3">
        <f>MONTH(Clean_Data[[#This Row],[OrderDate]])</f>
        <v>2</v>
      </c>
      <c r="N555" s="8" t="str">
        <f>TEXT(Clean_Data[[#This Row],[OrderDate]],"mmm")</f>
        <v>Feb</v>
      </c>
      <c r="O555" s="8" t="str">
        <f>TEXT(Clean_Data[[#This Row],[OrderDate]], "yyyy-mm")</f>
        <v>2018-02</v>
      </c>
      <c r="P555" s="7">
        <f>Clean_Data[[#This Row],[Profit]]/Clean_Data[[#This Row],[Revenue ]]</f>
        <v>6.1538461538461542E-2</v>
      </c>
      <c r="Q555" t="str">
        <f>"Q"&amp;ROUNDUP(MONTH(Clean_Data[[#This Row],[OrderDate]])/3,0)</f>
        <v>Q1</v>
      </c>
      <c r="R555" t="str">
        <f>TEXT(Clean_Data[[#This Row],[OrderDate]], "dddd")</f>
        <v>Saturday</v>
      </c>
    </row>
    <row r="556" spans="1:18" x14ac:dyDescent="0.25">
      <c r="A556" t="s">
        <v>486</v>
      </c>
      <c r="B556" s="4">
        <v>19</v>
      </c>
      <c r="C556" s="4">
        <v>0</v>
      </c>
      <c r="D556" s="3">
        <v>3</v>
      </c>
      <c r="E556" t="s">
        <v>895</v>
      </c>
      <c r="F556" t="s">
        <v>901</v>
      </c>
      <c r="G556" t="s">
        <v>898</v>
      </c>
      <c r="H556" s="6">
        <f>_xlfn.XLOOKUP(A556,Orders[OrderID],Orders[OrderDate])</f>
        <v>43330</v>
      </c>
      <c r="I556" t="str">
        <f>_xlfn.XLOOKUP(A556,Orders[OrderID],Orders[CustomerName])</f>
        <v>Akshay</v>
      </c>
      <c r="J556" t="str">
        <f>_xlfn.XLOOKUP(A556,Orders[OrderID],Orders[State])</f>
        <v>Bihar</v>
      </c>
      <c r="K556" t="str">
        <f>_xlfn.XLOOKUP(A556,Orders[OrderID],Orders[City])</f>
        <v>Patna</v>
      </c>
      <c r="L556" s="3">
        <f>YEAR(Clean_Data[[#This Row],[OrderDate]])</f>
        <v>2018</v>
      </c>
      <c r="M556" s="3">
        <f>MONTH(Clean_Data[[#This Row],[OrderDate]])</f>
        <v>8</v>
      </c>
      <c r="N556" s="8" t="str">
        <f>TEXT(Clean_Data[[#This Row],[OrderDate]],"mmm")</f>
        <v>Aug</v>
      </c>
      <c r="O556" s="8" t="str">
        <f>TEXT(Clean_Data[[#This Row],[OrderDate]], "yyyy-mm")</f>
        <v>2018-08</v>
      </c>
      <c r="P556" s="7">
        <f>Clean_Data[[#This Row],[Profit]]/Clean_Data[[#This Row],[Revenue ]]</f>
        <v>0</v>
      </c>
      <c r="Q556" t="str">
        <f>"Q"&amp;ROUNDUP(MONTH(Clean_Data[[#This Row],[OrderDate]])/3,0)</f>
        <v>Q3</v>
      </c>
      <c r="R556" t="str">
        <f>TEXT(Clean_Data[[#This Row],[OrderDate]], "dddd")</f>
        <v>Saturday</v>
      </c>
    </row>
    <row r="557" spans="1:18" x14ac:dyDescent="0.25">
      <c r="A557" t="s">
        <v>175</v>
      </c>
      <c r="B557" s="4">
        <v>81</v>
      </c>
      <c r="C557" s="4">
        <v>41</v>
      </c>
      <c r="D557" s="3">
        <v>3</v>
      </c>
      <c r="E557" t="s">
        <v>895</v>
      </c>
      <c r="F557" t="s">
        <v>903</v>
      </c>
      <c r="G557" t="s">
        <v>907</v>
      </c>
      <c r="H557" s="6">
        <f>_xlfn.XLOOKUP(A557,Orders[OrderID],Orders[OrderDate])</f>
        <v>43114</v>
      </c>
      <c r="I557" t="str">
        <f>_xlfn.XLOOKUP(A557,Orders[OrderID],Orders[CustomerName])</f>
        <v>Krutika</v>
      </c>
      <c r="J557" t="str">
        <f>_xlfn.XLOOKUP(A557,Orders[OrderID],Orders[State])</f>
        <v>Andhra Pradesh</v>
      </c>
      <c r="K557" t="str">
        <f>_xlfn.XLOOKUP(A557,Orders[OrderID],Orders[City])</f>
        <v>Hyderabad</v>
      </c>
      <c r="L557" s="3">
        <f>YEAR(Clean_Data[[#This Row],[OrderDate]])</f>
        <v>2018</v>
      </c>
      <c r="M557" s="3">
        <f>MONTH(Clean_Data[[#This Row],[OrderDate]])</f>
        <v>1</v>
      </c>
      <c r="N557" s="8" t="str">
        <f>TEXT(Clean_Data[[#This Row],[OrderDate]],"mmm")</f>
        <v>Jan</v>
      </c>
      <c r="O557" s="8" t="str">
        <f>TEXT(Clean_Data[[#This Row],[OrderDate]], "yyyy-mm")</f>
        <v>2018-01</v>
      </c>
      <c r="P557" s="7">
        <f>Clean_Data[[#This Row],[Profit]]/Clean_Data[[#This Row],[Revenue ]]</f>
        <v>0.50617283950617287</v>
      </c>
      <c r="Q557" t="str">
        <f>"Q"&amp;ROUNDUP(MONTH(Clean_Data[[#This Row],[OrderDate]])/3,0)</f>
        <v>Q1</v>
      </c>
      <c r="R557" t="str">
        <f>TEXT(Clean_Data[[#This Row],[OrderDate]], "dddd")</f>
        <v>Sunday</v>
      </c>
    </row>
    <row r="558" spans="1:18" x14ac:dyDescent="0.25">
      <c r="A558" t="s">
        <v>741</v>
      </c>
      <c r="B558" s="4">
        <v>83</v>
      </c>
      <c r="C558" s="4">
        <v>34</v>
      </c>
      <c r="D558" s="3">
        <v>5</v>
      </c>
      <c r="E558" t="s">
        <v>895</v>
      </c>
      <c r="F558" t="s">
        <v>909</v>
      </c>
      <c r="G558" t="s">
        <v>907</v>
      </c>
      <c r="H558" s="6">
        <f>_xlfn.XLOOKUP(A558,Orders[OrderID],Orders[OrderDate])</f>
        <v>43156</v>
      </c>
      <c r="I558" t="str">
        <f>_xlfn.XLOOKUP(A558,Orders[OrderID],Orders[CustomerName])</f>
        <v>Hemant</v>
      </c>
      <c r="J558" t="str">
        <f>_xlfn.XLOOKUP(A558,Orders[OrderID],Orders[State])</f>
        <v xml:space="preserve">Kerala </v>
      </c>
      <c r="K558" t="str">
        <f>_xlfn.XLOOKUP(A558,Orders[OrderID],Orders[City])</f>
        <v>Thiruvananthapuram</v>
      </c>
      <c r="L558" s="3">
        <f>YEAR(Clean_Data[[#This Row],[OrderDate]])</f>
        <v>2018</v>
      </c>
      <c r="M558" s="3">
        <f>MONTH(Clean_Data[[#This Row],[OrderDate]])</f>
        <v>2</v>
      </c>
      <c r="N558" s="8" t="str">
        <f>TEXT(Clean_Data[[#This Row],[OrderDate]],"mmm")</f>
        <v>Feb</v>
      </c>
      <c r="O558" s="8" t="str">
        <f>TEXT(Clean_Data[[#This Row],[OrderDate]], "yyyy-mm")</f>
        <v>2018-02</v>
      </c>
      <c r="P558" s="7">
        <f>Clean_Data[[#This Row],[Profit]]/Clean_Data[[#This Row],[Revenue ]]</f>
        <v>0.40963855421686746</v>
      </c>
      <c r="Q558" t="str">
        <f>"Q"&amp;ROUNDUP(MONTH(Clean_Data[[#This Row],[OrderDate]])/3,0)</f>
        <v>Q1</v>
      </c>
      <c r="R558" t="str">
        <f>TEXT(Clean_Data[[#This Row],[OrderDate]], "dddd")</f>
        <v>Sunday</v>
      </c>
    </row>
    <row r="559" spans="1:18" x14ac:dyDescent="0.25">
      <c r="A559" t="s">
        <v>625</v>
      </c>
      <c r="B559" s="4">
        <v>149</v>
      </c>
      <c r="C559" s="4">
        <v>17</v>
      </c>
      <c r="D559" s="3">
        <v>4</v>
      </c>
      <c r="E559" t="s">
        <v>888</v>
      </c>
      <c r="F559" t="s">
        <v>908</v>
      </c>
      <c r="G559" t="s">
        <v>887</v>
      </c>
      <c r="H559" s="6">
        <f>_xlfn.XLOOKUP(A559,Orders[OrderID],Orders[OrderDate])</f>
        <v>43138</v>
      </c>
      <c r="I559" t="str">
        <f>_xlfn.XLOOKUP(A559,Orders[OrderID],Orders[CustomerName])</f>
        <v>Patil</v>
      </c>
      <c r="J559" t="str">
        <f>_xlfn.XLOOKUP(A559,Orders[OrderID],Orders[State])</f>
        <v>Delhi</v>
      </c>
      <c r="K559" t="str">
        <f>_xlfn.XLOOKUP(A559,Orders[OrderID],Orders[City])</f>
        <v>Delhi</v>
      </c>
      <c r="L559" s="3">
        <f>YEAR(Clean_Data[[#This Row],[OrderDate]])</f>
        <v>2018</v>
      </c>
      <c r="M559" s="3">
        <f>MONTH(Clean_Data[[#This Row],[OrderDate]])</f>
        <v>2</v>
      </c>
      <c r="N559" s="8" t="str">
        <f>TEXT(Clean_Data[[#This Row],[OrderDate]],"mmm")</f>
        <v>Feb</v>
      </c>
      <c r="O559" s="8" t="str">
        <f>TEXT(Clean_Data[[#This Row],[OrderDate]], "yyyy-mm")</f>
        <v>2018-02</v>
      </c>
      <c r="P559" s="7">
        <f>Clean_Data[[#This Row],[Profit]]/Clean_Data[[#This Row],[Revenue ]]</f>
        <v>0.11409395973154363</v>
      </c>
      <c r="Q559" t="str">
        <f>"Q"&amp;ROUNDUP(MONTH(Clean_Data[[#This Row],[OrderDate]])/3,0)</f>
        <v>Q1</v>
      </c>
      <c r="R559" t="str">
        <f>TEXT(Clean_Data[[#This Row],[OrderDate]], "dddd")</f>
        <v>Wednesday</v>
      </c>
    </row>
    <row r="560" spans="1:18" x14ac:dyDescent="0.25">
      <c r="A560" t="s">
        <v>564</v>
      </c>
      <c r="B560" s="4">
        <v>193</v>
      </c>
      <c r="C560" s="4">
        <v>46</v>
      </c>
      <c r="D560" s="3">
        <v>1</v>
      </c>
      <c r="E560" t="s">
        <v>885</v>
      </c>
      <c r="F560" t="s">
        <v>892</v>
      </c>
      <c r="G560" t="s">
        <v>893</v>
      </c>
      <c r="H560" s="6">
        <f>_xlfn.XLOOKUP(A560,Orders[OrderID],Orders[OrderDate])</f>
        <v>43210</v>
      </c>
      <c r="I560" t="str">
        <f>_xlfn.XLOOKUP(A560,Orders[OrderID],Orders[CustomerName])</f>
        <v>Sarita</v>
      </c>
      <c r="J560" t="str">
        <f>_xlfn.XLOOKUP(A560,Orders[OrderID],Orders[State])</f>
        <v>Maharashtra</v>
      </c>
      <c r="K560" t="str">
        <f>_xlfn.XLOOKUP(A560,Orders[OrderID],Orders[City])</f>
        <v>Pune</v>
      </c>
      <c r="L560" s="3">
        <f>YEAR(Clean_Data[[#This Row],[OrderDate]])</f>
        <v>2018</v>
      </c>
      <c r="M560" s="3">
        <f>MONTH(Clean_Data[[#This Row],[OrderDate]])</f>
        <v>4</v>
      </c>
      <c r="N560" s="8" t="str">
        <f>TEXT(Clean_Data[[#This Row],[OrderDate]],"mmm")</f>
        <v>Apr</v>
      </c>
      <c r="O560" s="8" t="str">
        <f>TEXT(Clean_Data[[#This Row],[OrderDate]], "yyyy-mm")</f>
        <v>2018-04</v>
      </c>
      <c r="P560" s="7">
        <f>Clean_Data[[#This Row],[Profit]]/Clean_Data[[#This Row],[Revenue ]]</f>
        <v>0.23834196891191708</v>
      </c>
      <c r="Q560" t="str">
        <f>"Q"&amp;ROUNDUP(MONTH(Clean_Data[[#This Row],[OrderDate]])/3,0)</f>
        <v>Q2</v>
      </c>
      <c r="R560" t="str">
        <f>TEXT(Clean_Data[[#This Row],[OrderDate]], "dddd")</f>
        <v>Friday</v>
      </c>
    </row>
    <row r="561" spans="1:18" x14ac:dyDescent="0.25">
      <c r="A561" t="s">
        <v>136</v>
      </c>
      <c r="B561" s="4">
        <v>85</v>
      </c>
      <c r="C561" s="4">
        <v>24</v>
      </c>
      <c r="D561" s="3">
        <v>10</v>
      </c>
      <c r="E561" t="s">
        <v>895</v>
      </c>
      <c r="F561" t="s">
        <v>899</v>
      </c>
      <c r="G561" t="s">
        <v>907</v>
      </c>
      <c r="H561" s="6">
        <f>_xlfn.XLOOKUP(A561,Orders[OrderID],Orders[OrderDate])</f>
        <v>43166</v>
      </c>
      <c r="I561" t="str">
        <f>_xlfn.XLOOKUP(A561,Orders[OrderID],Orders[CustomerName])</f>
        <v>Parishi</v>
      </c>
      <c r="J561" t="str">
        <f>_xlfn.XLOOKUP(A561,Orders[OrderID],Orders[State])</f>
        <v>West Bengal</v>
      </c>
      <c r="K561" t="str">
        <f>_xlfn.XLOOKUP(A561,Orders[OrderID],Orders[City])</f>
        <v>Kolkata</v>
      </c>
      <c r="L561" s="3">
        <f>YEAR(Clean_Data[[#This Row],[OrderDate]])</f>
        <v>2018</v>
      </c>
      <c r="M561" s="3">
        <f>MONTH(Clean_Data[[#This Row],[OrderDate]])</f>
        <v>3</v>
      </c>
      <c r="N561" s="8" t="str">
        <f>TEXT(Clean_Data[[#This Row],[OrderDate]],"mmm")</f>
        <v>Mar</v>
      </c>
      <c r="O561" s="8" t="str">
        <f>TEXT(Clean_Data[[#This Row],[OrderDate]], "yyyy-mm")</f>
        <v>2018-03</v>
      </c>
      <c r="P561" s="7">
        <f>Clean_Data[[#This Row],[Profit]]/Clean_Data[[#This Row],[Revenue ]]</f>
        <v>0.28235294117647058</v>
      </c>
      <c r="Q561" t="str">
        <f>"Q"&amp;ROUNDUP(MONTH(Clean_Data[[#This Row],[OrderDate]])/3,0)</f>
        <v>Q1</v>
      </c>
      <c r="R561" t="str">
        <f>TEXT(Clean_Data[[#This Row],[OrderDate]], "dddd")</f>
        <v>Wednesday</v>
      </c>
    </row>
    <row r="562" spans="1:18" x14ac:dyDescent="0.25">
      <c r="A562" t="s">
        <v>642</v>
      </c>
      <c r="B562" s="4">
        <v>44</v>
      </c>
      <c r="C562" s="4">
        <v>-17</v>
      </c>
      <c r="D562" s="3">
        <v>5</v>
      </c>
      <c r="E562" t="s">
        <v>895</v>
      </c>
      <c r="F562" t="s">
        <v>897</v>
      </c>
      <c r="G562" t="s">
        <v>898</v>
      </c>
      <c r="H562" s="6">
        <f>_xlfn.XLOOKUP(A562,Orders[OrderID],Orders[OrderDate])</f>
        <v>43248</v>
      </c>
      <c r="I562" t="str">
        <f>_xlfn.XLOOKUP(A562,Orders[OrderID],Orders[CustomerName])</f>
        <v>Arsheen</v>
      </c>
      <c r="J562" t="str">
        <f>_xlfn.XLOOKUP(A562,Orders[OrderID],Orders[State])</f>
        <v>Gujarat</v>
      </c>
      <c r="K562" t="str">
        <f>_xlfn.XLOOKUP(A562,Orders[OrderID],Orders[City])</f>
        <v>Ahmedabad</v>
      </c>
      <c r="L562" s="3">
        <f>YEAR(Clean_Data[[#This Row],[OrderDate]])</f>
        <v>2018</v>
      </c>
      <c r="M562" s="3">
        <f>MONTH(Clean_Data[[#This Row],[OrderDate]])</f>
        <v>5</v>
      </c>
      <c r="N562" s="8" t="str">
        <f>TEXT(Clean_Data[[#This Row],[OrderDate]],"mmm")</f>
        <v>May</v>
      </c>
      <c r="O562" s="8" t="str">
        <f>TEXT(Clean_Data[[#This Row],[OrderDate]], "yyyy-mm")</f>
        <v>2018-05</v>
      </c>
      <c r="P562" s="7">
        <f>Clean_Data[[#This Row],[Profit]]/Clean_Data[[#This Row],[Revenue ]]</f>
        <v>-0.38636363636363635</v>
      </c>
      <c r="Q562" t="str">
        <f>"Q"&amp;ROUNDUP(MONTH(Clean_Data[[#This Row],[OrderDate]])/3,0)</f>
        <v>Q2</v>
      </c>
      <c r="R562" t="str">
        <f>TEXT(Clean_Data[[#This Row],[OrderDate]], "dddd")</f>
        <v>Monday</v>
      </c>
    </row>
    <row r="563" spans="1:18" x14ac:dyDescent="0.25">
      <c r="A563" t="s">
        <v>571</v>
      </c>
      <c r="B563" s="4">
        <v>149</v>
      </c>
      <c r="C563" s="4">
        <v>-40</v>
      </c>
      <c r="D563" s="3">
        <v>2</v>
      </c>
      <c r="E563" t="s">
        <v>885</v>
      </c>
      <c r="F563" t="s">
        <v>894</v>
      </c>
      <c r="G563" t="s">
        <v>887</v>
      </c>
      <c r="H563" s="6">
        <f>_xlfn.XLOOKUP(A563,Orders[OrderID],Orders[OrderDate])</f>
        <v>43297</v>
      </c>
      <c r="I563" t="str">
        <f>_xlfn.XLOOKUP(A563,Orders[OrderID],Orders[CustomerName])</f>
        <v>Anchal</v>
      </c>
      <c r="J563" t="str">
        <f>_xlfn.XLOOKUP(A563,Orders[OrderID],Orders[State])</f>
        <v>Haryana</v>
      </c>
      <c r="K563" t="str">
        <f>_xlfn.XLOOKUP(A563,Orders[OrderID],Orders[City])</f>
        <v>Chandigarh</v>
      </c>
      <c r="L563" s="3">
        <f>YEAR(Clean_Data[[#This Row],[OrderDate]])</f>
        <v>2018</v>
      </c>
      <c r="M563" s="3">
        <f>MONTH(Clean_Data[[#This Row],[OrderDate]])</f>
        <v>7</v>
      </c>
      <c r="N563" s="8" t="str">
        <f>TEXT(Clean_Data[[#This Row],[OrderDate]],"mmm")</f>
        <v>Jul</v>
      </c>
      <c r="O563" s="8" t="str">
        <f>TEXT(Clean_Data[[#This Row],[OrderDate]], "yyyy-mm")</f>
        <v>2018-07</v>
      </c>
      <c r="P563" s="7">
        <f>Clean_Data[[#This Row],[Profit]]/Clean_Data[[#This Row],[Revenue ]]</f>
        <v>-0.26845637583892618</v>
      </c>
      <c r="Q563" t="str">
        <f>"Q"&amp;ROUNDUP(MONTH(Clean_Data[[#This Row],[OrderDate]])/3,0)</f>
        <v>Q3</v>
      </c>
      <c r="R563" t="str">
        <f>TEXT(Clean_Data[[#This Row],[OrderDate]], "dddd")</f>
        <v>Monday</v>
      </c>
    </row>
    <row r="564" spans="1:18" x14ac:dyDescent="0.25">
      <c r="A564" t="s">
        <v>273</v>
      </c>
      <c r="B564" s="4">
        <v>26</v>
      </c>
      <c r="C564" s="4">
        <v>0</v>
      </c>
      <c r="D564" s="3">
        <v>2</v>
      </c>
      <c r="E564" t="s">
        <v>895</v>
      </c>
      <c r="F564" t="s">
        <v>900</v>
      </c>
      <c r="G564" t="s">
        <v>887</v>
      </c>
      <c r="H564" s="6">
        <f>_xlfn.XLOOKUP(A564,Orders[OrderID],Orders[OrderDate])</f>
        <v>43340</v>
      </c>
      <c r="I564" t="str">
        <f>_xlfn.XLOOKUP(A564,Orders[OrderID],Orders[CustomerName])</f>
        <v>Sanjova</v>
      </c>
      <c r="J564" t="str">
        <f>_xlfn.XLOOKUP(A564,Orders[OrderID],Orders[State])</f>
        <v>Maharashtra</v>
      </c>
      <c r="K564" t="str">
        <f>_xlfn.XLOOKUP(A564,Orders[OrderID],Orders[City])</f>
        <v>Pune</v>
      </c>
      <c r="L564" s="3">
        <f>YEAR(Clean_Data[[#This Row],[OrderDate]])</f>
        <v>2018</v>
      </c>
      <c r="M564" s="3">
        <f>MONTH(Clean_Data[[#This Row],[OrderDate]])</f>
        <v>8</v>
      </c>
      <c r="N564" s="8" t="str">
        <f>TEXT(Clean_Data[[#This Row],[OrderDate]],"mmm")</f>
        <v>Aug</v>
      </c>
      <c r="O564" s="8" t="str">
        <f>TEXT(Clean_Data[[#This Row],[OrderDate]], "yyyy-mm")</f>
        <v>2018-08</v>
      </c>
      <c r="P564" s="7">
        <f>Clean_Data[[#This Row],[Profit]]/Clean_Data[[#This Row],[Revenue ]]</f>
        <v>0</v>
      </c>
      <c r="Q564" t="str">
        <f>"Q"&amp;ROUNDUP(MONTH(Clean_Data[[#This Row],[OrderDate]])/3,0)</f>
        <v>Q3</v>
      </c>
      <c r="R564" t="str">
        <f>TEXT(Clean_Data[[#This Row],[OrderDate]], "dddd")</f>
        <v>Tuesday</v>
      </c>
    </row>
    <row r="565" spans="1:18" x14ac:dyDescent="0.25">
      <c r="A565" t="s">
        <v>517</v>
      </c>
      <c r="B565" s="4">
        <v>86</v>
      </c>
      <c r="C565" s="4">
        <v>0</v>
      </c>
      <c r="D565" s="3">
        <v>4</v>
      </c>
      <c r="E565" t="s">
        <v>895</v>
      </c>
      <c r="F565" t="s">
        <v>906</v>
      </c>
      <c r="G565" t="s">
        <v>907</v>
      </c>
      <c r="H565" s="6">
        <f>_xlfn.XLOOKUP(A565,Orders[OrderID],Orders[OrderDate])</f>
        <v>43221</v>
      </c>
      <c r="I565" t="str">
        <f>_xlfn.XLOOKUP(A565,Orders[OrderID],Orders[CustomerName])</f>
        <v>Yaanvi</v>
      </c>
      <c r="J565" t="str">
        <f>_xlfn.XLOOKUP(A565,Orders[OrderID],Orders[State])</f>
        <v>Madhya Pradesh</v>
      </c>
      <c r="K565" t="str">
        <f>_xlfn.XLOOKUP(A565,Orders[OrderID],Orders[City])</f>
        <v>Indore</v>
      </c>
      <c r="L565" s="3">
        <f>YEAR(Clean_Data[[#This Row],[OrderDate]])</f>
        <v>2018</v>
      </c>
      <c r="M565" s="3">
        <f>MONTH(Clean_Data[[#This Row],[OrderDate]])</f>
        <v>5</v>
      </c>
      <c r="N565" s="8" t="str">
        <f>TEXT(Clean_Data[[#This Row],[OrderDate]],"mmm")</f>
        <v>May</v>
      </c>
      <c r="O565" s="8" t="str">
        <f>TEXT(Clean_Data[[#This Row],[OrderDate]], "yyyy-mm")</f>
        <v>2018-05</v>
      </c>
      <c r="P565" s="7">
        <f>Clean_Data[[#This Row],[Profit]]/Clean_Data[[#This Row],[Revenue ]]</f>
        <v>0</v>
      </c>
      <c r="Q565" t="str">
        <f>"Q"&amp;ROUNDUP(MONTH(Clean_Data[[#This Row],[OrderDate]])/3,0)</f>
        <v>Q2</v>
      </c>
      <c r="R565" t="str">
        <f>TEXT(Clean_Data[[#This Row],[OrderDate]], "dddd")</f>
        <v>Tuesday</v>
      </c>
    </row>
    <row r="566" spans="1:18" x14ac:dyDescent="0.25">
      <c r="A566" t="s">
        <v>738</v>
      </c>
      <c r="B566" s="4">
        <v>86</v>
      </c>
      <c r="C566" s="4">
        <v>22</v>
      </c>
      <c r="D566" s="3">
        <v>2</v>
      </c>
      <c r="E566" t="s">
        <v>895</v>
      </c>
      <c r="F566" t="s">
        <v>897</v>
      </c>
      <c r="G566" t="s">
        <v>907</v>
      </c>
      <c r="H566" s="6">
        <f>_xlfn.XLOOKUP(A566,Orders[OrderID],Orders[OrderDate])</f>
        <v>43175</v>
      </c>
      <c r="I566" t="str">
        <f>_xlfn.XLOOKUP(A566,Orders[OrderID],Orders[CustomerName])</f>
        <v>Priyanka</v>
      </c>
      <c r="J566" t="str">
        <f>_xlfn.XLOOKUP(A566,Orders[OrderID],Orders[State])</f>
        <v>Maharashtra</v>
      </c>
      <c r="K566" t="str">
        <f>_xlfn.XLOOKUP(A566,Orders[OrderID],Orders[City])</f>
        <v>Pune</v>
      </c>
      <c r="L566" s="3">
        <f>YEAR(Clean_Data[[#This Row],[OrderDate]])</f>
        <v>2018</v>
      </c>
      <c r="M566" s="3">
        <f>MONTH(Clean_Data[[#This Row],[OrderDate]])</f>
        <v>3</v>
      </c>
      <c r="N566" s="8" t="str">
        <f>TEXT(Clean_Data[[#This Row],[OrderDate]],"mmm")</f>
        <v>Mar</v>
      </c>
      <c r="O566" s="8" t="str">
        <f>TEXT(Clean_Data[[#This Row],[OrderDate]], "yyyy-mm")</f>
        <v>2018-03</v>
      </c>
      <c r="P566" s="7">
        <f>Clean_Data[[#This Row],[Profit]]/Clean_Data[[#This Row],[Revenue ]]</f>
        <v>0.2558139534883721</v>
      </c>
      <c r="Q566" t="str">
        <f>"Q"&amp;ROUNDUP(MONTH(Clean_Data[[#This Row],[OrderDate]])/3,0)</f>
        <v>Q1</v>
      </c>
      <c r="R566" t="str">
        <f>TEXT(Clean_Data[[#This Row],[OrderDate]], "dddd")</f>
        <v>Friday</v>
      </c>
    </row>
    <row r="567" spans="1:18" x14ac:dyDescent="0.25">
      <c r="A567" t="s">
        <v>68</v>
      </c>
      <c r="B567" s="4">
        <v>79</v>
      </c>
      <c r="C567" s="4">
        <v>16</v>
      </c>
      <c r="D567" s="3">
        <v>3</v>
      </c>
      <c r="E567" t="s">
        <v>895</v>
      </c>
      <c r="F567" t="s">
        <v>906</v>
      </c>
      <c r="G567" t="s">
        <v>887</v>
      </c>
      <c r="H567" s="6">
        <f>_xlfn.XLOOKUP(A567,Orders[OrderID],Orders[OrderDate])</f>
        <v>43139</v>
      </c>
      <c r="I567" t="str">
        <f>_xlfn.XLOOKUP(A567,Orders[OrderID],Orders[CustomerName])</f>
        <v>Hitesh</v>
      </c>
      <c r="J567" t="str">
        <f>_xlfn.XLOOKUP(A567,Orders[OrderID],Orders[State])</f>
        <v>Madhya Pradesh</v>
      </c>
      <c r="K567" t="str">
        <f>_xlfn.XLOOKUP(A567,Orders[OrderID],Orders[City])</f>
        <v>Bhopal</v>
      </c>
      <c r="L567" s="3">
        <f>YEAR(Clean_Data[[#This Row],[OrderDate]])</f>
        <v>2018</v>
      </c>
      <c r="M567" s="3">
        <f>MONTH(Clean_Data[[#This Row],[OrderDate]])</f>
        <v>2</v>
      </c>
      <c r="N567" s="8" t="str">
        <f>TEXT(Clean_Data[[#This Row],[OrderDate]],"mmm")</f>
        <v>Feb</v>
      </c>
      <c r="O567" s="8" t="str">
        <f>TEXT(Clean_Data[[#This Row],[OrderDate]], "yyyy-mm")</f>
        <v>2018-02</v>
      </c>
      <c r="P567" s="7">
        <f>Clean_Data[[#This Row],[Profit]]/Clean_Data[[#This Row],[Revenue ]]</f>
        <v>0.20253164556962025</v>
      </c>
      <c r="Q567" t="str">
        <f>"Q"&amp;ROUNDUP(MONTH(Clean_Data[[#This Row],[OrderDate]])/3,0)</f>
        <v>Q1</v>
      </c>
      <c r="R567" t="str">
        <f>TEXT(Clean_Data[[#This Row],[OrderDate]], "dddd")</f>
        <v>Thursday</v>
      </c>
    </row>
    <row r="568" spans="1:18" x14ac:dyDescent="0.25">
      <c r="A568" t="s">
        <v>565</v>
      </c>
      <c r="B568" s="4">
        <v>193</v>
      </c>
      <c r="C568" s="4">
        <v>-275</v>
      </c>
      <c r="D568" s="3">
        <v>3</v>
      </c>
      <c r="E568" t="s">
        <v>885</v>
      </c>
      <c r="F568" t="s">
        <v>894</v>
      </c>
      <c r="G568" t="s">
        <v>893</v>
      </c>
      <c r="H568" s="6">
        <f>_xlfn.XLOOKUP(A568,Orders[OrderID],Orders[OrderDate])</f>
        <v>43288</v>
      </c>
      <c r="I568" t="str">
        <f>_xlfn.XLOOKUP(A568,Orders[OrderID],Orders[CustomerName])</f>
        <v>Adhvaita</v>
      </c>
      <c r="J568" t="str">
        <f>_xlfn.XLOOKUP(A568,Orders[OrderID],Orders[State])</f>
        <v>Rajasthan</v>
      </c>
      <c r="K568" t="str">
        <f>_xlfn.XLOOKUP(A568,Orders[OrderID],Orders[City])</f>
        <v>Jaipur</v>
      </c>
      <c r="L568" s="3">
        <f>YEAR(Clean_Data[[#This Row],[OrderDate]])</f>
        <v>2018</v>
      </c>
      <c r="M568" s="3">
        <f>MONTH(Clean_Data[[#This Row],[OrderDate]])</f>
        <v>7</v>
      </c>
      <c r="N568" s="8" t="str">
        <f>TEXT(Clean_Data[[#This Row],[OrderDate]],"mmm")</f>
        <v>Jul</v>
      </c>
      <c r="O568" s="8" t="str">
        <f>TEXT(Clean_Data[[#This Row],[OrderDate]], "yyyy-mm")</f>
        <v>2018-07</v>
      </c>
      <c r="P568" s="7">
        <f>Clean_Data[[#This Row],[Profit]]/Clean_Data[[#This Row],[Revenue ]]</f>
        <v>-1.4248704663212435</v>
      </c>
      <c r="Q568" t="str">
        <f>"Q"&amp;ROUNDUP(MONTH(Clean_Data[[#This Row],[OrderDate]])/3,0)</f>
        <v>Q3</v>
      </c>
      <c r="R568" t="str">
        <f>TEXT(Clean_Data[[#This Row],[OrderDate]], "dddd")</f>
        <v>Saturday</v>
      </c>
    </row>
    <row r="569" spans="1:18" x14ac:dyDescent="0.25">
      <c r="A569" t="s">
        <v>337</v>
      </c>
      <c r="B569" s="4">
        <v>148</v>
      </c>
      <c r="C569" s="4">
        <v>0</v>
      </c>
      <c r="D569" s="3">
        <v>3</v>
      </c>
      <c r="E569" t="s">
        <v>895</v>
      </c>
      <c r="F569" t="s">
        <v>897</v>
      </c>
      <c r="G569" t="s">
        <v>887</v>
      </c>
      <c r="H569" s="6">
        <f>_xlfn.XLOOKUP(A569,Orders[OrderID],Orders[OrderDate])</f>
        <v>43367</v>
      </c>
      <c r="I569" t="str">
        <f>_xlfn.XLOOKUP(A569,Orders[OrderID],Orders[CustomerName])</f>
        <v>Sukrith</v>
      </c>
      <c r="J569" t="str">
        <f>_xlfn.XLOOKUP(A569,Orders[OrderID],Orders[State])</f>
        <v>Maharashtra</v>
      </c>
      <c r="K569" t="str">
        <f>_xlfn.XLOOKUP(A569,Orders[OrderID],Orders[City])</f>
        <v>Mumbai</v>
      </c>
      <c r="L569" s="3">
        <f>YEAR(Clean_Data[[#This Row],[OrderDate]])</f>
        <v>2018</v>
      </c>
      <c r="M569" s="3">
        <f>MONTH(Clean_Data[[#This Row],[OrderDate]])</f>
        <v>9</v>
      </c>
      <c r="N569" s="8" t="str">
        <f>TEXT(Clean_Data[[#This Row],[OrderDate]],"mmm")</f>
        <v>Sep</v>
      </c>
      <c r="O569" s="8" t="str">
        <f>TEXT(Clean_Data[[#This Row],[OrderDate]], "yyyy-mm")</f>
        <v>2018-09</v>
      </c>
      <c r="P569" s="7">
        <f>Clean_Data[[#This Row],[Profit]]/Clean_Data[[#This Row],[Revenue ]]</f>
        <v>0</v>
      </c>
      <c r="Q569" t="str">
        <f>"Q"&amp;ROUNDUP(MONTH(Clean_Data[[#This Row],[OrderDate]])/3,0)</f>
        <v>Q3</v>
      </c>
      <c r="R569" t="str">
        <f>TEXT(Clean_Data[[#This Row],[OrderDate]], "dddd")</f>
        <v>Monday</v>
      </c>
    </row>
    <row r="570" spans="1:18" x14ac:dyDescent="0.25">
      <c r="A570" t="s">
        <v>200</v>
      </c>
      <c r="B570" s="4">
        <v>70</v>
      </c>
      <c r="C570" s="4">
        <v>-14</v>
      </c>
      <c r="D570" s="3">
        <v>2</v>
      </c>
      <c r="E570" t="s">
        <v>888</v>
      </c>
      <c r="F570" t="s">
        <v>908</v>
      </c>
      <c r="G570" t="s">
        <v>898</v>
      </c>
      <c r="H570" s="6">
        <f>_xlfn.XLOOKUP(A570,Orders[OrderID],Orders[OrderDate])</f>
        <v>43314</v>
      </c>
      <c r="I570" t="str">
        <f>_xlfn.XLOOKUP(A570,Orders[OrderID],Orders[CustomerName])</f>
        <v>Ayush</v>
      </c>
      <c r="J570" t="str">
        <f>_xlfn.XLOOKUP(A570,Orders[OrderID],Orders[State])</f>
        <v>Punjab</v>
      </c>
      <c r="K570" t="str">
        <f>_xlfn.XLOOKUP(A570,Orders[OrderID],Orders[City])</f>
        <v>Chandigarh</v>
      </c>
      <c r="L570" s="3">
        <f>YEAR(Clean_Data[[#This Row],[OrderDate]])</f>
        <v>2018</v>
      </c>
      <c r="M570" s="3">
        <f>MONTH(Clean_Data[[#This Row],[OrderDate]])</f>
        <v>8</v>
      </c>
      <c r="N570" s="8" t="str">
        <f>TEXT(Clean_Data[[#This Row],[OrderDate]],"mmm")</f>
        <v>Aug</v>
      </c>
      <c r="O570" s="8" t="str">
        <f>TEXT(Clean_Data[[#This Row],[OrderDate]], "yyyy-mm")</f>
        <v>2018-08</v>
      </c>
      <c r="P570" s="7">
        <f>Clean_Data[[#This Row],[Profit]]/Clean_Data[[#This Row],[Revenue ]]</f>
        <v>-0.2</v>
      </c>
      <c r="Q570" t="str">
        <f>"Q"&amp;ROUNDUP(MONTH(Clean_Data[[#This Row],[OrderDate]])/3,0)</f>
        <v>Q3</v>
      </c>
      <c r="R570" t="str">
        <f>TEXT(Clean_Data[[#This Row],[OrderDate]], "dddd")</f>
        <v>Thursday</v>
      </c>
    </row>
    <row r="571" spans="1:18" x14ac:dyDescent="0.25">
      <c r="A571" t="s">
        <v>627</v>
      </c>
      <c r="B571" s="4">
        <v>148</v>
      </c>
      <c r="C571" s="4">
        <v>59</v>
      </c>
      <c r="D571" s="3">
        <v>3</v>
      </c>
      <c r="E571" t="s">
        <v>895</v>
      </c>
      <c r="F571" t="s">
        <v>899</v>
      </c>
      <c r="G571" t="s">
        <v>887</v>
      </c>
      <c r="H571" s="6">
        <f>_xlfn.XLOOKUP(A571,Orders[OrderID],Orders[OrderDate])</f>
        <v>43345</v>
      </c>
      <c r="I571" t="str">
        <f>_xlfn.XLOOKUP(A571,Orders[OrderID],Orders[CustomerName])</f>
        <v>Vaibhavi</v>
      </c>
      <c r="J571" t="str">
        <f>_xlfn.XLOOKUP(A571,Orders[OrderID],Orders[State])</f>
        <v>Uttar Pradesh</v>
      </c>
      <c r="K571" t="str">
        <f>_xlfn.XLOOKUP(A571,Orders[OrderID],Orders[City])</f>
        <v>Lucknow</v>
      </c>
      <c r="L571" s="3">
        <f>YEAR(Clean_Data[[#This Row],[OrderDate]])</f>
        <v>2018</v>
      </c>
      <c r="M571" s="3">
        <f>MONTH(Clean_Data[[#This Row],[OrderDate]])</f>
        <v>9</v>
      </c>
      <c r="N571" s="8" t="str">
        <f>TEXT(Clean_Data[[#This Row],[OrderDate]],"mmm")</f>
        <v>Sep</v>
      </c>
      <c r="O571" s="8" t="str">
        <f>TEXT(Clean_Data[[#This Row],[OrderDate]], "yyyy-mm")</f>
        <v>2018-09</v>
      </c>
      <c r="P571" s="7">
        <f>Clean_Data[[#This Row],[Profit]]/Clean_Data[[#This Row],[Revenue ]]</f>
        <v>0.39864864864864863</v>
      </c>
      <c r="Q571" t="str">
        <f>"Q"&amp;ROUNDUP(MONTH(Clean_Data[[#This Row],[OrderDate]])/3,0)</f>
        <v>Q3</v>
      </c>
      <c r="R571" t="str">
        <f>TEXT(Clean_Data[[#This Row],[OrderDate]], "dddd")</f>
        <v>Sunday</v>
      </c>
    </row>
    <row r="572" spans="1:18" x14ac:dyDescent="0.25">
      <c r="A572" t="s">
        <v>91</v>
      </c>
      <c r="B572" s="4">
        <v>190</v>
      </c>
      <c r="C572" s="4">
        <v>19</v>
      </c>
      <c r="D572" s="3">
        <v>9</v>
      </c>
      <c r="E572" t="s">
        <v>888</v>
      </c>
      <c r="F572" t="s">
        <v>908</v>
      </c>
      <c r="G572" t="s">
        <v>893</v>
      </c>
      <c r="H572" s="6">
        <f>_xlfn.XLOOKUP(A572,Orders[OrderID],Orders[OrderDate])</f>
        <v>43113</v>
      </c>
      <c r="I572" t="str">
        <f>_xlfn.XLOOKUP(A572,Orders[OrderID],Orders[CustomerName])</f>
        <v>Shruti</v>
      </c>
      <c r="J572" t="str">
        <f>_xlfn.XLOOKUP(A572,Orders[OrderID],Orders[State])</f>
        <v>Madhya Pradesh</v>
      </c>
      <c r="K572" t="str">
        <f>_xlfn.XLOOKUP(A572,Orders[OrderID],Orders[City])</f>
        <v>Indore</v>
      </c>
      <c r="L572" s="3">
        <f>YEAR(Clean_Data[[#This Row],[OrderDate]])</f>
        <v>2018</v>
      </c>
      <c r="M572" s="3">
        <f>MONTH(Clean_Data[[#This Row],[OrderDate]])</f>
        <v>1</v>
      </c>
      <c r="N572" s="8" t="str">
        <f>TEXT(Clean_Data[[#This Row],[OrderDate]],"mmm")</f>
        <v>Jan</v>
      </c>
      <c r="O572" s="8" t="str">
        <f>TEXT(Clean_Data[[#This Row],[OrderDate]], "yyyy-mm")</f>
        <v>2018-01</v>
      </c>
      <c r="P572" s="7">
        <f>Clean_Data[[#This Row],[Profit]]/Clean_Data[[#This Row],[Revenue ]]</f>
        <v>0.1</v>
      </c>
      <c r="Q572" t="str">
        <f>"Q"&amp;ROUNDUP(MONTH(Clean_Data[[#This Row],[OrderDate]])/3,0)</f>
        <v>Q1</v>
      </c>
      <c r="R572" t="str">
        <f>TEXT(Clean_Data[[#This Row],[OrderDate]], "dddd")</f>
        <v>Saturday</v>
      </c>
    </row>
    <row r="573" spans="1:18" x14ac:dyDescent="0.25">
      <c r="A573" t="s">
        <v>660</v>
      </c>
      <c r="B573" s="4">
        <v>52</v>
      </c>
      <c r="C573" s="4">
        <v>14</v>
      </c>
      <c r="D573" s="3">
        <v>2</v>
      </c>
      <c r="E573" t="s">
        <v>895</v>
      </c>
      <c r="F573" t="s">
        <v>903</v>
      </c>
      <c r="G573" t="s">
        <v>887</v>
      </c>
      <c r="H573" s="6">
        <f>_xlfn.XLOOKUP(A573,Orders[OrderID],Orders[OrderDate])</f>
        <v>43155</v>
      </c>
      <c r="I573" t="str">
        <f>_xlfn.XLOOKUP(A573,Orders[OrderID],Orders[CustomerName])</f>
        <v>Pooja</v>
      </c>
      <c r="J573" t="str">
        <f>_xlfn.XLOOKUP(A573,Orders[OrderID],Orders[State])</f>
        <v>Bihar</v>
      </c>
      <c r="K573" t="str">
        <f>_xlfn.XLOOKUP(A573,Orders[OrderID],Orders[City])</f>
        <v>Patna</v>
      </c>
      <c r="L573" s="3">
        <f>YEAR(Clean_Data[[#This Row],[OrderDate]])</f>
        <v>2018</v>
      </c>
      <c r="M573" s="3">
        <f>MONTH(Clean_Data[[#This Row],[OrderDate]])</f>
        <v>2</v>
      </c>
      <c r="N573" s="8" t="str">
        <f>TEXT(Clean_Data[[#This Row],[OrderDate]],"mmm")</f>
        <v>Feb</v>
      </c>
      <c r="O573" s="8" t="str">
        <f>TEXT(Clean_Data[[#This Row],[OrderDate]], "yyyy-mm")</f>
        <v>2018-02</v>
      </c>
      <c r="P573" s="7">
        <f>Clean_Data[[#This Row],[Profit]]/Clean_Data[[#This Row],[Revenue ]]</f>
        <v>0.26923076923076922</v>
      </c>
      <c r="Q573" t="str">
        <f>"Q"&amp;ROUNDUP(MONTH(Clean_Data[[#This Row],[OrderDate]])/3,0)</f>
        <v>Q1</v>
      </c>
      <c r="R573" t="str">
        <f>TEXT(Clean_Data[[#This Row],[OrderDate]], "dddd")</f>
        <v>Saturday</v>
      </c>
    </row>
    <row r="574" spans="1:18" x14ac:dyDescent="0.25">
      <c r="A574" t="s">
        <v>601</v>
      </c>
      <c r="B574" s="4">
        <v>147</v>
      </c>
      <c r="C574" s="4">
        <v>44</v>
      </c>
      <c r="D574" s="3">
        <v>3</v>
      </c>
      <c r="E574" t="s">
        <v>895</v>
      </c>
      <c r="F574" t="s">
        <v>897</v>
      </c>
      <c r="G574" t="s">
        <v>887</v>
      </c>
      <c r="H574" s="6">
        <f>_xlfn.XLOOKUP(A574,Orders[OrderID],Orders[OrderDate])</f>
        <v>43139</v>
      </c>
      <c r="I574" t="str">
        <f>_xlfn.XLOOKUP(A574,Orders[OrderID],Orders[CustomerName])</f>
        <v>Nandita</v>
      </c>
      <c r="J574" t="str">
        <f>_xlfn.XLOOKUP(A574,Orders[OrderID],Orders[State])</f>
        <v>Rajasthan</v>
      </c>
      <c r="K574" t="str">
        <f>_xlfn.XLOOKUP(A574,Orders[OrderID],Orders[City])</f>
        <v>Jaipur</v>
      </c>
      <c r="L574" s="3">
        <f>YEAR(Clean_Data[[#This Row],[OrderDate]])</f>
        <v>2018</v>
      </c>
      <c r="M574" s="3">
        <f>MONTH(Clean_Data[[#This Row],[OrderDate]])</f>
        <v>2</v>
      </c>
      <c r="N574" s="8" t="str">
        <f>TEXT(Clean_Data[[#This Row],[OrderDate]],"mmm")</f>
        <v>Feb</v>
      </c>
      <c r="O574" s="8" t="str">
        <f>TEXT(Clean_Data[[#This Row],[OrderDate]], "yyyy-mm")</f>
        <v>2018-02</v>
      </c>
      <c r="P574" s="7">
        <f>Clean_Data[[#This Row],[Profit]]/Clean_Data[[#This Row],[Revenue ]]</f>
        <v>0.29931972789115646</v>
      </c>
      <c r="Q574" t="str">
        <f>"Q"&amp;ROUNDUP(MONTH(Clean_Data[[#This Row],[OrderDate]])/3,0)</f>
        <v>Q1</v>
      </c>
      <c r="R574" t="str">
        <f>TEXT(Clean_Data[[#This Row],[OrderDate]], "dddd")</f>
        <v>Thursday</v>
      </c>
    </row>
    <row r="575" spans="1:18" x14ac:dyDescent="0.25">
      <c r="A575" t="s">
        <v>507</v>
      </c>
      <c r="B575" s="4">
        <v>190</v>
      </c>
      <c r="C575" s="4">
        <v>68</v>
      </c>
      <c r="D575" s="3">
        <v>8</v>
      </c>
      <c r="E575" t="s">
        <v>895</v>
      </c>
      <c r="F575" t="s">
        <v>906</v>
      </c>
      <c r="G575" t="s">
        <v>893</v>
      </c>
      <c r="H575" s="6">
        <f>_xlfn.XLOOKUP(A575,Orders[OrderID],Orders[OrderDate])</f>
        <v>43439</v>
      </c>
      <c r="I575" t="str">
        <f>_xlfn.XLOOKUP(A575,Orders[OrderID],Orders[CustomerName])</f>
        <v>Aman</v>
      </c>
      <c r="J575" t="str">
        <f>_xlfn.XLOOKUP(A575,Orders[OrderID],Orders[State])</f>
        <v>Maharashtra</v>
      </c>
      <c r="K575" t="str">
        <f>_xlfn.XLOOKUP(A575,Orders[OrderID],Orders[City])</f>
        <v>Mumbai</v>
      </c>
      <c r="L575" s="3">
        <f>YEAR(Clean_Data[[#This Row],[OrderDate]])</f>
        <v>2018</v>
      </c>
      <c r="M575" s="3">
        <f>MONTH(Clean_Data[[#This Row],[OrderDate]])</f>
        <v>12</v>
      </c>
      <c r="N575" s="8" t="str">
        <f>TEXT(Clean_Data[[#This Row],[OrderDate]],"mmm")</f>
        <v>Dec</v>
      </c>
      <c r="O575" s="8" t="str">
        <f>TEXT(Clean_Data[[#This Row],[OrderDate]], "yyyy-mm")</f>
        <v>2018-12</v>
      </c>
      <c r="P575" s="7">
        <f>Clean_Data[[#This Row],[Profit]]/Clean_Data[[#This Row],[Revenue ]]</f>
        <v>0.35789473684210527</v>
      </c>
      <c r="Q575" t="str">
        <f>"Q"&amp;ROUNDUP(MONTH(Clean_Data[[#This Row],[OrderDate]])/3,0)</f>
        <v>Q4</v>
      </c>
      <c r="R575" t="str">
        <f>TEXT(Clean_Data[[#This Row],[OrderDate]], "dddd")</f>
        <v>Wednesday</v>
      </c>
    </row>
    <row r="576" spans="1:18" x14ac:dyDescent="0.25">
      <c r="A576" t="s">
        <v>158</v>
      </c>
      <c r="B576" s="4">
        <v>80</v>
      </c>
      <c r="C576" s="4">
        <v>-56</v>
      </c>
      <c r="D576" s="3">
        <v>4</v>
      </c>
      <c r="E576" t="s">
        <v>885</v>
      </c>
      <c r="F576" t="s">
        <v>886</v>
      </c>
      <c r="G576" t="s">
        <v>898</v>
      </c>
      <c r="H576" s="6">
        <f>_xlfn.XLOOKUP(A576,Orders[OrderID],Orders[OrderDate])</f>
        <v>43191</v>
      </c>
      <c r="I576" t="str">
        <f>_xlfn.XLOOKUP(A576,Orders[OrderID],Orders[CustomerName])</f>
        <v>Bharat</v>
      </c>
      <c r="J576" t="str">
        <f>_xlfn.XLOOKUP(A576,Orders[OrderID],Orders[State])</f>
        <v>Gujarat</v>
      </c>
      <c r="K576" t="str">
        <f>_xlfn.XLOOKUP(A576,Orders[OrderID],Orders[City])</f>
        <v>Ahmedabad</v>
      </c>
      <c r="L576" s="3">
        <f>YEAR(Clean_Data[[#This Row],[OrderDate]])</f>
        <v>2018</v>
      </c>
      <c r="M576" s="3">
        <f>MONTH(Clean_Data[[#This Row],[OrderDate]])</f>
        <v>4</v>
      </c>
      <c r="N576" s="8" t="str">
        <f>TEXT(Clean_Data[[#This Row],[OrderDate]],"mmm")</f>
        <v>Apr</v>
      </c>
      <c r="O576" s="8" t="str">
        <f>TEXT(Clean_Data[[#This Row],[OrderDate]], "yyyy-mm")</f>
        <v>2018-04</v>
      </c>
      <c r="P576" s="7">
        <f>Clean_Data[[#This Row],[Profit]]/Clean_Data[[#This Row],[Revenue ]]</f>
        <v>-0.7</v>
      </c>
      <c r="Q576" t="str">
        <f>"Q"&amp;ROUNDUP(MONTH(Clean_Data[[#This Row],[OrderDate]])/3,0)</f>
        <v>Q2</v>
      </c>
      <c r="R576" t="str">
        <f>TEXT(Clean_Data[[#This Row],[OrderDate]], "dddd")</f>
        <v>Sunday</v>
      </c>
    </row>
    <row r="577" spans="1:18" x14ac:dyDescent="0.25">
      <c r="A577" t="s">
        <v>219</v>
      </c>
      <c r="B577" s="4">
        <v>147</v>
      </c>
      <c r="C577" s="4">
        <v>48</v>
      </c>
      <c r="D577" s="3">
        <v>3</v>
      </c>
      <c r="E577" t="s">
        <v>895</v>
      </c>
      <c r="F577" t="s">
        <v>897</v>
      </c>
      <c r="G577" t="s">
        <v>887</v>
      </c>
      <c r="H577" s="6">
        <f>_xlfn.XLOOKUP(A577,Orders[OrderID],Orders[OrderDate])</f>
        <v>43113</v>
      </c>
      <c r="I577" t="str">
        <f>_xlfn.XLOOKUP(A577,Orders[OrderID],Orders[CustomerName])</f>
        <v>Priyanka</v>
      </c>
      <c r="J577" t="str">
        <f>_xlfn.XLOOKUP(A577,Orders[OrderID],Orders[State])</f>
        <v>Madhya Pradesh</v>
      </c>
      <c r="K577" t="str">
        <f>_xlfn.XLOOKUP(A577,Orders[OrderID],Orders[City])</f>
        <v>Indore</v>
      </c>
      <c r="L577" s="3">
        <f>YEAR(Clean_Data[[#This Row],[OrderDate]])</f>
        <v>2018</v>
      </c>
      <c r="M577" s="3">
        <f>MONTH(Clean_Data[[#This Row],[OrderDate]])</f>
        <v>1</v>
      </c>
      <c r="N577" s="8" t="str">
        <f>TEXT(Clean_Data[[#This Row],[OrderDate]],"mmm")</f>
        <v>Jan</v>
      </c>
      <c r="O577" s="8" t="str">
        <f>TEXT(Clean_Data[[#This Row],[OrderDate]], "yyyy-mm")</f>
        <v>2018-01</v>
      </c>
      <c r="P577" s="7">
        <f>Clean_Data[[#This Row],[Profit]]/Clean_Data[[#This Row],[Revenue ]]</f>
        <v>0.32653061224489793</v>
      </c>
      <c r="Q577" t="str">
        <f>"Q"&amp;ROUNDUP(MONTH(Clean_Data[[#This Row],[OrderDate]])/3,0)</f>
        <v>Q1</v>
      </c>
      <c r="R577" t="str">
        <f>TEXT(Clean_Data[[#This Row],[OrderDate]], "dddd")</f>
        <v>Saturday</v>
      </c>
    </row>
    <row r="578" spans="1:18" x14ac:dyDescent="0.25">
      <c r="A578" t="s">
        <v>160</v>
      </c>
      <c r="B578" s="4">
        <v>66</v>
      </c>
      <c r="C578" s="4">
        <v>12</v>
      </c>
      <c r="D578" s="3">
        <v>3</v>
      </c>
      <c r="E578" t="s">
        <v>895</v>
      </c>
      <c r="F578" t="s">
        <v>903</v>
      </c>
      <c r="G578" t="s">
        <v>887</v>
      </c>
      <c r="H578" s="6">
        <f>_xlfn.XLOOKUP(A578,Orders[OrderID],Orders[OrderDate])</f>
        <v>43427</v>
      </c>
      <c r="I578" t="str">
        <f>_xlfn.XLOOKUP(A578,Orders[OrderID],Orders[CustomerName])</f>
        <v>Divyeta</v>
      </c>
      <c r="J578" t="str">
        <f>_xlfn.XLOOKUP(A578,Orders[OrderID],Orders[State])</f>
        <v>Madhya Pradesh</v>
      </c>
      <c r="K578" t="str">
        <f>_xlfn.XLOOKUP(A578,Orders[OrderID],Orders[City])</f>
        <v>Indore</v>
      </c>
      <c r="L578" s="3">
        <f>YEAR(Clean_Data[[#This Row],[OrderDate]])</f>
        <v>2018</v>
      </c>
      <c r="M578" s="3">
        <f>MONTH(Clean_Data[[#This Row],[OrderDate]])</f>
        <v>11</v>
      </c>
      <c r="N578" s="8" t="str">
        <f>TEXT(Clean_Data[[#This Row],[OrderDate]],"mmm")</f>
        <v>Nov</v>
      </c>
      <c r="O578" s="8" t="str">
        <f>TEXT(Clean_Data[[#This Row],[OrderDate]], "yyyy-mm")</f>
        <v>2018-11</v>
      </c>
      <c r="P578" s="7">
        <f>Clean_Data[[#This Row],[Profit]]/Clean_Data[[#This Row],[Revenue ]]</f>
        <v>0.18181818181818182</v>
      </c>
      <c r="Q578" t="str">
        <f>"Q"&amp;ROUNDUP(MONTH(Clean_Data[[#This Row],[OrderDate]])/3,0)</f>
        <v>Q4</v>
      </c>
      <c r="R578" t="str">
        <f>TEXT(Clean_Data[[#This Row],[OrderDate]], "dddd")</f>
        <v>Friday</v>
      </c>
    </row>
    <row r="579" spans="1:18" x14ac:dyDescent="0.25">
      <c r="A579" t="s">
        <v>734</v>
      </c>
      <c r="B579" s="4">
        <v>86</v>
      </c>
      <c r="C579" s="4">
        <v>8</v>
      </c>
      <c r="D579" s="3">
        <v>2</v>
      </c>
      <c r="E579" t="s">
        <v>895</v>
      </c>
      <c r="F579" t="s">
        <v>897</v>
      </c>
      <c r="G579" t="s">
        <v>907</v>
      </c>
      <c r="H579" s="6">
        <f>_xlfn.XLOOKUP(A579,Orders[OrderID],Orders[OrderDate])</f>
        <v>43407</v>
      </c>
      <c r="I579" t="str">
        <f>_xlfn.XLOOKUP(A579,Orders[OrderID],Orders[CustomerName])</f>
        <v>Swati</v>
      </c>
      <c r="J579" t="str">
        <f>_xlfn.XLOOKUP(A579,Orders[OrderID],Orders[State])</f>
        <v>Madhya Pradesh</v>
      </c>
      <c r="K579" t="str">
        <f>_xlfn.XLOOKUP(A579,Orders[OrderID],Orders[City])</f>
        <v>Indore</v>
      </c>
      <c r="L579" s="3">
        <f>YEAR(Clean_Data[[#This Row],[OrderDate]])</f>
        <v>2018</v>
      </c>
      <c r="M579" s="3">
        <f>MONTH(Clean_Data[[#This Row],[OrderDate]])</f>
        <v>11</v>
      </c>
      <c r="N579" s="8" t="str">
        <f>TEXT(Clean_Data[[#This Row],[OrderDate]],"mmm")</f>
        <v>Nov</v>
      </c>
      <c r="O579" s="8" t="str">
        <f>TEXT(Clean_Data[[#This Row],[OrderDate]], "yyyy-mm")</f>
        <v>2018-11</v>
      </c>
      <c r="P579" s="7">
        <f>Clean_Data[[#This Row],[Profit]]/Clean_Data[[#This Row],[Revenue ]]</f>
        <v>9.3023255813953487E-2</v>
      </c>
      <c r="Q579" t="str">
        <f>"Q"&amp;ROUNDUP(MONTH(Clean_Data[[#This Row],[OrderDate]])/3,0)</f>
        <v>Q4</v>
      </c>
      <c r="R579" t="str">
        <f>TEXT(Clean_Data[[#This Row],[OrderDate]], "dddd")</f>
        <v>Saturday</v>
      </c>
    </row>
    <row r="580" spans="1:18" x14ac:dyDescent="0.25">
      <c r="A580" t="s">
        <v>358</v>
      </c>
      <c r="B580" s="4">
        <v>88</v>
      </c>
      <c r="C580" s="4">
        <v>19</v>
      </c>
      <c r="D580" s="3">
        <v>2</v>
      </c>
      <c r="E580" t="s">
        <v>895</v>
      </c>
      <c r="F580" t="s">
        <v>909</v>
      </c>
      <c r="G580" t="s">
        <v>907</v>
      </c>
      <c r="H580" s="6">
        <f>_xlfn.XLOOKUP(A580,Orders[OrderID],Orders[OrderDate])</f>
        <v>43169</v>
      </c>
      <c r="I580" t="str">
        <f>_xlfn.XLOOKUP(A580,Orders[OrderID],Orders[CustomerName])</f>
        <v>Mayank</v>
      </c>
      <c r="J580" t="str">
        <f>_xlfn.XLOOKUP(A580,Orders[OrderID],Orders[State])</f>
        <v>Maharashtra</v>
      </c>
      <c r="K580" t="str">
        <f>_xlfn.XLOOKUP(A580,Orders[OrderID],Orders[City])</f>
        <v>Mumbai</v>
      </c>
      <c r="L580" s="3">
        <f>YEAR(Clean_Data[[#This Row],[OrderDate]])</f>
        <v>2018</v>
      </c>
      <c r="M580" s="3">
        <f>MONTH(Clean_Data[[#This Row],[OrderDate]])</f>
        <v>3</v>
      </c>
      <c r="N580" s="8" t="str">
        <f>TEXT(Clean_Data[[#This Row],[OrderDate]],"mmm")</f>
        <v>Mar</v>
      </c>
      <c r="O580" s="8" t="str">
        <f>TEXT(Clean_Data[[#This Row],[OrderDate]], "yyyy-mm")</f>
        <v>2018-03</v>
      </c>
      <c r="P580" s="7">
        <f>Clean_Data[[#This Row],[Profit]]/Clean_Data[[#This Row],[Revenue ]]</f>
        <v>0.21590909090909091</v>
      </c>
      <c r="Q580" t="str">
        <f>"Q"&amp;ROUNDUP(MONTH(Clean_Data[[#This Row],[OrderDate]])/3,0)</f>
        <v>Q1</v>
      </c>
      <c r="R580" t="str">
        <f>TEXT(Clean_Data[[#This Row],[OrderDate]], "dddd")</f>
        <v>Saturday</v>
      </c>
    </row>
    <row r="581" spans="1:18" x14ac:dyDescent="0.25">
      <c r="A581" t="s">
        <v>175</v>
      </c>
      <c r="B581" s="4">
        <v>188</v>
      </c>
      <c r="C581" s="4">
        <v>-193</v>
      </c>
      <c r="D581" s="3">
        <v>2</v>
      </c>
      <c r="E581" t="s">
        <v>885</v>
      </c>
      <c r="F581" t="s">
        <v>886</v>
      </c>
      <c r="G581" t="s">
        <v>893</v>
      </c>
      <c r="H581" s="6">
        <f>_xlfn.XLOOKUP(A581,Orders[OrderID],Orders[OrderDate])</f>
        <v>43114</v>
      </c>
      <c r="I581" t="str">
        <f>_xlfn.XLOOKUP(A581,Orders[OrderID],Orders[CustomerName])</f>
        <v>Krutika</v>
      </c>
      <c r="J581" t="str">
        <f>_xlfn.XLOOKUP(A581,Orders[OrderID],Orders[State])</f>
        <v>Andhra Pradesh</v>
      </c>
      <c r="K581" t="str">
        <f>_xlfn.XLOOKUP(A581,Orders[OrderID],Orders[City])</f>
        <v>Hyderabad</v>
      </c>
      <c r="L581" s="3">
        <f>YEAR(Clean_Data[[#This Row],[OrderDate]])</f>
        <v>2018</v>
      </c>
      <c r="M581" s="3">
        <f>MONTH(Clean_Data[[#This Row],[OrderDate]])</f>
        <v>1</v>
      </c>
      <c r="N581" s="8" t="str">
        <f>TEXT(Clean_Data[[#This Row],[OrderDate]],"mmm")</f>
        <v>Jan</v>
      </c>
      <c r="O581" s="8" t="str">
        <f>TEXT(Clean_Data[[#This Row],[OrderDate]], "yyyy-mm")</f>
        <v>2018-01</v>
      </c>
      <c r="P581" s="7">
        <f>Clean_Data[[#This Row],[Profit]]/Clean_Data[[#This Row],[Revenue ]]</f>
        <v>-1.0265957446808511</v>
      </c>
      <c r="Q581" t="str">
        <f>"Q"&amp;ROUNDUP(MONTH(Clean_Data[[#This Row],[OrderDate]])/3,0)</f>
        <v>Q1</v>
      </c>
      <c r="R581" t="str">
        <f>TEXT(Clean_Data[[#This Row],[OrderDate]], "dddd")</f>
        <v>Sunday</v>
      </c>
    </row>
    <row r="582" spans="1:18" x14ac:dyDescent="0.25">
      <c r="A582" t="s">
        <v>284</v>
      </c>
      <c r="B582" s="4">
        <v>89</v>
      </c>
      <c r="C582" s="4">
        <v>29</v>
      </c>
      <c r="D582" s="3">
        <v>2</v>
      </c>
      <c r="E582" t="s">
        <v>895</v>
      </c>
      <c r="F582" t="s">
        <v>903</v>
      </c>
      <c r="G582" t="s">
        <v>898</v>
      </c>
      <c r="H582" s="6">
        <f>_xlfn.XLOOKUP(A582,Orders[OrderID],Orders[OrderDate])</f>
        <v>43113</v>
      </c>
      <c r="I582" t="str">
        <f>_xlfn.XLOOKUP(A582,Orders[OrderID],Orders[CustomerName])</f>
        <v>Jesal</v>
      </c>
      <c r="J582" t="str">
        <f>_xlfn.XLOOKUP(A582,Orders[OrderID],Orders[State])</f>
        <v>West Bengal</v>
      </c>
      <c r="K582" t="str">
        <f>_xlfn.XLOOKUP(A582,Orders[OrderID],Orders[City])</f>
        <v>Kolkata</v>
      </c>
      <c r="L582" s="3">
        <f>YEAR(Clean_Data[[#This Row],[OrderDate]])</f>
        <v>2018</v>
      </c>
      <c r="M582" s="3">
        <f>MONTH(Clean_Data[[#This Row],[OrderDate]])</f>
        <v>1</v>
      </c>
      <c r="N582" s="8" t="str">
        <f>TEXT(Clean_Data[[#This Row],[OrderDate]],"mmm")</f>
        <v>Jan</v>
      </c>
      <c r="O582" s="8" t="str">
        <f>TEXT(Clean_Data[[#This Row],[OrderDate]], "yyyy-mm")</f>
        <v>2018-01</v>
      </c>
      <c r="P582" s="7">
        <f>Clean_Data[[#This Row],[Profit]]/Clean_Data[[#This Row],[Revenue ]]</f>
        <v>0.3258426966292135</v>
      </c>
      <c r="Q582" t="str">
        <f>"Q"&amp;ROUNDUP(MONTH(Clean_Data[[#This Row],[OrderDate]])/3,0)</f>
        <v>Q1</v>
      </c>
      <c r="R582" t="str">
        <f>TEXT(Clean_Data[[#This Row],[OrderDate]], "dddd")</f>
        <v>Saturday</v>
      </c>
    </row>
    <row r="583" spans="1:18" x14ac:dyDescent="0.25">
      <c r="A583" t="s">
        <v>637</v>
      </c>
      <c r="B583" s="4">
        <v>146</v>
      </c>
      <c r="C583" s="4">
        <v>19</v>
      </c>
      <c r="D583" s="3">
        <v>5</v>
      </c>
      <c r="E583" t="s">
        <v>895</v>
      </c>
      <c r="F583" t="s">
        <v>903</v>
      </c>
      <c r="G583" t="s">
        <v>887</v>
      </c>
      <c r="H583" s="6">
        <f>_xlfn.XLOOKUP(A583,Orders[OrderID],Orders[OrderDate])</f>
        <v>43175</v>
      </c>
      <c r="I583" t="str">
        <f>_xlfn.XLOOKUP(A583,Orders[OrderID],Orders[CustomerName])</f>
        <v>Nida</v>
      </c>
      <c r="J583" t="str">
        <f>_xlfn.XLOOKUP(A583,Orders[OrderID],Orders[State])</f>
        <v>Madhya Pradesh</v>
      </c>
      <c r="K583" t="str">
        <f>_xlfn.XLOOKUP(A583,Orders[OrderID],Orders[City])</f>
        <v>Indore</v>
      </c>
      <c r="L583" s="3">
        <f>YEAR(Clean_Data[[#This Row],[OrderDate]])</f>
        <v>2018</v>
      </c>
      <c r="M583" s="3">
        <f>MONTH(Clean_Data[[#This Row],[OrderDate]])</f>
        <v>3</v>
      </c>
      <c r="N583" s="8" t="str">
        <f>TEXT(Clean_Data[[#This Row],[OrderDate]],"mmm")</f>
        <v>Mar</v>
      </c>
      <c r="O583" s="8" t="str">
        <f>TEXT(Clean_Data[[#This Row],[OrderDate]], "yyyy-mm")</f>
        <v>2018-03</v>
      </c>
      <c r="P583" s="7">
        <f>Clean_Data[[#This Row],[Profit]]/Clean_Data[[#This Row],[Revenue ]]</f>
        <v>0.13013698630136986</v>
      </c>
      <c r="Q583" t="str">
        <f>"Q"&amp;ROUNDUP(MONTH(Clean_Data[[#This Row],[OrderDate]])/3,0)</f>
        <v>Q1</v>
      </c>
      <c r="R583" t="str">
        <f>TEXT(Clean_Data[[#This Row],[OrderDate]], "dddd")</f>
        <v>Friday</v>
      </c>
    </row>
    <row r="584" spans="1:18" x14ac:dyDescent="0.25">
      <c r="A584" t="s">
        <v>265</v>
      </c>
      <c r="B584" s="4">
        <v>143</v>
      </c>
      <c r="C584" s="4">
        <v>32</v>
      </c>
      <c r="D584" s="3">
        <v>1</v>
      </c>
      <c r="E584" t="s">
        <v>888</v>
      </c>
      <c r="F584" t="s">
        <v>891</v>
      </c>
      <c r="G584" t="s">
        <v>887</v>
      </c>
      <c r="H584" s="6">
        <f>_xlfn.XLOOKUP(A584,Orders[OrderID],Orders[OrderDate])</f>
        <v>43153</v>
      </c>
      <c r="I584" t="str">
        <f>_xlfn.XLOOKUP(A584,Orders[OrderID],Orders[CustomerName])</f>
        <v>Atharv</v>
      </c>
      <c r="J584" t="str">
        <f>_xlfn.XLOOKUP(A584,Orders[OrderID],Orders[State])</f>
        <v>West Bengal</v>
      </c>
      <c r="K584" t="str">
        <f>_xlfn.XLOOKUP(A584,Orders[OrderID],Orders[City])</f>
        <v>Kolkata</v>
      </c>
      <c r="L584" s="3">
        <f>YEAR(Clean_Data[[#This Row],[OrderDate]])</f>
        <v>2018</v>
      </c>
      <c r="M584" s="3">
        <f>MONTH(Clean_Data[[#This Row],[OrderDate]])</f>
        <v>2</v>
      </c>
      <c r="N584" s="8" t="str">
        <f>TEXT(Clean_Data[[#This Row],[OrderDate]],"mmm")</f>
        <v>Feb</v>
      </c>
      <c r="O584" s="8" t="str">
        <f>TEXT(Clean_Data[[#This Row],[OrderDate]], "yyyy-mm")</f>
        <v>2018-02</v>
      </c>
      <c r="P584" s="7">
        <f>Clean_Data[[#This Row],[Profit]]/Clean_Data[[#This Row],[Revenue ]]</f>
        <v>0.22377622377622378</v>
      </c>
      <c r="Q584" t="str">
        <f>"Q"&amp;ROUNDUP(MONTH(Clean_Data[[#This Row],[OrderDate]])/3,0)</f>
        <v>Q1</v>
      </c>
      <c r="R584" t="str">
        <f>TEXT(Clean_Data[[#This Row],[OrderDate]], "dddd")</f>
        <v>Thursday</v>
      </c>
    </row>
    <row r="585" spans="1:18" x14ac:dyDescent="0.25">
      <c r="A585" t="s">
        <v>271</v>
      </c>
      <c r="B585" s="4">
        <v>25</v>
      </c>
      <c r="C585" s="4">
        <v>-1</v>
      </c>
      <c r="D585" s="3">
        <v>4</v>
      </c>
      <c r="E585" t="s">
        <v>895</v>
      </c>
      <c r="F585" t="s">
        <v>900</v>
      </c>
      <c r="G585" t="s">
        <v>887</v>
      </c>
      <c r="H585" s="6">
        <f>_xlfn.XLOOKUP(A585,Orders[OrderID],Orders[OrderDate])</f>
        <v>43357</v>
      </c>
      <c r="I585" t="str">
        <f>_xlfn.XLOOKUP(A585,Orders[OrderID],Orders[CustomerName])</f>
        <v>Rutuja</v>
      </c>
      <c r="J585" t="str">
        <f>_xlfn.XLOOKUP(A585,Orders[OrderID],Orders[State])</f>
        <v>Gujarat</v>
      </c>
      <c r="K585" t="str">
        <f>_xlfn.XLOOKUP(A585,Orders[OrderID],Orders[City])</f>
        <v>Ahmedabad</v>
      </c>
      <c r="L585" s="3">
        <f>YEAR(Clean_Data[[#This Row],[OrderDate]])</f>
        <v>2018</v>
      </c>
      <c r="M585" s="3">
        <f>MONTH(Clean_Data[[#This Row],[OrderDate]])</f>
        <v>9</v>
      </c>
      <c r="N585" s="8" t="str">
        <f>TEXT(Clean_Data[[#This Row],[OrderDate]],"mmm")</f>
        <v>Sep</v>
      </c>
      <c r="O585" s="8" t="str">
        <f>TEXT(Clean_Data[[#This Row],[OrderDate]], "yyyy-mm")</f>
        <v>2018-09</v>
      </c>
      <c r="P585" s="7">
        <f>Clean_Data[[#This Row],[Profit]]/Clean_Data[[#This Row],[Revenue ]]</f>
        <v>-0.04</v>
      </c>
      <c r="Q585" t="str">
        <f>"Q"&amp;ROUNDUP(MONTH(Clean_Data[[#This Row],[OrderDate]])/3,0)</f>
        <v>Q3</v>
      </c>
      <c r="R585" t="str">
        <f>TEXT(Clean_Data[[#This Row],[OrderDate]], "dddd")</f>
        <v>Friday</v>
      </c>
    </row>
    <row r="586" spans="1:18" x14ac:dyDescent="0.25">
      <c r="A586" t="s">
        <v>578</v>
      </c>
      <c r="B586" s="4">
        <v>30</v>
      </c>
      <c r="C586" s="4">
        <v>12</v>
      </c>
      <c r="D586" s="3">
        <v>3</v>
      </c>
      <c r="E586" t="s">
        <v>895</v>
      </c>
      <c r="F586" t="s">
        <v>901</v>
      </c>
      <c r="G586" t="s">
        <v>898</v>
      </c>
      <c r="H586" s="6">
        <f>_xlfn.XLOOKUP(A586,Orders[OrderID],Orders[OrderDate])</f>
        <v>43160</v>
      </c>
      <c r="I586" t="str">
        <f>_xlfn.XLOOKUP(A586,Orders[OrderID],Orders[CustomerName])</f>
        <v>Amit</v>
      </c>
      <c r="J586" t="str">
        <f>_xlfn.XLOOKUP(A586,Orders[OrderID],Orders[State])</f>
        <v>Sikkim</v>
      </c>
      <c r="K586" t="str">
        <f>_xlfn.XLOOKUP(A586,Orders[OrderID],Orders[City])</f>
        <v>Gangtok</v>
      </c>
      <c r="L586" s="3">
        <f>YEAR(Clean_Data[[#This Row],[OrderDate]])</f>
        <v>2018</v>
      </c>
      <c r="M586" s="3">
        <f>MONTH(Clean_Data[[#This Row],[OrderDate]])</f>
        <v>3</v>
      </c>
      <c r="N586" s="8" t="str">
        <f>TEXT(Clean_Data[[#This Row],[OrderDate]],"mmm")</f>
        <v>Mar</v>
      </c>
      <c r="O586" s="8" t="str">
        <f>TEXT(Clean_Data[[#This Row],[OrderDate]], "yyyy-mm")</f>
        <v>2018-03</v>
      </c>
      <c r="P586" s="7">
        <f>Clean_Data[[#This Row],[Profit]]/Clean_Data[[#This Row],[Revenue ]]</f>
        <v>0.4</v>
      </c>
      <c r="Q586" t="str">
        <f>"Q"&amp;ROUNDUP(MONTH(Clean_Data[[#This Row],[OrderDate]])/3,0)</f>
        <v>Q1</v>
      </c>
      <c r="R586" t="str">
        <f>TEXT(Clean_Data[[#This Row],[OrderDate]], "dddd")</f>
        <v>Thursday</v>
      </c>
    </row>
    <row r="587" spans="1:18" x14ac:dyDescent="0.25">
      <c r="A587" t="s">
        <v>362</v>
      </c>
      <c r="B587" s="4">
        <v>140</v>
      </c>
      <c r="C587" s="4">
        <v>-58</v>
      </c>
      <c r="D587" s="3">
        <v>4</v>
      </c>
      <c r="E587" t="s">
        <v>888</v>
      </c>
      <c r="F587" t="s">
        <v>908</v>
      </c>
      <c r="G587" t="s">
        <v>887</v>
      </c>
      <c r="H587" s="6">
        <f>_xlfn.XLOOKUP(A587,Orders[OrderID],Orders[OrderDate])</f>
        <v>43363</v>
      </c>
      <c r="I587" t="str">
        <f>_xlfn.XLOOKUP(A587,Orders[OrderID],Orders[CustomerName])</f>
        <v>Asish</v>
      </c>
      <c r="J587" t="str">
        <f>_xlfn.XLOOKUP(A587,Orders[OrderID],Orders[State])</f>
        <v>Jammu and Kashmir</v>
      </c>
      <c r="K587" t="str">
        <f>_xlfn.XLOOKUP(A587,Orders[OrderID],Orders[City])</f>
        <v>Kashmir</v>
      </c>
      <c r="L587" s="3">
        <f>YEAR(Clean_Data[[#This Row],[OrderDate]])</f>
        <v>2018</v>
      </c>
      <c r="M587" s="3">
        <f>MONTH(Clean_Data[[#This Row],[OrderDate]])</f>
        <v>9</v>
      </c>
      <c r="N587" s="8" t="str">
        <f>TEXT(Clean_Data[[#This Row],[OrderDate]],"mmm")</f>
        <v>Sep</v>
      </c>
      <c r="O587" s="8" t="str">
        <f>TEXT(Clean_Data[[#This Row],[OrderDate]], "yyyy-mm")</f>
        <v>2018-09</v>
      </c>
      <c r="P587" s="7">
        <f>Clean_Data[[#This Row],[Profit]]/Clean_Data[[#This Row],[Revenue ]]</f>
        <v>-0.41428571428571431</v>
      </c>
      <c r="Q587" t="str">
        <f>"Q"&amp;ROUNDUP(MONTH(Clean_Data[[#This Row],[OrderDate]])/3,0)</f>
        <v>Q3</v>
      </c>
      <c r="R587" t="str">
        <f>TEXT(Clean_Data[[#This Row],[OrderDate]], "dddd")</f>
        <v>Thursday</v>
      </c>
    </row>
    <row r="588" spans="1:18" x14ac:dyDescent="0.25">
      <c r="A588" t="s">
        <v>263</v>
      </c>
      <c r="B588" s="4">
        <v>83</v>
      </c>
      <c r="C588" s="4">
        <v>-48</v>
      </c>
      <c r="D588" s="3">
        <v>1</v>
      </c>
      <c r="E588" t="s">
        <v>888</v>
      </c>
      <c r="F588" t="s">
        <v>891</v>
      </c>
      <c r="G588" t="s">
        <v>898</v>
      </c>
      <c r="H588" s="6">
        <f>_xlfn.XLOOKUP(A588,Orders[OrderID],Orders[OrderDate])</f>
        <v>43240</v>
      </c>
      <c r="I588" t="str">
        <f>_xlfn.XLOOKUP(A588,Orders[OrderID],Orders[CustomerName])</f>
        <v>Pratyusmita</v>
      </c>
      <c r="J588" t="str">
        <f>_xlfn.XLOOKUP(A588,Orders[OrderID],Orders[State])</f>
        <v>Bihar</v>
      </c>
      <c r="K588" t="str">
        <f>_xlfn.XLOOKUP(A588,Orders[OrderID],Orders[City])</f>
        <v>Patna</v>
      </c>
      <c r="L588" s="3">
        <f>YEAR(Clean_Data[[#This Row],[OrderDate]])</f>
        <v>2018</v>
      </c>
      <c r="M588" s="3">
        <f>MONTH(Clean_Data[[#This Row],[OrderDate]])</f>
        <v>5</v>
      </c>
      <c r="N588" s="8" t="str">
        <f>TEXT(Clean_Data[[#This Row],[OrderDate]],"mmm")</f>
        <v>May</v>
      </c>
      <c r="O588" s="8" t="str">
        <f>TEXT(Clean_Data[[#This Row],[OrderDate]], "yyyy-mm")</f>
        <v>2018-05</v>
      </c>
      <c r="P588" s="7">
        <f>Clean_Data[[#This Row],[Profit]]/Clean_Data[[#This Row],[Revenue ]]</f>
        <v>-0.57831325301204817</v>
      </c>
      <c r="Q588" t="str">
        <f>"Q"&amp;ROUNDUP(MONTH(Clean_Data[[#This Row],[OrderDate]])/3,0)</f>
        <v>Q2</v>
      </c>
      <c r="R588" t="str">
        <f>TEXT(Clean_Data[[#This Row],[OrderDate]], "dddd")</f>
        <v>Sunday</v>
      </c>
    </row>
    <row r="589" spans="1:18" x14ac:dyDescent="0.25">
      <c r="A589" t="s">
        <v>233</v>
      </c>
      <c r="B589" s="4">
        <v>140</v>
      </c>
      <c r="C589" s="4">
        <v>6</v>
      </c>
      <c r="D589" s="3">
        <v>5</v>
      </c>
      <c r="E589" t="s">
        <v>895</v>
      </c>
      <c r="F589" t="s">
        <v>897</v>
      </c>
      <c r="G589" t="s">
        <v>887</v>
      </c>
      <c r="H589" s="6">
        <f>_xlfn.XLOOKUP(A589,Orders[OrderID],Orders[OrderDate])</f>
        <v>43394</v>
      </c>
      <c r="I589" t="str">
        <f>_xlfn.XLOOKUP(A589,Orders[OrderID],Orders[CustomerName])</f>
        <v>Kartik</v>
      </c>
      <c r="J589" t="str">
        <f>_xlfn.XLOOKUP(A589,Orders[OrderID],Orders[State])</f>
        <v>Madhya Pradesh</v>
      </c>
      <c r="K589" t="str">
        <f>_xlfn.XLOOKUP(A589,Orders[OrderID],Orders[City])</f>
        <v>Indore</v>
      </c>
      <c r="L589" s="3">
        <f>YEAR(Clean_Data[[#This Row],[OrderDate]])</f>
        <v>2018</v>
      </c>
      <c r="M589" s="3">
        <f>MONTH(Clean_Data[[#This Row],[OrderDate]])</f>
        <v>10</v>
      </c>
      <c r="N589" s="8" t="str">
        <f>TEXT(Clean_Data[[#This Row],[OrderDate]],"mmm")</f>
        <v>Oct</v>
      </c>
      <c r="O589" s="8" t="str">
        <f>TEXT(Clean_Data[[#This Row],[OrderDate]], "yyyy-mm")</f>
        <v>2018-10</v>
      </c>
      <c r="P589" s="7">
        <f>Clean_Data[[#This Row],[Profit]]/Clean_Data[[#This Row],[Revenue ]]</f>
        <v>4.2857142857142858E-2</v>
      </c>
      <c r="Q589" t="str">
        <f>"Q"&amp;ROUNDUP(MONTH(Clean_Data[[#This Row],[OrderDate]])/3,0)</f>
        <v>Q4</v>
      </c>
      <c r="R589" t="str">
        <f>TEXT(Clean_Data[[#This Row],[OrderDate]], "dddd")</f>
        <v>Sunday</v>
      </c>
    </row>
    <row r="590" spans="1:18" x14ac:dyDescent="0.25">
      <c r="A590" t="s">
        <v>724</v>
      </c>
      <c r="B590" s="4">
        <v>28</v>
      </c>
      <c r="C590" s="4">
        <v>14</v>
      </c>
      <c r="D590" s="3">
        <v>4</v>
      </c>
      <c r="E590" t="s">
        <v>895</v>
      </c>
      <c r="F590" t="s">
        <v>899</v>
      </c>
      <c r="G590" t="s">
        <v>887</v>
      </c>
      <c r="H590" s="6">
        <f>_xlfn.XLOOKUP(A590,Orders[OrderID],Orders[OrderDate])</f>
        <v>43387</v>
      </c>
      <c r="I590" t="str">
        <f>_xlfn.XLOOKUP(A590,Orders[OrderID],Orders[CustomerName])</f>
        <v>Sandeep</v>
      </c>
      <c r="J590" t="str">
        <f>_xlfn.XLOOKUP(A590,Orders[OrderID],Orders[State])</f>
        <v>Madhya Pradesh</v>
      </c>
      <c r="K590" t="str">
        <f>_xlfn.XLOOKUP(A590,Orders[OrderID],Orders[City])</f>
        <v>Indore</v>
      </c>
      <c r="L590" s="3">
        <f>YEAR(Clean_Data[[#This Row],[OrderDate]])</f>
        <v>2018</v>
      </c>
      <c r="M590" s="3">
        <f>MONTH(Clean_Data[[#This Row],[OrderDate]])</f>
        <v>10</v>
      </c>
      <c r="N590" s="8" t="str">
        <f>TEXT(Clean_Data[[#This Row],[OrderDate]],"mmm")</f>
        <v>Oct</v>
      </c>
      <c r="O590" s="8" t="str">
        <f>TEXT(Clean_Data[[#This Row],[OrderDate]], "yyyy-mm")</f>
        <v>2018-10</v>
      </c>
      <c r="P590" s="7">
        <f>Clean_Data[[#This Row],[Profit]]/Clean_Data[[#This Row],[Revenue ]]</f>
        <v>0.5</v>
      </c>
      <c r="Q590" t="str">
        <f>"Q"&amp;ROUNDUP(MONTH(Clean_Data[[#This Row],[OrderDate]])/3,0)</f>
        <v>Q4</v>
      </c>
      <c r="R590" t="str">
        <f>TEXT(Clean_Data[[#This Row],[OrderDate]], "dddd")</f>
        <v>Sunday</v>
      </c>
    </row>
    <row r="591" spans="1:18" x14ac:dyDescent="0.25">
      <c r="A591" t="s">
        <v>647</v>
      </c>
      <c r="B591" s="4">
        <v>139</v>
      </c>
      <c r="C591" s="4">
        <v>14</v>
      </c>
      <c r="D591" s="3">
        <v>3</v>
      </c>
      <c r="E591" t="s">
        <v>895</v>
      </c>
      <c r="F591" t="s">
        <v>903</v>
      </c>
      <c r="G591" t="s">
        <v>887</v>
      </c>
      <c r="H591" s="6">
        <f>_xlfn.XLOOKUP(A591,Orders[OrderID],Orders[OrderDate])</f>
        <v>43341</v>
      </c>
      <c r="I591" t="str">
        <f>_xlfn.XLOOKUP(A591,Orders[OrderID],Orders[CustomerName])</f>
        <v>Meghana</v>
      </c>
      <c r="J591" t="str">
        <f>_xlfn.XLOOKUP(A591,Orders[OrderID],Orders[State])</f>
        <v>Madhya Pradesh</v>
      </c>
      <c r="K591" t="str">
        <f>_xlfn.XLOOKUP(A591,Orders[OrderID],Orders[City])</f>
        <v>Bhopal</v>
      </c>
      <c r="L591" s="3">
        <f>YEAR(Clean_Data[[#This Row],[OrderDate]])</f>
        <v>2018</v>
      </c>
      <c r="M591" s="3">
        <f>MONTH(Clean_Data[[#This Row],[OrderDate]])</f>
        <v>8</v>
      </c>
      <c r="N591" s="8" t="str">
        <f>TEXT(Clean_Data[[#This Row],[OrderDate]],"mmm")</f>
        <v>Aug</v>
      </c>
      <c r="O591" s="8" t="str">
        <f>TEXT(Clean_Data[[#This Row],[OrderDate]], "yyyy-mm")</f>
        <v>2018-08</v>
      </c>
      <c r="P591" s="7">
        <f>Clean_Data[[#This Row],[Profit]]/Clean_Data[[#This Row],[Revenue ]]</f>
        <v>0.10071942446043165</v>
      </c>
      <c r="Q591" t="str">
        <f>"Q"&amp;ROUNDUP(MONTH(Clean_Data[[#This Row],[OrderDate]])/3,0)</f>
        <v>Q3</v>
      </c>
      <c r="R591" t="str">
        <f>TEXT(Clean_Data[[#This Row],[OrderDate]], "dddd")</f>
        <v>Wednesday</v>
      </c>
    </row>
    <row r="592" spans="1:18" x14ac:dyDescent="0.25">
      <c r="A592" t="s">
        <v>50</v>
      </c>
      <c r="B592" s="4">
        <v>30</v>
      </c>
      <c r="C592" s="4">
        <v>14</v>
      </c>
      <c r="D592" s="3">
        <v>3</v>
      </c>
      <c r="E592" t="s">
        <v>895</v>
      </c>
      <c r="F592" t="s">
        <v>899</v>
      </c>
      <c r="G592" t="s">
        <v>898</v>
      </c>
      <c r="H592" s="6">
        <f>_xlfn.XLOOKUP(A592,Orders[OrderID],Orders[OrderDate])</f>
        <v>43412</v>
      </c>
      <c r="I592" t="str">
        <f>_xlfn.XLOOKUP(A592,Orders[OrderID],Orders[CustomerName])</f>
        <v>Gaurav</v>
      </c>
      <c r="J592" t="str">
        <f>_xlfn.XLOOKUP(A592,Orders[OrderID],Orders[State])</f>
        <v>Gujarat</v>
      </c>
      <c r="K592" t="str">
        <f>_xlfn.XLOOKUP(A592,Orders[OrderID],Orders[City])</f>
        <v>Ahmedabad</v>
      </c>
      <c r="L592" s="3">
        <f>YEAR(Clean_Data[[#This Row],[OrderDate]])</f>
        <v>2018</v>
      </c>
      <c r="M592" s="3">
        <f>MONTH(Clean_Data[[#This Row],[OrderDate]])</f>
        <v>11</v>
      </c>
      <c r="N592" s="8" t="str">
        <f>TEXT(Clean_Data[[#This Row],[OrderDate]],"mmm")</f>
        <v>Nov</v>
      </c>
      <c r="O592" s="8" t="str">
        <f>TEXT(Clean_Data[[#This Row],[OrderDate]], "yyyy-mm")</f>
        <v>2018-11</v>
      </c>
      <c r="P592" s="7">
        <f>Clean_Data[[#This Row],[Profit]]/Clean_Data[[#This Row],[Revenue ]]</f>
        <v>0.46666666666666667</v>
      </c>
      <c r="Q592" t="str">
        <f>"Q"&amp;ROUNDUP(MONTH(Clean_Data[[#This Row],[OrderDate]])/3,0)</f>
        <v>Q4</v>
      </c>
      <c r="R592" t="str">
        <f>TEXT(Clean_Data[[#This Row],[OrderDate]], "dddd")</f>
        <v>Thursday</v>
      </c>
    </row>
    <row r="593" spans="1:18" x14ac:dyDescent="0.25">
      <c r="A593" t="s">
        <v>504</v>
      </c>
      <c r="B593" s="4">
        <v>89</v>
      </c>
      <c r="C593" s="4">
        <v>36</v>
      </c>
      <c r="D593" s="3">
        <v>3</v>
      </c>
      <c r="E593" t="s">
        <v>895</v>
      </c>
      <c r="F593" t="s">
        <v>909</v>
      </c>
      <c r="G593" t="s">
        <v>898</v>
      </c>
      <c r="H593" s="6">
        <f>_xlfn.XLOOKUP(A593,Orders[OrderID],Orders[OrderDate])</f>
        <v>43152</v>
      </c>
      <c r="I593" t="str">
        <f>_xlfn.XLOOKUP(A593,Orders[OrderID],Orders[CustomerName])</f>
        <v>Sarita</v>
      </c>
      <c r="J593" t="str">
        <f>_xlfn.XLOOKUP(A593,Orders[OrderID],Orders[State])</f>
        <v>Maharashtra</v>
      </c>
      <c r="K593" t="str">
        <f>_xlfn.XLOOKUP(A593,Orders[OrderID],Orders[City])</f>
        <v>Pune</v>
      </c>
      <c r="L593" s="3">
        <f>YEAR(Clean_Data[[#This Row],[OrderDate]])</f>
        <v>2018</v>
      </c>
      <c r="M593" s="3">
        <f>MONTH(Clean_Data[[#This Row],[OrderDate]])</f>
        <v>2</v>
      </c>
      <c r="N593" s="8" t="str">
        <f>TEXT(Clean_Data[[#This Row],[OrderDate]],"mmm")</f>
        <v>Feb</v>
      </c>
      <c r="O593" s="8" t="str">
        <f>TEXT(Clean_Data[[#This Row],[OrderDate]], "yyyy-mm")</f>
        <v>2018-02</v>
      </c>
      <c r="P593" s="7">
        <f>Clean_Data[[#This Row],[Profit]]/Clean_Data[[#This Row],[Revenue ]]</f>
        <v>0.4044943820224719</v>
      </c>
      <c r="Q593" t="str">
        <f>"Q"&amp;ROUNDUP(MONTH(Clean_Data[[#This Row],[OrderDate]])/3,0)</f>
        <v>Q1</v>
      </c>
      <c r="R593" t="str">
        <f>TEXT(Clean_Data[[#This Row],[OrderDate]], "dddd")</f>
        <v>Wednesday</v>
      </c>
    </row>
    <row r="594" spans="1:18" x14ac:dyDescent="0.25">
      <c r="A594" t="s">
        <v>181</v>
      </c>
      <c r="B594" s="4">
        <v>187</v>
      </c>
      <c r="C594" s="4">
        <v>30</v>
      </c>
      <c r="D594" s="3">
        <v>4</v>
      </c>
      <c r="E594" t="s">
        <v>885</v>
      </c>
      <c r="F594" t="s">
        <v>905</v>
      </c>
      <c r="G594" t="s">
        <v>893</v>
      </c>
      <c r="H594" s="6">
        <f>_xlfn.XLOOKUP(A594,Orders[OrderID],Orders[OrderDate])</f>
        <v>43303</v>
      </c>
      <c r="I594" t="str">
        <f>_xlfn.XLOOKUP(A594,Orders[OrderID],Orders[CustomerName])</f>
        <v>Rishabh</v>
      </c>
      <c r="J594" t="str">
        <f>_xlfn.XLOOKUP(A594,Orders[OrderID],Orders[State])</f>
        <v>Rajasthan</v>
      </c>
      <c r="K594" t="str">
        <f>_xlfn.XLOOKUP(A594,Orders[OrderID],Orders[City])</f>
        <v>Jaipur</v>
      </c>
      <c r="L594" s="3">
        <f>YEAR(Clean_Data[[#This Row],[OrderDate]])</f>
        <v>2018</v>
      </c>
      <c r="M594" s="3">
        <f>MONTH(Clean_Data[[#This Row],[OrderDate]])</f>
        <v>7</v>
      </c>
      <c r="N594" s="8" t="str">
        <f>TEXT(Clean_Data[[#This Row],[OrderDate]],"mmm")</f>
        <v>Jul</v>
      </c>
      <c r="O594" s="8" t="str">
        <f>TEXT(Clean_Data[[#This Row],[OrderDate]], "yyyy-mm")</f>
        <v>2018-07</v>
      </c>
      <c r="P594" s="7">
        <f>Clean_Data[[#This Row],[Profit]]/Clean_Data[[#This Row],[Revenue ]]</f>
        <v>0.16042780748663102</v>
      </c>
      <c r="Q594" t="str">
        <f>"Q"&amp;ROUNDUP(MONTH(Clean_Data[[#This Row],[OrderDate]])/3,0)</f>
        <v>Q3</v>
      </c>
      <c r="R594" t="str">
        <f>TEXT(Clean_Data[[#This Row],[OrderDate]], "dddd")</f>
        <v>Sunday</v>
      </c>
    </row>
    <row r="595" spans="1:18" x14ac:dyDescent="0.25">
      <c r="A595" t="s">
        <v>358</v>
      </c>
      <c r="B595" s="4">
        <v>139</v>
      </c>
      <c r="C595" s="4">
        <v>21</v>
      </c>
      <c r="D595" s="3">
        <v>3</v>
      </c>
      <c r="E595" t="s">
        <v>885</v>
      </c>
      <c r="F595" t="s">
        <v>905</v>
      </c>
      <c r="G595" t="s">
        <v>887</v>
      </c>
      <c r="H595" s="6">
        <f>_xlfn.XLOOKUP(A595,Orders[OrderID],Orders[OrderDate])</f>
        <v>43169</v>
      </c>
      <c r="I595" t="str">
        <f>_xlfn.XLOOKUP(A595,Orders[OrderID],Orders[CustomerName])</f>
        <v>Mayank</v>
      </c>
      <c r="J595" t="str">
        <f>_xlfn.XLOOKUP(A595,Orders[OrderID],Orders[State])</f>
        <v>Maharashtra</v>
      </c>
      <c r="K595" t="str">
        <f>_xlfn.XLOOKUP(A595,Orders[OrderID],Orders[City])</f>
        <v>Mumbai</v>
      </c>
      <c r="L595" s="3">
        <f>YEAR(Clean_Data[[#This Row],[OrderDate]])</f>
        <v>2018</v>
      </c>
      <c r="M595" s="3">
        <f>MONTH(Clean_Data[[#This Row],[OrderDate]])</f>
        <v>3</v>
      </c>
      <c r="N595" s="8" t="str">
        <f>TEXT(Clean_Data[[#This Row],[OrderDate]],"mmm")</f>
        <v>Mar</v>
      </c>
      <c r="O595" s="8" t="str">
        <f>TEXT(Clean_Data[[#This Row],[OrderDate]], "yyyy-mm")</f>
        <v>2018-03</v>
      </c>
      <c r="P595" s="7">
        <f>Clean_Data[[#This Row],[Profit]]/Clean_Data[[#This Row],[Revenue ]]</f>
        <v>0.15107913669064749</v>
      </c>
      <c r="Q595" t="str">
        <f>"Q"&amp;ROUNDUP(MONTH(Clean_Data[[#This Row],[OrderDate]])/3,0)</f>
        <v>Q1</v>
      </c>
      <c r="R595" t="str">
        <f>TEXT(Clean_Data[[#This Row],[OrderDate]], "dddd")</f>
        <v>Saturday</v>
      </c>
    </row>
    <row r="596" spans="1:18" x14ac:dyDescent="0.25">
      <c r="A596" t="s">
        <v>528</v>
      </c>
      <c r="B596" s="4">
        <v>437</v>
      </c>
      <c r="C596" s="4">
        <v>-14</v>
      </c>
      <c r="D596" s="3">
        <v>2</v>
      </c>
      <c r="E596" t="s">
        <v>895</v>
      </c>
      <c r="F596" t="s">
        <v>897</v>
      </c>
      <c r="G596" t="s">
        <v>898</v>
      </c>
      <c r="H596" s="6">
        <f>_xlfn.XLOOKUP(A596,Orders[OrderID],Orders[OrderDate])</f>
        <v>43349</v>
      </c>
      <c r="I596" t="str">
        <f>_xlfn.XLOOKUP(A596,Orders[OrderID],Orders[CustomerName])</f>
        <v>Shreya</v>
      </c>
      <c r="J596" t="str">
        <f>_xlfn.XLOOKUP(A596,Orders[OrderID],Orders[State])</f>
        <v xml:space="preserve">Kerala </v>
      </c>
      <c r="K596" t="str">
        <f>_xlfn.XLOOKUP(A596,Orders[OrderID],Orders[City])</f>
        <v>Thiruvananthapuram</v>
      </c>
      <c r="L596" s="3">
        <f>YEAR(Clean_Data[[#This Row],[OrderDate]])</f>
        <v>2018</v>
      </c>
      <c r="M596" s="3">
        <f>MONTH(Clean_Data[[#This Row],[OrderDate]])</f>
        <v>9</v>
      </c>
      <c r="N596" s="8" t="str">
        <f>TEXT(Clean_Data[[#This Row],[OrderDate]],"mmm")</f>
        <v>Sep</v>
      </c>
      <c r="O596" s="8" t="str">
        <f>TEXT(Clean_Data[[#This Row],[OrderDate]], "yyyy-mm")</f>
        <v>2018-09</v>
      </c>
      <c r="P596" s="7">
        <f>Clean_Data[[#This Row],[Profit]]/Clean_Data[[#This Row],[Revenue ]]</f>
        <v>-3.2036613272311214E-2</v>
      </c>
      <c r="Q596" t="str">
        <f>"Q"&amp;ROUNDUP(MONTH(Clean_Data[[#This Row],[OrderDate]])/3,0)</f>
        <v>Q3</v>
      </c>
      <c r="R596" t="str">
        <f>TEXT(Clean_Data[[#This Row],[OrderDate]], "dddd")</f>
        <v>Thursday</v>
      </c>
    </row>
    <row r="597" spans="1:18" x14ac:dyDescent="0.25">
      <c r="A597" t="s">
        <v>116</v>
      </c>
      <c r="B597" s="4">
        <v>138</v>
      </c>
      <c r="C597" s="4">
        <v>-3</v>
      </c>
      <c r="D597" s="3">
        <v>5</v>
      </c>
      <c r="E597" t="s">
        <v>895</v>
      </c>
      <c r="F597" t="s">
        <v>897</v>
      </c>
      <c r="G597" t="s">
        <v>887</v>
      </c>
      <c r="H597" s="6">
        <f>_xlfn.XLOOKUP(A597,Orders[OrderID],Orders[OrderDate])</f>
        <v>43293</v>
      </c>
      <c r="I597" t="str">
        <f>_xlfn.XLOOKUP(A597,Orders[OrderID],Orders[CustomerName])</f>
        <v>Manshul</v>
      </c>
      <c r="J597" t="str">
        <f>_xlfn.XLOOKUP(A597,Orders[OrderID],Orders[State])</f>
        <v>Uttar Pradesh</v>
      </c>
      <c r="K597" t="str">
        <f>_xlfn.XLOOKUP(A597,Orders[OrderID],Orders[City])</f>
        <v>Lucknow</v>
      </c>
      <c r="L597" s="3">
        <f>YEAR(Clean_Data[[#This Row],[OrderDate]])</f>
        <v>2018</v>
      </c>
      <c r="M597" s="3">
        <f>MONTH(Clean_Data[[#This Row],[OrderDate]])</f>
        <v>7</v>
      </c>
      <c r="N597" s="8" t="str">
        <f>TEXT(Clean_Data[[#This Row],[OrderDate]],"mmm")</f>
        <v>Jul</v>
      </c>
      <c r="O597" s="8" t="str">
        <f>TEXT(Clean_Data[[#This Row],[OrderDate]], "yyyy-mm")</f>
        <v>2018-07</v>
      </c>
      <c r="P597" s="7">
        <f>Clean_Data[[#This Row],[Profit]]/Clean_Data[[#This Row],[Revenue ]]</f>
        <v>-2.1739130434782608E-2</v>
      </c>
      <c r="Q597" t="str">
        <f>"Q"&amp;ROUNDUP(MONTH(Clean_Data[[#This Row],[OrderDate]])/3,0)</f>
        <v>Q3</v>
      </c>
      <c r="R597" t="str">
        <f>TEXT(Clean_Data[[#This Row],[OrderDate]], "dddd")</f>
        <v>Thursday</v>
      </c>
    </row>
    <row r="598" spans="1:18" x14ac:dyDescent="0.25">
      <c r="A598" t="s">
        <v>376</v>
      </c>
      <c r="B598" s="4">
        <v>85</v>
      </c>
      <c r="C598" s="4">
        <v>13</v>
      </c>
      <c r="D598" s="3">
        <v>2</v>
      </c>
      <c r="E598" t="s">
        <v>895</v>
      </c>
      <c r="F598" t="s">
        <v>909</v>
      </c>
      <c r="G598" t="s">
        <v>898</v>
      </c>
      <c r="H598" s="6">
        <f>_xlfn.XLOOKUP(A598,Orders[OrderID],Orders[OrderDate])</f>
        <v>43142</v>
      </c>
      <c r="I598" t="str">
        <f>_xlfn.XLOOKUP(A598,Orders[OrderID],Orders[CustomerName])</f>
        <v>Kartikay</v>
      </c>
      <c r="J598" t="str">
        <f>_xlfn.XLOOKUP(A598,Orders[OrderID],Orders[State])</f>
        <v>Bihar</v>
      </c>
      <c r="K598" t="str">
        <f>_xlfn.XLOOKUP(A598,Orders[OrderID],Orders[City])</f>
        <v>Patna</v>
      </c>
      <c r="L598" s="3">
        <f>YEAR(Clean_Data[[#This Row],[OrderDate]])</f>
        <v>2018</v>
      </c>
      <c r="M598" s="3">
        <f>MONTH(Clean_Data[[#This Row],[OrderDate]])</f>
        <v>2</v>
      </c>
      <c r="N598" s="8" t="str">
        <f>TEXT(Clean_Data[[#This Row],[OrderDate]],"mmm")</f>
        <v>Feb</v>
      </c>
      <c r="O598" s="8" t="str">
        <f>TEXT(Clean_Data[[#This Row],[OrderDate]], "yyyy-mm")</f>
        <v>2018-02</v>
      </c>
      <c r="P598" s="7">
        <f>Clean_Data[[#This Row],[Profit]]/Clean_Data[[#This Row],[Revenue ]]</f>
        <v>0.15294117647058825</v>
      </c>
      <c r="Q598" t="str">
        <f>"Q"&amp;ROUNDUP(MONTH(Clean_Data[[#This Row],[OrderDate]])/3,0)</f>
        <v>Q1</v>
      </c>
      <c r="R598" t="str">
        <f>TEXT(Clean_Data[[#This Row],[OrderDate]], "dddd")</f>
        <v>Sunday</v>
      </c>
    </row>
    <row r="599" spans="1:18" x14ac:dyDescent="0.25">
      <c r="A599" t="s">
        <v>308</v>
      </c>
      <c r="B599" s="4">
        <v>83</v>
      </c>
      <c r="C599" s="4">
        <v>12</v>
      </c>
      <c r="D599" s="3">
        <v>3</v>
      </c>
      <c r="E599" t="s">
        <v>895</v>
      </c>
      <c r="F599" t="s">
        <v>903</v>
      </c>
      <c r="G599" t="s">
        <v>898</v>
      </c>
      <c r="H599" s="6">
        <f>_xlfn.XLOOKUP(A599,Orders[OrderID],Orders[OrderDate])</f>
        <v>43438</v>
      </c>
      <c r="I599" t="str">
        <f>_xlfn.XLOOKUP(A599,Orders[OrderID],Orders[CustomerName])</f>
        <v>Vrinda</v>
      </c>
      <c r="J599" t="str">
        <f>_xlfn.XLOOKUP(A599,Orders[OrderID],Orders[State])</f>
        <v>Uttar Pradesh</v>
      </c>
      <c r="K599" t="str">
        <f>_xlfn.XLOOKUP(A599,Orders[OrderID],Orders[City])</f>
        <v>Mathura</v>
      </c>
      <c r="L599" s="3">
        <f>YEAR(Clean_Data[[#This Row],[OrderDate]])</f>
        <v>2018</v>
      </c>
      <c r="M599" s="3">
        <f>MONTH(Clean_Data[[#This Row],[OrderDate]])</f>
        <v>12</v>
      </c>
      <c r="N599" s="8" t="str">
        <f>TEXT(Clean_Data[[#This Row],[OrderDate]],"mmm")</f>
        <v>Dec</v>
      </c>
      <c r="O599" s="8" t="str">
        <f>TEXT(Clean_Data[[#This Row],[OrderDate]], "yyyy-mm")</f>
        <v>2018-12</v>
      </c>
      <c r="P599" s="7">
        <f>Clean_Data[[#This Row],[Profit]]/Clean_Data[[#This Row],[Revenue ]]</f>
        <v>0.14457831325301204</v>
      </c>
      <c r="Q599" t="str">
        <f>"Q"&amp;ROUNDUP(MONTH(Clean_Data[[#This Row],[OrderDate]])/3,0)</f>
        <v>Q4</v>
      </c>
      <c r="R599" t="str">
        <f>TEXT(Clean_Data[[#This Row],[OrderDate]], "dddd")</f>
        <v>Tuesday</v>
      </c>
    </row>
    <row r="600" spans="1:18" x14ac:dyDescent="0.25">
      <c r="A600" t="s">
        <v>416</v>
      </c>
      <c r="B600" s="4">
        <v>91</v>
      </c>
      <c r="C600" s="4">
        <v>22</v>
      </c>
      <c r="D600" s="3">
        <v>2</v>
      </c>
      <c r="E600" t="s">
        <v>895</v>
      </c>
      <c r="F600" t="s">
        <v>903</v>
      </c>
      <c r="G600" t="s">
        <v>898</v>
      </c>
      <c r="H600" s="6">
        <f>_xlfn.XLOOKUP(A600,Orders[OrderID],Orders[OrderDate])</f>
        <v>43180</v>
      </c>
      <c r="I600" t="str">
        <f>_xlfn.XLOOKUP(A600,Orders[OrderID],Orders[CustomerName])</f>
        <v>Jahan</v>
      </c>
      <c r="J600" t="str">
        <f>_xlfn.XLOOKUP(A600,Orders[OrderID],Orders[State])</f>
        <v>Madhya Pradesh</v>
      </c>
      <c r="K600" t="str">
        <f>_xlfn.XLOOKUP(A600,Orders[OrderID],Orders[City])</f>
        <v>Bhopal</v>
      </c>
      <c r="L600" s="3">
        <f>YEAR(Clean_Data[[#This Row],[OrderDate]])</f>
        <v>2018</v>
      </c>
      <c r="M600" s="3">
        <f>MONTH(Clean_Data[[#This Row],[OrderDate]])</f>
        <v>3</v>
      </c>
      <c r="N600" s="8" t="str">
        <f>TEXT(Clean_Data[[#This Row],[OrderDate]],"mmm")</f>
        <v>Mar</v>
      </c>
      <c r="O600" s="8" t="str">
        <f>TEXT(Clean_Data[[#This Row],[OrderDate]], "yyyy-mm")</f>
        <v>2018-03</v>
      </c>
      <c r="P600" s="7">
        <f>Clean_Data[[#This Row],[Profit]]/Clean_Data[[#This Row],[Revenue ]]</f>
        <v>0.24175824175824176</v>
      </c>
      <c r="Q600" t="str">
        <f>"Q"&amp;ROUNDUP(MONTH(Clean_Data[[#This Row],[OrderDate]])/3,0)</f>
        <v>Q1</v>
      </c>
      <c r="R600" t="str">
        <f>TEXT(Clean_Data[[#This Row],[OrderDate]], "dddd")</f>
        <v>Wednesday</v>
      </c>
    </row>
    <row r="601" spans="1:18" x14ac:dyDescent="0.25">
      <c r="A601" t="s">
        <v>275</v>
      </c>
      <c r="B601" s="4">
        <v>137</v>
      </c>
      <c r="C601" s="4">
        <v>5</v>
      </c>
      <c r="D601" s="3">
        <v>5</v>
      </c>
      <c r="E601" t="s">
        <v>895</v>
      </c>
      <c r="F601" t="s">
        <v>909</v>
      </c>
      <c r="G601" t="s">
        <v>887</v>
      </c>
      <c r="H601" s="6">
        <f>_xlfn.XLOOKUP(A601,Orders[OrderID],Orders[OrderDate])</f>
        <v>43378</v>
      </c>
      <c r="I601" t="str">
        <f>_xlfn.XLOOKUP(A601,Orders[OrderID],Orders[CustomerName])</f>
        <v>Shivanshu</v>
      </c>
      <c r="J601" t="str">
        <f>_xlfn.XLOOKUP(A601,Orders[OrderID],Orders[State])</f>
        <v>Madhya Pradesh</v>
      </c>
      <c r="K601" t="str">
        <f>_xlfn.XLOOKUP(A601,Orders[OrderID],Orders[City])</f>
        <v>Indore</v>
      </c>
      <c r="L601" s="3">
        <f>YEAR(Clean_Data[[#This Row],[OrderDate]])</f>
        <v>2018</v>
      </c>
      <c r="M601" s="3">
        <f>MONTH(Clean_Data[[#This Row],[OrderDate]])</f>
        <v>10</v>
      </c>
      <c r="N601" s="8" t="str">
        <f>TEXT(Clean_Data[[#This Row],[OrderDate]],"mmm")</f>
        <v>Oct</v>
      </c>
      <c r="O601" s="8" t="str">
        <f>TEXT(Clean_Data[[#This Row],[OrderDate]], "yyyy-mm")</f>
        <v>2018-10</v>
      </c>
      <c r="P601" s="7">
        <f>Clean_Data[[#This Row],[Profit]]/Clean_Data[[#This Row],[Revenue ]]</f>
        <v>3.6496350364963501E-2</v>
      </c>
      <c r="Q601" t="str">
        <f>"Q"&amp;ROUNDUP(MONTH(Clean_Data[[#This Row],[OrderDate]])/3,0)</f>
        <v>Q4</v>
      </c>
      <c r="R601" t="str">
        <f>TEXT(Clean_Data[[#This Row],[OrderDate]], "dddd")</f>
        <v>Friday</v>
      </c>
    </row>
    <row r="602" spans="1:18" x14ac:dyDescent="0.25">
      <c r="A602" t="s">
        <v>813</v>
      </c>
      <c r="B602" s="4">
        <v>33</v>
      </c>
      <c r="C602" s="4">
        <v>-12</v>
      </c>
      <c r="D602" s="3">
        <v>7</v>
      </c>
      <c r="E602" t="s">
        <v>895</v>
      </c>
      <c r="F602" t="s">
        <v>897</v>
      </c>
      <c r="G602" t="s">
        <v>898</v>
      </c>
      <c r="H602" s="6">
        <f>_xlfn.XLOOKUP(A602,Orders[OrderID],Orders[OrderDate])</f>
        <v>43282</v>
      </c>
      <c r="I602" t="str">
        <f>_xlfn.XLOOKUP(A602,Orders[OrderID],Orders[CustomerName])</f>
        <v>Aakanksha</v>
      </c>
      <c r="J602" t="str">
        <f>_xlfn.XLOOKUP(A602,Orders[OrderID],Orders[State])</f>
        <v>Madhya Pradesh</v>
      </c>
      <c r="K602" t="str">
        <f>_xlfn.XLOOKUP(A602,Orders[OrderID],Orders[City])</f>
        <v>Indore</v>
      </c>
      <c r="L602" s="3">
        <f>YEAR(Clean_Data[[#This Row],[OrderDate]])</f>
        <v>2018</v>
      </c>
      <c r="M602" s="3">
        <f>MONTH(Clean_Data[[#This Row],[OrderDate]])</f>
        <v>7</v>
      </c>
      <c r="N602" s="8" t="str">
        <f>TEXT(Clean_Data[[#This Row],[OrderDate]],"mmm")</f>
        <v>Jul</v>
      </c>
      <c r="O602" s="8" t="str">
        <f>TEXT(Clean_Data[[#This Row],[OrderDate]], "yyyy-mm")</f>
        <v>2018-07</v>
      </c>
      <c r="P602" s="7">
        <f>Clean_Data[[#This Row],[Profit]]/Clean_Data[[#This Row],[Revenue ]]</f>
        <v>-0.36363636363636365</v>
      </c>
      <c r="Q602" t="str">
        <f>"Q"&amp;ROUNDUP(MONTH(Clean_Data[[#This Row],[OrderDate]])/3,0)</f>
        <v>Q3</v>
      </c>
      <c r="R602" t="str">
        <f>TEXT(Clean_Data[[#This Row],[OrderDate]], "dddd")</f>
        <v>Sunday</v>
      </c>
    </row>
    <row r="603" spans="1:18" x14ac:dyDescent="0.25">
      <c r="A603" t="s">
        <v>71</v>
      </c>
      <c r="B603" s="4">
        <v>134</v>
      </c>
      <c r="C603" s="4">
        <v>-34</v>
      </c>
      <c r="D603" s="3">
        <v>2</v>
      </c>
      <c r="E603" t="s">
        <v>888</v>
      </c>
      <c r="F603" t="s">
        <v>889</v>
      </c>
      <c r="G603" t="s">
        <v>887</v>
      </c>
      <c r="H603" s="6">
        <f>_xlfn.XLOOKUP(A603,Orders[OrderID],Orders[OrderDate])</f>
        <v>43331</v>
      </c>
      <c r="I603" t="str">
        <f>_xlfn.XLOOKUP(A603,Orders[OrderID],Orders[CustomerName])</f>
        <v>Shourya</v>
      </c>
      <c r="J603" t="str">
        <f>_xlfn.XLOOKUP(A603,Orders[OrderID],Orders[State])</f>
        <v xml:space="preserve">Kerala </v>
      </c>
      <c r="K603" t="str">
        <f>_xlfn.XLOOKUP(A603,Orders[OrderID],Orders[City])</f>
        <v>Thiruvananthapuram</v>
      </c>
      <c r="L603" s="3">
        <f>YEAR(Clean_Data[[#This Row],[OrderDate]])</f>
        <v>2018</v>
      </c>
      <c r="M603" s="3">
        <f>MONTH(Clean_Data[[#This Row],[OrderDate]])</f>
        <v>8</v>
      </c>
      <c r="N603" s="8" t="str">
        <f>TEXT(Clean_Data[[#This Row],[OrderDate]],"mmm")</f>
        <v>Aug</v>
      </c>
      <c r="O603" s="8" t="str">
        <f>TEXT(Clean_Data[[#This Row],[OrderDate]], "yyyy-mm")</f>
        <v>2018-08</v>
      </c>
      <c r="P603" s="7">
        <f>Clean_Data[[#This Row],[Profit]]/Clean_Data[[#This Row],[Revenue ]]</f>
        <v>-0.2537313432835821</v>
      </c>
      <c r="Q603" t="str">
        <f>"Q"&amp;ROUNDUP(MONTH(Clean_Data[[#This Row],[OrderDate]])/3,0)</f>
        <v>Q3</v>
      </c>
      <c r="R603" t="str">
        <f>TEXT(Clean_Data[[#This Row],[OrderDate]], "dddd")</f>
        <v>Sunday</v>
      </c>
    </row>
    <row r="604" spans="1:18" x14ac:dyDescent="0.25">
      <c r="A604" t="s">
        <v>653</v>
      </c>
      <c r="B604" s="4">
        <v>134</v>
      </c>
      <c r="C604" s="4">
        <v>42</v>
      </c>
      <c r="D604" s="3">
        <v>2</v>
      </c>
      <c r="E604" t="s">
        <v>888</v>
      </c>
      <c r="F604" t="s">
        <v>889</v>
      </c>
      <c r="G604" t="s">
        <v>887</v>
      </c>
      <c r="H604" s="6">
        <f>_xlfn.XLOOKUP(A604,Orders[OrderID],Orders[OrderDate])</f>
        <v>43260</v>
      </c>
      <c r="I604" t="str">
        <f>_xlfn.XLOOKUP(A604,Orders[OrderID],Orders[CustomerName])</f>
        <v>Samiksha</v>
      </c>
      <c r="J604" t="str">
        <f>_xlfn.XLOOKUP(A604,Orders[OrderID],Orders[State])</f>
        <v>Maharashtra</v>
      </c>
      <c r="K604" t="str">
        <f>_xlfn.XLOOKUP(A604,Orders[OrderID],Orders[City])</f>
        <v>Mumbai</v>
      </c>
      <c r="L604" s="3">
        <f>YEAR(Clean_Data[[#This Row],[OrderDate]])</f>
        <v>2018</v>
      </c>
      <c r="M604" s="3">
        <f>MONTH(Clean_Data[[#This Row],[OrderDate]])</f>
        <v>6</v>
      </c>
      <c r="N604" s="8" t="str">
        <f>TEXT(Clean_Data[[#This Row],[OrderDate]],"mmm")</f>
        <v>Jun</v>
      </c>
      <c r="O604" s="8" t="str">
        <f>TEXT(Clean_Data[[#This Row],[OrderDate]], "yyyy-mm")</f>
        <v>2018-06</v>
      </c>
      <c r="P604" s="7">
        <f>Clean_Data[[#This Row],[Profit]]/Clean_Data[[#This Row],[Revenue ]]</f>
        <v>0.31343283582089554</v>
      </c>
      <c r="Q604" t="str">
        <f>"Q"&amp;ROUNDUP(MONTH(Clean_Data[[#This Row],[OrderDate]])/3,0)</f>
        <v>Q2</v>
      </c>
      <c r="R604" t="str">
        <f>TEXT(Clean_Data[[#This Row],[OrderDate]], "dddd")</f>
        <v>Saturday</v>
      </c>
    </row>
    <row r="605" spans="1:18" x14ac:dyDescent="0.25">
      <c r="A605" t="s">
        <v>655</v>
      </c>
      <c r="B605" s="4">
        <v>133</v>
      </c>
      <c r="C605" s="4">
        <v>-56</v>
      </c>
      <c r="D605" s="3">
        <v>2</v>
      </c>
      <c r="E605" t="s">
        <v>888</v>
      </c>
      <c r="F605" t="s">
        <v>889</v>
      </c>
      <c r="G605" t="s">
        <v>887</v>
      </c>
      <c r="H605" s="6">
        <f>_xlfn.XLOOKUP(A605,Orders[OrderID],Orders[OrderDate])</f>
        <v>43315</v>
      </c>
      <c r="I605" t="str">
        <f>_xlfn.XLOOKUP(A605,Orders[OrderID],Orders[CustomerName])</f>
        <v>Daksh</v>
      </c>
      <c r="J605" t="str">
        <f>_xlfn.XLOOKUP(A605,Orders[OrderID],Orders[State])</f>
        <v>Haryana</v>
      </c>
      <c r="K605" t="str">
        <f>_xlfn.XLOOKUP(A605,Orders[OrderID],Orders[City])</f>
        <v>Chandigarh</v>
      </c>
      <c r="L605" s="3">
        <f>YEAR(Clean_Data[[#This Row],[OrderDate]])</f>
        <v>2018</v>
      </c>
      <c r="M605" s="3">
        <f>MONTH(Clean_Data[[#This Row],[OrderDate]])</f>
        <v>8</v>
      </c>
      <c r="N605" s="8" t="str">
        <f>TEXT(Clean_Data[[#This Row],[OrderDate]],"mmm")</f>
        <v>Aug</v>
      </c>
      <c r="O605" s="8" t="str">
        <f>TEXT(Clean_Data[[#This Row],[OrderDate]], "yyyy-mm")</f>
        <v>2018-08</v>
      </c>
      <c r="P605" s="7">
        <f>Clean_Data[[#This Row],[Profit]]/Clean_Data[[#This Row],[Revenue ]]</f>
        <v>-0.42105263157894735</v>
      </c>
      <c r="Q605" t="str">
        <f>"Q"&amp;ROUNDUP(MONTH(Clean_Data[[#This Row],[OrderDate]])/3,0)</f>
        <v>Q3</v>
      </c>
      <c r="R605" t="str">
        <f>TEXT(Clean_Data[[#This Row],[OrderDate]], "dddd")</f>
        <v>Friday</v>
      </c>
    </row>
    <row r="606" spans="1:18" x14ac:dyDescent="0.25">
      <c r="A606" t="s">
        <v>330</v>
      </c>
      <c r="B606" s="4">
        <v>93</v>
      </c>
      <c r="C606" s="4">
        <v>-84</v>
      </c>
      <c r="D606" s="3">
        <v>3</v>
      </c>
      <c r="E606" t="s">
        <v>895</v>
      </c>
      <c r="F606" t="s">
        <v>897</v>
      </c>
      <c r="G606" t="s">
        <v>898</v>
      </c>
      <c r="H606" s="6">
        <f>_xlfn.XLOOKUP(A606,Orders[OrderID],Orders[OrderDate])</f>
        <v>43181</v>
      </c>
      <c r="I606" t="str">
        <f>_xlfn.XLOOKUP(A606,Orders[OrderID],Orders[CustomerName])</f>
        <v>Aarushi</v>
      </c>
      <c r="J606" t="str">
        <f>_xlfn.XLOOKUP(A606,Orders[OrderID],Orders[State])</f>
        <v>Tamil Nadu</v>
      </c>
      <c r="K606" t="str">
        <f>_xlfn.XLOOKUP(A606,Orders[OrderID],Orders[City])</f>
        <v>Chennai</v>
      </c>
      <c r="L606" s="3">
        <f>YEAR(Clean_Data[[#This Row],[OrderDate]])</f>
        <v>2018</v>
      </c>
      <c r="M606" s="3">
        <f>MONTH(Clean_Data[[#This Row],[OrderDate]])</f>
        <v>3</v>
      </c>
      <c r="N606" s="8" t="str">
        <f>TEXT(Clean_Data[[#This Row],[OrderDate]],"mmm")</f>
        <v>Mar</v>
      </c>
      <c r="O606" s="8" t="str">
        <f>TEXT(Clean_Data[[#This Row],[OrderDate]], "yyyy-mm")</f>
        <v>2018-03</v>
      </c>
      <c r="P606" s="7">
        <f>Clean_Data[[#This Row],[Profit]]/Clean_Data[[#This Row],[Revenue ]]</f>
        <v>-0.90322580645161288</v>
      </c>
      <c r="Q606" t="str">
        <f>"Q"&amp;ROUNDUP(MONTH(Clean_Data[[#This Row],[OrderDate]])/3,0)</f>
        <v>Q1</v>
      </c>
      <c r="R606" t="str">
        <f>TEXT(Clean_Data[[#This Row],[OrderDate]], "dddd")</f>
        <v>Thursday</v>
      </c>
    </row>
    <row r="607" spans="1:18" x14ac:dyDescent="0.25">
      <c r="A607" t="s">
        <v>444</v>
      </c>
      <c r="B607" s="4">
        <v>86</v>
      </c>
      <c r="C607" s="4">
        <v>-21</v>
      </c>
      <c r="D607" s="3">
        <v>1</v>
      </c>
      <c r="E607" t="s">
        <v>885</v>
      </c>
      <c r="F607" t="s">
        <v>886</v>
      </c>
      <c r="G607" t="s">
        <v>898</v>
      </c>
      <c r="H607" s="6">
        <f>_xlfn.XLOOKUP(A607,Orders[OrderID],Orders[OrderDate])</f>
        <v>43237</v>
      </c>
      <c r="I607" t="str">
        <f>_xlfn.XLOOKUP(A607,Orders[OrderID],Orders[CustomerName])</f>
        <v>Sweta</v>
      </c>
      <c r="J607" t="str">
        <f>_xlfn.XLOOKUP(A607,Orders[OrderID],Orders[State])</f>
        <v>Maharashtra</v>
      </c>
      <c r="K607" t="str">
        <f>_xlfn.XLOOKUP(A607,Orders[OrderID],Orders[City])</f>
        <v>Mumbai</v>
      </c>
      <c r="L607" s="3">
        <f>YEAR(Clean_Data[[#This Row],[OrderDate]])</f>
        <v>2018</v>
      </c>
      <c r="M607" s="3">
        <f>MONTH(Clean_Data[[#This Row],[OrderDate]])</f>
        <v>5</v>
      </c>
      <c r="N607" s="8" t="str">
        <f>TEXT(Clean_Data[[#This Row],[OrderDate]],"mmm")</f>
        <v>May</v>
      </c>
      <c r="O607" s="8" t="str">
        <f>TEXT(Clean_Data[[#This Row],[OrderDate]], "yyyy-mm")</f>
        <v>2018-05</v>
      </c>
      <c r="P607" s="7">
        <f>Clean_Data[[#This Row],[Profit]]/Clean_Data[[#This Row],[Revenue ]]</f>
        <v>-0.2441860465116279</v>
      </c>
      <c r="Q607" t="str">
        <f>"Q"&amp;ROUNDUP(MONTH(Clean_Data[[#This Row],[OrderDate]])/3,0)</f>
        <v>Q2</v>
      </c>
      <c r="R607" t="str">
        <f>TEXT(Clean_Data[[#This Row],[OrderDate]], "dddd")</f>
        <v>Thursday</v>
      </c>
    </row>
    <row r="608" spans="1:18" x14ac:dyDescent="0.25">
      <c r="A608" t="s">
        <v>280</v>
      </c>
      <c r="B608" s="4">
        <v>132</v>
      </c>
      <c r="C608" s="4">
        <v>54</v>
      </c>
      <c r="D608" s="3">
        <v>5</v>
      </c>
      <c r="E608" t="s">
        <v>895</v>
      </c>
      <c r="F608" t="s">
        <v>903</v>
      </c>
      <c r="G608" t="s">
        <v>887</v>
      </c>
      <c r="H608" s="6">
        <f>_xlfn.XLOOKUP(A608,Orders[OrderID],Orders[OrderDate])</f>
        <v>43407</v>
      </c>
      <c r="I608" t="str">
        <f>_xlfn.XLOOKUP(A608,Orders[OrderID],Orders[CustomerName])</f>
        <v>Snel</v>
      </c>
      <c r="J608" t="str">
        <f>_xlfn.XLOOKUP(A608,Orders[OrderID],Orders[State])</f>
        <v xml:space="preserve">Kerala </v>
      </c>
      <c r="K608" t="str">
        <f>_xlfn.XLOOKUP(A608,Orders[OrderID],Orders[City])</f>
        <v>Thiruvananthapuram</v>
      </c>
      <c r="L608" s="3">
        <f>YEAR(Clean_Data[[#This Row],[OrderDate]])</f>
        <v>2018</v>
      </c>
      <c r="M608" s="3">
        <f>MONTH(Clean_Data[[#This Row],[OrderDate]])</f>
        <v>11</v>
      </c>
      <c r="N608" s="8" t="str">
        <f>TEXT(Clean_Data[[#This Row],[OrderDate]],"mmm")</f>
        <v>Nov</v>
      </c>
      <c r="O608" s="8" t="str">
        <f>TEXT(Clean_Data[[#This Row],[OrderDate]], "yyyy-mm")</f>
        <v>2018-11</v>
      </c>
      <c r="P608" s="7">
        <f>Clean_Data[[#This Row],[Profit]]/Clean_Data[[#This Row],[Revenue ]]</f>
        <v>0.40909090909090912</v>
      </c>
      <c r="Q608" t="str">
        <f>"Q"&amp;ROUNDUP(MONTH(Clean_Data[[#This Row],[OrderDate]])/3,0)</f>
        <v>Q4</v>
      </c>
      <c r="R608" t="str">
        <f>TEXT(Clean_Data[[#This Row],[OrderDate]], "dddd")</f>
        <v>Saturday</v>
      </c>
    </row>
    <row r="609" spans="1:18" x14ac:dyDescent="0.25">
      <c r="A609" t="s">
        <v>119</v>
      </c>
      <c r="B609" s="4">
        <v>132</v>
      </c>
      <c r="C609" s="4">
        <v>-10</v>
      </c>
      <c r="D609" s="3">
        <v>3</v>
      </c>
      <c r="E609" t="s">
        <v>895</v>
      </c>
      <c r="F609" t="s">
        <v>897</v>
      </c>
      <c r="G609" t="s">
        <v>887</v>
      </c>
      <c r="H609" s="6">
        <f>_xlfn.XLOOKUP(A609,Orders[OrderID],Orders[OrderDate])</f>
        <v>43185</v>
      </c>
      <c r="I609" t="str">
        <f>_xlfn.XLOOKUP(A609,Orders[OrderID],Orders[CustomerName])</f>
        <v>Shrichand</v>
      </c>
      <c r="J609" t="str">
        <f>_xlfn.XLOOKUP(A609,Orders[OrderID],Orders[State])</f>
        <v>Punjab</v>
      </c>
      <c r="K609" t="str">
        <f>_xlfn.XLOOKUP(A609,Orders[OrderID],Orders[City])</f>
        <v>Chandigarh</v>
      </c>
      <c r="L609" s="3">
        <f>YEAR(Clean_Data[[#This Row],[OrderDate]])</f>
        <v>2018</v>
      </c>
      <c r="M609" s="3">
        <f>MONTH(Clean_Data[[#This Row],[OrderDate]])</f>
        <v>3</v>
      </c>
      <c r="N609" s="8" t="str">
        <f>TEXT(Clean_Data[[#This Row],[OrderDate]],"mmm")</f>
        <v>Mar</v>
      </c>
      <c r="O609" s="8" t="str">
        <f>TEXT(Clean_Data[[#This Row],[OrderDate]], "yyyy-mm")</f>
        <v>2018-03</v>
      </c>
      <c r="P609" s="7">
        <f>Clean_Data[[#This Row],[Profit]]/Clean_Data[[#This Row],[Revenue ]]</f>
        <v>-7.575757575757576E-2</v>
      </c>
      <c r="Q609" t="str">
        <f>"Q"&amp;ROUNDUP(MONTH(Clean_Data[[#This Row],[OrderDate]])/3,0)</f>
        <v>Q1</v>
      </c>
      <c r="R609" t="str">
        <f>TEXT(Clean_Data[[#This Row],[OrderDate]], "dddd")</f>
        <v>Monday</v>
      </c>
    </row>
    <row r="610" spans="1:18" x14ac:dyDescent="0.25">
      <c r="A610" t="s">
        <v>315</v>
      </c>
      <c r="B610" s="4">
        <v>132</v>
      </c>
      <c r="C610" s="4">
        <v>-79</v>
      </c>
      <c r="D610" s="3">
        <v>5</v>
      </c>
      <c r="E610" t="s">
        <v>888</v>
      </c>
      <c r="F610" t="s">
        <v>908</v>
      </c>
      <c r="G610" t="s">
        <v>887</v>
      </c>
      <c r="H610" s="6">
        <f>_xlfn.XLOOKUP(A610,Orders[OrderID],Orders[OrderDate])</f>
        <v>43321</v>
      </c>
      <c r="I610" t="str">
        <f>_xlfn.XLOOKUP(A610,Orders[OrderID],Orders[CustomerName])</f>
        <v>Kartik</v>
      </c>
      <c r="J610" t="str">
        <f>_xlfn.XLOOKUP(A610,Orders[OrderID],Orders[State])</f>
        <v>Gujarat</v>
      </c>
      <c r="K610" t="str">
        <f>_xlfn.XLOOKUP(A610,Orders[OrderID],Orders[City])</f>
        <v>Ahmedabad</v>
      </c>
      <c r="L610" s="3">
        <f>YEAR(Clean_Data[[#This Row],[OrderDate]])</f>
        <v>2018</v>
      </c>
      <c r="M610" s="3">
        <f>MONTH(Clean_Data[[#This Row],[OrderDate]])</f>
        <v>8</v>
      </c>
      <c r="N610" s="8" t="str">
        <f>TEXT(Clean_Data[[#This Row],[OrderDate]],"mmm")</f>
        <v>Aug</v>
      </c>
      <c r="O610" s="8" t="str">
        <f>TEXT(Clean_Data[[#This Row],[OrderDate]], "yyyy-mm")</f>
        <v>2018-08</v>
      </c>
      <c r="P610" s="7">
        <f>Clean_Data[[#This Row],[Profit]]/Clean_Data[[#This Row],[Revenue ]]</f>
        <v>-0.59848484848484851</v>
      </c>
      <c r="Q610" t="str">
        <f>"Q"&amp;ROUNDUP(MONTH(Clean_Data[[#This Row],[OrderDate]])/3,0)</f>
        <v>Q3</v>
      </c>
      <c r="R610" t="str">
        <f>TEXT(Clean_Data[[#This Row],[OrderDate]], "dddd")</f>
        <v>Thursday</v>
      </c>
    </row>
    <row r="611" spans="1:18" x14ac:dyDescent="0.25">
      <c r="A611" t="s">
        <v>269</v>
      </c>
      <c r="B611" s="4">
        <v>93</v>
      </c>
      <c r="C611" s="4">
        <v>-65</v>
      </c>
      <c r="D611" s="3">
        <v>4</v>
      </c>
      <c r="E611" t="s">
        <v>895</v>
      </c>
      <c r="F611" t="s">
        <v>903</v>
      </c>
      <c r="G611" t="s">
        <v>898</v>
      </c>
      <c r="H611" s="6">
        <f>_xlfn.XLOOKUP(A611,Orders[OrderID],Orders[OrderDate])</f>
        <v>43136</v>
      </c>
      <c r="I611" t="str">
        <f>_xlfn.XLOOKUP(A611,Orders[OrderID],Orders[CustomerName])</f>
        <v>Diwakar</v>
      </c>
      <c r="J611" t="str">
        <f>_xlfn.XLOOKUP(A611,Orders[OrderID],Orders[State])</f>
        <v>Delhi</v>
      </c>
      <c r="K611" t="str">
        <f>_xlfn.XLOOKUP(A611,Orders[OrderID],Orders[City])</f>
        <v>Delhi</v>
      </c>
      <c r="L611" s="3">
        <f>YEAR(Clean_Data[[#This Row],[OrderDate]])</f>
        <v>2018</v>
      </c>
      <c r="M611" s="3">
        <f>MONTH(Clean_Data[[#This Row],[OrderDate]])</f>
        <v>2</v>
      </c>
      <c r="N611" s="8" t="str">
        <f>TEXT(Clean_Data[[#This Row],[OrderDate]],"mmm")</f>
        <v>Feb</v>
      </c>
      <c r="O611" s="8" t="str">
        <f>TEXT(Clean_Data[[#This Row],[OrderDate]], "yyyy-mm")</f>
        <v>2018-02</v>
      </c>
      <c r="P611" s="7">
        <f>Clean_Data[[#This Row],[Profit]]/Clean_Data[[#This Row],[Revenue ]]</f>
        <v>-0.69892473118279574</v>
      </c>
      <c r="Q611" t="str">
        <f>"Q"&amp;ROUNDUP(MONTH(Clean_Data[[#This Row],[OrderDate]])/3,0)</f>
        <v>Q1</v>
      </c>
      <c r="R611" t="str">
        <f>TEXT(Clean_Data[[#This Row],[OrderDate]], "dddd")</f>
        <v>Monday</v>
      </c>
    </row>
    <row r="612" spans="1:18" x14ac:dyDescent="0.25">
      <c r="A612" t="s">
        <v>723</v>
      </c>
      <c r="B612" s="4">
        <v>95</v>
      </c>
      <c r="C612" s="4">
        <v>5</v>
      </c>
      <c r="D612" s="3">
        <v>2</v>
      </c>
      <c r="E612" t="s">
        <v>895</v>
      </c>
      <c r="F612" t="s">
        <v>903</v>
      </c>
      <c r="G612" t="s">
        <v>898</v>
      </c>
      <c r="H612" s="6">
        <f>_xlfn.XLOOKUP(A612,Orders[OrderID],Orders[OrderDate])</f>
        <v>43182</v>
      </c>
      <c r="I612" t="str">
        <f>_xlfn.XLOOKUP(A612,Orders[OrderID],Orders[CustomerName])</f>
        <v>Jitesh</v>
      </c>
      <c r="J612" t="str">
        <f>_xlfn.XLOOKUP(A612,Orders[OrderID],Orders[State])</f>
        <v>Uttar Pradesh</v>
      </c>
      <c r="K612" t="str">
        <f>_xlfn.XLOOKUP(A612,Orders[OrderID],Orders[City])</f>
        <v>Lucknow</v>
      </c>
      <c r="L612" s="3">
        <f>YEAR(Clean_Data[[#This Row],[OrderDate]])</f>
        <v>2018</v>
      </c>
      <c r="M612" s="3">
        <f>MONTH(Clean_Data[[#This Row],[OrderDate]])</f>
        <v>3</v>
      </c>
      <c r="N612" s="8" t="str">
        <f>TEXT(Clean_Data[[#This Row],[OrderDate]],"mmm")</f>
        <v>Mar</v>
      </c>
      <c r="O612" s="8" t="str">
        <f>TEXT(Clean_Data[[#This Row],[OrderDate]], "yyyy-mm")</f>
        <v>2018-03</v>
      </c>
      <c r="P612" s="7">
        <f>Clean_Data[[#This Row],[Profit]]/Clean_Data[[#This Row],[Revenue ]]</f>
        <v>5.2631578947368418E-2</v>
      </c>
      <c r="Q612" t="str">
        <f>"Q"&amp;ROUNDUP(MONTH(Clean_Data[[#This Row],[OrderDate]])/3,0)</f>
        <v>Q1</v>
      </c>
      <c r="R612" t="str">
        <f>TEXT(Clean_Data[[#This Row],[OrderDate]], "dddd")</f>
        <v>Friday</v>
      </c>
    </row>
    <row r="613" spans="1:18" x14ac:dyDescent="0.25">
      <c r="A613" t="s">
        <v>313</v>
      </c>
      <c r="B613" s="4">
        <v>97</v>
      </c>
      <c r="C613" s="4">
        <v>12</v>
      </c>
      <c r="D613" s="3">
        <v>2</v>
      </c>
      <c r="E613" t="s">
        <v>895</v>
      </c>
      <c r="F613" t="s">
        <v>899</v>
      </c>
      <c r="G613" t="s">
        <v>898</v>
      </c>
      <c r="H613" s="6">
        <f>_xlfn.XLOOKUP(A613,Orders[OrderID],Orders[OrderDate])</f>
        <v>43187</v>
      </c>
      <c r="I613" t="str">
        <f>_xlfn.XLOOKUP(A613,Orders[OrderID],Orders[CustomerName])</f>
        <v>Vini</v>
      </c>
      <c r="J613" t="str">
        <f>_xlfn.XLOOKUP(A613,Orders[OrderID],Orders[State])</f>
        <v>Karnataka</v>
      </c>
      <c r="K613" t="str">
        <f>_xlfn.XLOOKUP(A613,Orders[OrderID],Orders[City])</f>
        <v>Bangalore</v>
      </c>
      <c r="L613" s="3">
        <f>YEAR(Clean_Data[[#This Row],[OrderDate]])</f>
        <v>2018</v>
      </c>
      <c r="M613" s="3">
        <f>MONTH(Clean_Data[[#This Row],[OrderDate]])</f>
        <v>3</v>
      </c>
      <c r="N613" s="8" t="str">
        <f>TEXT(Clean_Data[[#This Row],[OrderDate]],"mmm")</f>
        <v>Mar</v>
      </c>
      <c r="O613" s="8" t="str">
        <f>TEXT(Clean_Data[[#This Row],[OrderDate]], "yyyy-mm")</f>
        <v>2018-03</v>
      </c>
      <c r="P613" s="7">
        <f>Clean_Data[[#This Row],[Profit]]/Clean_Data[[#This Row],[Revenue ]]</f>
        <v>0.12371134020618557</v>
      </c>
      <c r="Q613" t="str">
        <f>"Q"&amp;ROUNDUP(MONTH(Clean_Data[[#This Row],[OrderDate]])/3,0)</f>
        <v>Q1</v>
      </c>
      <c r="R613" t="str">
        <f>TEXT(Clean_Data[[#This Row],[OrderDate]], "dddd")</f>
        <v>Wednesday</v>
      </c>
    </row>
    <row r="614" spans="1:18" x14ac:dyDescent="0.25">
      <c r="A614" t="s">
        <v>657</v>
      </c>
      <c r="B614" s="4">
        <v>131</v>
      </c>
      <c r="C614" s="4">
        <v>-154</v>
      </c>
      <c r="D614" s="3">
        <v>8</v>
      </c>
      <c r="E614" t="s">
        <v>888</v>
      </c>
      <c r="F614" t="s">
        <v>908</v>
      </c>
      <c r="G614" t="s">
        <v>887</v>
      </c>
      <c r="H614" s="6">
        <f>_xlfn.XLOOKUP(A614,Orders[OrderID],Orders[OrderDate])</f>
        <v>43307</v>
      </c>
      <c r="I614" t="str">
        <f>_xlfn.XLOOKUP(A614,Orders[OrderID],Orders[CustomerName])</f>
        <v>Akash</v>
      </c>
      <c r="J614" t="str">
        <f>_xlfn.XLOOKUP(A614,Orders[OrderID],Orders[State])</f>
        <v>West Bengal</v>
      </c>
      <c r="K614" t="str">
        <f>_xlfn.XLOOKUP(A614,Orders[OrderID],Orders[City])</f>
        <v>Kolkata</v>
      </c>
      <c r="L614" s="3">
        <f>YEAR(Clean_Data[[#This Row],[OrderDate]])</f>
        <v>2018</v>
      </c>
      <c r="M614" s="3">
        <f>MONTH(Clean_Data[[#This Row],[OrderDate]])</f>
        <v>7</v>
      </c>
      <c r="N614" s="8" t="str">
        <f>TEXT(Clean_Data[[#This Row],[OrderDate]],"mmm")</f>
        <v>Jul</v>
      </c>
      <c r="O614" s="8" t="str">
        <f>TEXT(Clean_Data[[#This Row],[OrderDate]], "yyyy-mm")</f>
        <v>2018-07</v>
      </c>
      <c r="P614" s="7">
        <f>Clean_Data[[#This Row],[Profit]]/Clean_Data[[#This Row],[Revenue ]]</f>
        <v>-1.1755725190839694</v>
      </c>
      <c r="Q614" t="str">
        <f>"Q"&amp;ROUNDUP(MONTH(Clean_Data[[#This Row],[OrderDate]])/3,0)</f>
        <v>Q3</v>
      </c>
      <c r="R614" t="str">
        <f>TEXT(Clean_Data[[#This Row],[OrderDate]], "dddd")</f>
        <v>Thursday</v>
      </c>
    </row>
    <row r="615" spans="1:18" x14ac:dyDescent="0.25">
      <c r="A615" t="s">
        <v>331</v>
      </c>
      <c r="B615" s="4">
        <v>97</v>
      </c>
      <c r="C615" s="4">
        <v>29</v>
      </c>
      <c r="D615" s="3">
        <v>2</v>
      </c>
      <c r="E615" t="s">
        <v>895</v>
      </c>
      <c r="F615" t="s">
        <v>899</v>
      </c>
      <c r="G615" t="s">
        <v>898</v>
      </c>
      <c r="H615" s="6">
        <f>_xlfn.XLOOKUP(A615,Orders[OrderID],Orders[OrderDate])</f>
        <v>43213</v>
      </c>
      <c r="I615" t="str">
        <f>_xlfn.XLOOKUP(A615,Orders[OrderID],Orders[CustomerName])</f>
        <v>Pinky</v>
      </c>
      <c r="J615" t="str">
        <f>_xlfn.XLOOKUP(A615,Orders[OrderID],Orders[State])</f>
        <v>Jammu and Kashmir</v>
      </c>
      <c r="K615" t="str">
        <f>_xlfn.XLOOKUP(A615,Orders[OrderID],Orders[City])</f>
        <v>Kashmir</v>
      </c>
      <c r="L615" s="3">
        <f>YEAR(Clean_Data[[#This Row],[OrderDate]])</f>
        <v>2018</v>
      </c>
      <c r="M615" s="3">
        <f>MONTH(Clean_Data[[#This Row],[OrderDate]])</f>
        <v>4</v>
      </c>
      <c r="N615" s="8" t="str">
        <f>TEXT(Clean_Data[[#This Row],[OrderDate]],"mmm")</f>
        <v>Apr</v>
      </c>
      <c r="O615" s="8" t="str">
        <f>TEXT(Clean_Data[[#This Row],[OrderDate]], "yyyy-mm")</f>
        <v>2018-04</v>
      </c>
      <c r="P615" s="7">
        <f>Clean_Data[[#This Row],[Profit]]/Clean_Data[[#This Row],[Revenue ]]</f>
        <v>0.29896907216494845</v>
      </c>
      <c r="Q615" t="str">
        <f>"Q"&amp;ROUNDUP(MONTH(Clean_Data[[#This Row],[OrderDate]])/3,0)</f>
        <v>Q2</v>
      </c>
      <c r="R615" t="str">
        <f>TEXT(Clean_Data[[#This Row],[OrderDate]], "dddd")</f>
        <v>Monday</v>
      </c>
    </row>
    <row r="616" spans="1:18" x14ac:dyDescent="0.25">
      <c r="A616" t="s">
        <v>50</v>
      </c>
      <c r="B616" s="4">
        <v>128</v>
      </c>
      <c r="C616" s="4">
        <v>4</v>
      </c>
      <c r="D616" s="3">
        <v>3</v>
      </c>
      <c r="E616" t="s">
        <v>895</v>
      </c>
      <c r="F616" t="s">
        <v>897</v>
      </c>
      <c r="G616" t="s">
        <v>887</v>
      </c>
      <c r="H616" s="6">
        <f>_xlfn.XLOOKUP(A616,Orders[OrderID],Orders[OrderDate])</f>
        <v>43412</v>
      </c>
      <c r="I616" t="str">
        <f>_xlfn.XLOOKUP(A616,Orders[OrderID],Orders[CustomerName])</f>
        <v>Gaurav</v>
      </c>
      <c r="J616" t="str">
        <f>_xlfn.XLOOKUP(A616,Orders[OrderID],Orders[State])</f>
        <v>Gujarat</v>
      </c>
      <c r="K616" t="str">
        <f>_xlfn.XLOOKUP(A616,Orders[OrderID],Orders[City])</f>
        <v>Ahmedabad</v>
      </c>
      <c r="L616" s="3">
        <f>YEAR(Clean_Data[[#This Row],[OrderDate]])</f>
        <v>2018</v>
      </c>
      <c r="M616" s="3">
        <f>MONTH(Clean_Data[[#This Row],[OrderDate]])</f>
        <v>11</v>
      </c>
      <c r="N616" s="8" t="str">
        <f>TEXT(Clean_Data[[#This Row],[OrderDate]],"mmm")</f>
        <v>Nov</v>
      </c>
      <c r="O616" s="8" t="str">
        <f>TEXT(Clean_Data[[#This Row],[OrderDate]], "yyyy-mm")</f>
        <v>2018-11</v>
      </c>
      <c r="P616" s="7">
        <f>Clean_Data[[#This Row],[Profit]]/Clean_Data[[#This Row],[Revenue ]]</f>
        <v>3.125E-2</v>
      </c>
      <c r="Q616" t="str">
        <f>"Q"&amp;ROUNDUP(MONTH(Clean_Data[[#This Row],[OrderDate]])/3,0)</f>
        <v>Q4</v>
      </c>
      <c r="R616" t="str">
        <f>TEXT(Clean_Data[[#This Row],[OrderDate]], "dddd")</f>
        <v>Thursday</v>
      </c>
    </row>
    <row r="617" spans="1:18" x14ac:dyDescent="0.25">
      <c r="A617" t="s">
        <v>537</v>
      </c>
      <c r="B617" s="4">
        <v>186</v>
      </c>
      <c r="C617" s="4">
        <v>241</v>
      </c>
      <c r="D617" s="3">
        <v>9</v>
      </c>
      <c r="E617" t="s">
        <v>895</v>
      </c>
      <c r="F617" t="s">
        <v>909</v>
      </c>
      <c r="G617" t="s">
        <v>893</v>
      </c>
      <c r="H617" s="6">
        <f>_xlfn.XLOOKUP(A617,Orders[OrderID],Orders[OrderDate])</f>
        <v>43279</v>
      </c>
      <c r="I617" t="str">
        <f>_xlfn.XLOOKUP(A617,Orders[OrderID],Orders[CustomerName])</f>
        <v>Ekta</v>
      </c>
      <c r="J617" t="str">
        <f>_xlfn.XLOOKUP(A617,Orders[OrderID],Orders[State])</f>
        <v>Madhya Pradesh</v>
      </c>
      <c r="K617" t="str">
        <f>_xlfn.XLOOKUP(A617,Orders[OrderID],Orders[City])</f>
        <v>Indore</v>
      </c>
      <c r="L617" s="3">
        <f>YEAR(Clean_Data[[#This Row],[OrderDate]])</f>
        <v>2018</v>
      </c>
      <c r="M617" s="3">
        <f>MONTH(Clean_Data[[#This Row],[OrderDate]])</f>
        <v>6</v>
      </c>
      <c r="N617" s="8" t="str">
        <f>TEXT(Clean_Data[[#This Row],[OrderDate]],"mmm")</f>
        <v>Jun</v>
      </c>
      <c r="O617" s="8" t="str">
        <f>TEXT(Clean_Data[[#This Row],[OrderDate]], "yyyy-mm")</f>
        <v>2018-06</v>
      </c>
      <c r="P617" s="7">
        <f>Clean_Data[[#This Row],[Profit]]/Clean_Data[[#This Row],[Revenue ]]</f>
        <v>1.2956989247311828</v>
      </c>
      <c r="Q617" t="str">
        <f>"Q"&amp;ROUNDUP(MONTH(Clean_Data[[#This Row],[OrderDate]])/3,0)</f>
        <v>Q2</v>
      </c>
      <c r="R617" t="str">
        <f>TEXT(Clean_Data[[#This Row],[OrderDate]], "dddd")</f>
        <v>Thursday</v>
      </c>
    </row>
    <row r="618" spans="1:18" x14ac:dyDescent="0.25">
      <c r="A618" t="s">
        <v>68</v>
      </c>
      <c r="B618" s="4">
        <v>128</v>
      </c>
      <c r="C618" s="4">
        <v>47</v>
      </c>
      <c r="D618" s="3">
        <v>4</v>
      </c>
      <c r="E618" t="s">
        <v>895</v>
      </c>
      <c r="F618" t="s">
        <v>899</v>
      </c>
      <c r="G618" t="s">
        <v>887</v>
      </c>
      <c r="H618" s="6">
        <f>_xlfn.XLOOKUP(A618,Orders[OrderID],Orders[OrderDate])</f>
        <v>43139</v>
      </c>
      <c r="I618" t="str">
        <f>_xlfn.XLOOKUP(A618,Orders[OrderID],Orders[CustomerName])</f>
        <v>Hitesh</v>
      </c>
      <c r="J618" t="str">
        <f>_xlfn.XLOOKUP(A618,Orders[OrderID],Orders[State])</f>
        <v>Madhya Pradesh</v>
      </c>
      <c r="K618" t="str">
        <f>_xlfn.XLOOKUP(A618,Orders[OrderID],Orders[City])</f>
        <v>Bhopal</v>
      </c>
      <c r="L618" s="3">
        <f>YEAR(Clean_Data[[#This Row],[OrderDate]])</f>
        <v>2018</v>
      </c>
      <c r="M618" s="3">
        <f>MONTH(Clean_Data[[#This Row],[OrderDate]])</f>
        <v>2</v>
      </c>
      <c r="N618" s="8" t="str">
        <f>TEXT(Clean_Data[[#This Row],[OrderDate]],"mmm")</f>
        <v>Feb</v>
      </c>
      <c r="O618" s="8" t="str">
        <f>TEXT(Clean_Data[[#This Row],[OrderDate]], "yyyy-mm")</f>
        <v>2018-02</v>
      </c>
      <c r="P618" s="7">
        <f>Clean_Data[[#This Row],[Profit]]/Clean_Data[[#This Row],[Revenue ]]</f>
        <v>0.3671875</v>
      </c>
      <c r="Q618" t="str">
        <f>"Q"&amp;ROUNDUP(MONTH(Clean_Data[[#This Row],[OrderDate]])/3,0)</f>
        <v>Q1</v>
      </c>
      <c r="R618" t="str">
        <f>TEXT(Clean_Data[[#This Row],[OrderDate]], "dddd")</f>
        <v>Thursday</v>
      </c>
    </row>
    <row r="619" spans="1:18" x14ac:dyDescent="0.25">
      <c r="A619" t="s">
        <v>275</v>
      </c>
      <c r="B619" s="4">
        <v>185</v>
      </c>
      <c r="C619" s="4">
        <v>48</v>
      </c>
      <c r="D619" s="3">
        <v>4</v>
      </c>
      <c r="E619" t="s">
        <v>895</v>
      </c>
      <c r="F619" t="s">
        <v>903</v>
      </c>
      <c r="G619" t="s">
        <v>893</v>
      </c>
      <c r="H619" s="6">
        <f>_xlfn.XLOOKUP(A619,Orders[OrderID],Orders[OrderDate])</f>
        <v>43378</v>
      </c>
      <c r="I619" t="str">
        <f>_xlfn.XLOOKUP(A619,Orders[OrderID],Orders[CustomerName])</f>
        <v>Shivanshu</v>
      </c>
      <c r="J619" t="str">
        <f>_xlfn.XLOOKUP(A619,Orders[OrderID],Orders[State])</f>
        <v>Madhya Pradesh</v>
      </c>
      <c r="K619" t="str">
        <f>_xlfn.XLOOKUP(A619,Orders[OrderID],Orders[City])</f>
        <v>Indore</v>
      </c>
      <c r="L619" s="3">
        <f>YEAR(Clean_Data[[#This Row],[OrderDate]])</f>
        <v>2018</v>
      </c>
      <c r="M619" s="3">
        <f>MONTH(Clean_Data[[#This Row],[OrderDate]])</f>
        <v>10</v>
      </c>
      <c r="N619" s="8" t="str">
        <f>TEXT(Clean_Data[[#This Row],[OrderDate]],"mmm")</f>
        <v>Oct</v>
      </c>
      <c r="O619" s="8" t="str">
        <f>TEXT(Clean_Data[[#This Row],[OrderDate]], "yyyy-mm")</f>
        <v>2018-10</v>
      </c>
      <c r="P619" s="7">
        <f>Clean_Data[[#This Row],[Profit]]/Clean_Data[[#This Row],[Revenue ]]</f>
        <v>0.25945945945945947</v>
      </c>
      <c r="Q619" t="str">
        <f>"Q"&amp;ROUNDUP(MONTH(Clean_Data[[#This Row],[OrderDate]])/3,0)</f>
        <v>Q4</v>
      </c>
      <c r="R619" t="str">
        <f>TEXT(Clean_Data[[#This Row],[OrderDate]], "dddd")</f>
        <v>Friday</v>
      </c>
    </row>
    <row r="620" spans="1:18" x14ac:dyDescent="0.25">
      <c r="A620" t="s">
        <v>838</v>
      </c>
      <c r="B620" s="4">
        <v>29</v>
      </c>
      <c r="C620" s="4">
        <v>10</v>
      </c>
      <c r="D620" s="3">
        <v>2</v>
      </c>
      <c r="E620" t="s">
        <v>895</v>
      </c>
      <c r="F620" t="s">
        <v>903</v>
      </c>
      <c r="G620" t="s">
        <v>887</v>
      </c>
      <c r="H620" s="6">
        <f>_xlfn.XLOOKUP(A620,Orders[OrderID],Orders[OrderDate])</f>
        <v>43293</v>
      </c>
      <c r="I620" t="str">
        <f>_xlfn.XLOOKUP(A620,Orders[OrderID],Orders[CustomerName])</f>
        <v>Rashmi</v>
      </c>
      <c r="J620" t="str">
        <f>_xlfn.XLOOKUP(A620,Orders[OrderID],Orders[State])</f>
        <v>Madhya Pradesh</v>
      </c>
      <c r="K620" t="str">
        <f>_xlfn.XLOOKUP(A620,Orders[OrderID],Orders[City])</f>
        <v>Indore</v>
      </c>
      <c r="L620" s="3">
        <f>YEAR(Clean_Data[[#This Row],[OrderDate]])</f>
        <v>2018</v>
      </c>
      <c r="M620" s="3">
        <f>MONTH(Clean_Data[[#This Row],[OrderDate]])</f>
        <v>7</v>
      </c>
      <c r="N620" s="8" t="str">
        <f>TEXT(Clean_Data[[#This Row],[OrderDate]],"mmm")</f>
        <v>Jul</v>
      </c>
      <c r="O620" s="8" t="str">
        <f>TEXT(Clean_Data[[#This Row],[OrderDate]], "yyyy-mm")</f>
        <v>2018-07</v>
      </c>
      <c r="P620" s="7">
        <f>Clean_Data[[#This Row],[Profit]]/Clean_Data[[#This Row],[Revenue ]]</f>
        <v>0.34482758620689657</v>
      </c>
      <c r="Q620" t="str">
        <f>"Q"&amp;ROUNDUP(MONTH(Clean_Data[[#This Row],[OrderDate]])/3,0)</f>
        <v>Q3</v>
      </c>
      <c r="R620" t="str">
        <f>TEXT(Clean_Data[[#This Row],[OrderDate]], "dddd")</f>
        <v>Thursday</v>
      </c>
    </row>
    <row r="621" spans="1:18" x14ac:dyDescent="0.25">
      <c r="A621" t="s">
        <v>633</v>
      </c>
      <c r="B621" s="4">
        <v>127</v>
      </c>
      <c r="C621" s="4">
        <v>29</v>
      </c>
      <c r="D621" s="3">
        <v>3</v>
      </c>
      <c r="E621" t="s">
        <v>888</v>
      </c>
      <c r="F621" t="s">
        <v>908</v>
      </c>
      <c r="G621" t="s">
        <v>887</v>
      </c>
      <c r="H621" s="6">
        <f>_xlfn.XLOOKUP(A621,Orders[OrderID],Orders[OrderDate])</f>
        <v>43431</v>
      </c>
      <c r="I621" t="str">
        <f>_xlfn.XLOOKUP(A621,Orders[OrderID],Orders[CustomerName])</f>
        <v>Saptadeep</v>
      </c>
      <c r="J621" t="str">
        <f>_xlfn.XLOOKUP(A621,Orders[OrderID],Orders[State])</f>
        <v>Gujarat</v>
      </c>
      <c r="K621" t="str">
        <f>_xlfn.XLOOKUP(A621,Orders[OrderID],Orders[City])</f>
        <v>Surat</v>
      </c>
      <c r="L621" s="3">
        <f>YEAR(Clean_Data[[#This Row],[OrderDate]])</f>
        <v>2018</v>
      </c>
      <c r="M621" s="3">
        <f>MONTH(Clean_Data[[#This Row],[OrderDate]])</f>
        <v>11</v>
      </c>
      <c r="N621" s="8" t="str">
        <f>TEXT(Clean_Data[[#This Row],[OrderDate]],"mmm")</f>
        <v>Nov</v>
      </c>
      <c r="O621" s="8" t="str">
        <f>TEXT(Clean_Data[[#This Row],[OrderDate]], "yyyy-mm")</f>
        <v>2018-11</v>
      </c>
      <c r="P621" s="7">
        <f>Clean_Data[[#This Row],[Profit]]/Clean_Data[[#This Row],[Revenue ]]</f>
        <v>0.2283464566929134</v>
      </c>
      <c r="Q621" t="str">
        <f>"Q"&amp;ROUNDUP(MONTH(Clean_Data[[#This Row],[OrderDate]])/3,0)</f>
        <v>Q4</v>
      </c>
      <c r="R621" t="str">
        <f>TEXT(Clean_Data[[#This Row],[OrderDate]], "dddd")</f>
        <v>Tuesday</v>
      </c>
    </row>
    <row r="622" spans="1:18" x14ac:dyDescent="0.25">
      <c r="A622" t="s">
        <v>680</v>
      </c>
      <c r="B622" s="4">
        <v>97</v>
      </c>
      <c r="C622" s="4">
        <v>36</v>
      </c>
      <c r="D622" s="3">
        <v>7</v>
      </c>
      <c r="E622" t="s">
        <v>895</v>
      </c>
      <c r="F622" t="s">
        <v>899</v>
      </c>
      <c r="G622" t="s">
        <v>898</v>
      </c>
      <c r="H622" s="6">
        <f>_xlfn.XLOOKUP(A622,Orders[OrderID],Orders[OrderDate])</f>
        <v>43438</v>
      </c>
      <c r="I622" t="str">
        <f>_xlfn.XLOOKUP(A622,Orders[OrderID],Orders[CustomerName])</f>
        <v>Shivani</v>
      </c>
      <c r="J622" t="str">
        <f>_xlfn.XLOOKUP(A622,Orders[OrderID],Orders[State])</f>
        <v>Madhya Pradesh</v>
      </c>
      <c r="K622" t="str">
        <f>_xlfn.XLOOKUP(A622,Orders[OrderID],Orders[City])</f>
        <v>Indore</v>
      </c>
      <c r="L622" s="3">
        <f>YEAR(Clean_Data[[#This Row],[OrderDate]])</f>
        <v>2018</v>
      </c>
      <c r="M622" s="3">
        <f>MONTH(Clean_Data[[#This Row],[OrderDate]])</f>
        <v>12</v>
      </c>
      <c r="N622" s="8" t="str">
        <f>TEXT(Clean_Data[[#This Row],[OrderDate]],"mmm")</f>
        <v>Dec</v>
      </c>
      <c r="O622" s="8" t="str">
        <f>TEXT(Clean_Data[[#This Row],[OrderDate]], "yyyy-mm")</f>
        <v>2018-12</v>
      </c>
      <c r="P622" s="7">
        <f>Clean_Data[[#This Row],[Profit]]/Clean_Data[[#This Row],[Revenue ]]</f>
        <v>0.37113402061855671</v>
      </c>
      <c r="Q622" t="str">
        <f>"Q"&amp;ROUNDUP(MONTH(Clean_Data[[#This Row],[OrderDate]])/3,0)</f>
        <v>Q4</v>
      </c>
      <c r="R622" t="str">
        <f>TEXT(Clean_Data[[#This Row],[OrderDate]], "dddd")</f>
        <v>Tuesday</v>
      </c>
    </row>
    <row r="623" spans="1:18" x14ac:dyDescent="0.25">
      <c r="A623" t="s">
        <v>668</v>
      </c>
      <c r="B623" s="4">
        <v>125</v>
      </c>
      <c r="C623" s="4">
        <v>0</v>
      </c>
      <c r="D623" s="3">
        <v>3</v>
      </c>
      <c r="E623" t="s">
        <v>885</v>
      </c>
      <c r="F623" t="s">
        <v>905</v>
      </c>
      <c r="G623" t="s">
        <v>887</v>
      </c>
      <c r="H623" s="6">
        <f>_xlfn.XLOOKUP(A623,Orders[OrderID],Orders[OrderDate])</f>
        <v>43389</v>
      </c>
      <c r="I623" t="str">
        <f>_xlfn.XLOOKUP(A623,Orders[OrderID],Orders[CustomerName])</f>
        <v>Ajay</v>
      </c>
      <c r="J623" t="str">
        <f>_xlfn.XLOOKUP(A623,Orders[OrderID],Orders[State])</f>
        <v>West Bengal</v>
      </c>
      <c r="K623" t="str">
        <f>_xlfn.XLOOKUP(A623,Orders[OrderID],Orders[City])</f>
        <v>Kolkata</v>
      </c>
      <c r="L623" s="3">
        <f>YEAR(Clean_Data[[#This Row],[OrderDate]])</f>
        <v>2018</v>
      </c>
      <c r="M623" s="3">
        <f>MONTH(Clean_Data[[#This Row],[OrderDate]])</f>
        <v>10</v>
      </c>
      <c r="N623" s="8" t="str">
        <f>TEXT(Clean_Data[[#This Row],[OrderDate]],"mmm")</f>
        <v>Oct</v>
      </c>
      <c r="O623" s="8" t="str">
        <f>TEXT(Clean_Data[[#This Row],[OrderDate]], "yyyy-mm")</f>
        <v>2018-10</v>
      </c>
      <c r="P623" s="7">
        <f>Clean_Data[[#This Row],[Profit]]/Clean_Data[[#This Row],[Revenue ]]</f>
        <v>0</v>
      </c>
      <c r="Q623" t="str">
        <f>"Q"&amp;ROUNDUP(MONTH(Clean_Data[[#This Row],[OrderDate]])/3,0)</f>
        <v>Q4</v>
      </c>
      <c r="R623" t="str">
        <f>TEXT(Clean_Data[[#This Row],[OrderDate]], "dddd")</f>
        <v>Tuesday</v>
      </c>
    </row>
    <row r="624" spans="1:18" x14ac:dyDescent="0.25">
      <c r="A624" t="s">
        <v>856</v>
      </c>
      <c r="B624" s="4">
        <v>299</v>
      </c>
      <c r="C624" s="4">
        <v>-8</v>
      </c>
      <c r="D624" s="3">
        <v>2</v>
      </c>
      <c r="E624" t="s">
        <v>895</v>
      </c>
      <c r="F624" t="s">
        <v>897</v>
      </c>
      <c r="G624" t="s">
        <v>887</v>
      </c>
      <c r="H624" s="6">
        <f>_xlfn.XLOOKUP(A624,Orders[OrderID],Orders[OrderDate])</f>
        <v>43221</v>
      </c>
      <c r="I624" t="str">
        <f>_xlfn.XLOOKUP(A624,Orders[OrderID],Orders[CustomerName])</f>
        <v>Sonal</v>
      </c>
      <c r="J624" t="str">
        <f>_xlfn.XLOOKUP(A624,Orders[OrderID],Orders[State])</f>
        <v>Bihar</v>
      </c>
      <c r="K624" t="str">
        <f>_xlfn.XLOOKUP(A624,Orders[OrderID],Orders[City])</f>
        <v>Patna</v>
      </c>
      <c r="L624" s="3">
        <f>YEAR(Clean_Data[[#This Row],[OrderDate]])</f>
        <v>2018</v>
      </c>
      <c r="M624" s="3">
        <f>MONTH(Clean_Data[[#This Row],[OrderDate]])</f>
        <v>5</v>
      </c>
      <c r="N624" s="8" t="str">
        <f>TEXT(Clean_Data[[#This Row],[OrderDate]],"mmm")</f>
        <v>May</v>
      </c>
      <c r="O624" s="8" t="str">
        <f>TEXT(Clean_Data[[#This Row],[OrderDate]], "yyyy-mm")</f>
        <v>2018-05</v>
      </c>
      <c r="P624" s="7">
        <f>Clean_Data[[#This Row],[Profit]]/Clean_Data[[#This Row],[Revenue ]]</f>
        <v>-2.6755852842809364E-2</v>
      </c>
      <c r="Q624" t="str">
        <f>"Q"&amp;ROUNDUP(MONTH(Clean_Data[[#This Row],[OrderDate]])/3,0)</f>
        <v>Q2</v>
      </c>
      <c r="R624" t="str">
        <f>TEXT(Clean_Data[[#This Row],[OrderDate]], "dddd")</f>
        <v>Tuesday</v>
      </c>
    </row>
    <row r="625" spans="1:18" x14ac:dyDescent="0.25">
      <c r="A625" t="s">
        <v>669</v>
      </c>
      <c r="B625" s="4">
        <v>124</v>
      </c>
      <c r="C625" s="4">
        <v>54</v>
      </c>
      <c r="D625" s="3">
        <v>5</v>
      </c>
      <c r="E625" t="s">
        <v>895</v>
      </c>
      <c r="F625" t="s">
        <v>906</v>
      </c>
      <c r="G625" t="s">
        <v>887</v>
      </c>
      <c r="H625" s="6">
        <f>_xlfn.XLOOKUP(A625,Orders[OrderID],Orders[OrderDate])</f>
        <v>43428</v>
      </c>
      <c r="I625" t="str">
        <f>_xlfn.XLOOKUP(A625,Orders[OrderID],Orders[CustomerName])</f>
        <v>Megha</v>
      </c>
      <c r="J625" t="str">
        <f>_xlfn.XLOOKUP(A625,Orders[OrderID],Orders[State])</f>
        <v>Rajasthan</v>
      </c>
      <c r="K625" t="str">
        <f>_xlfn.XLOOKUP(A625,Orders[OrderID],Orders[City])</f>
        <v>Udaipur</v>
      </c>
      <c r="L625" s="3">
        <f>YEAR(Clean_Data[[#This Row],[OrderDate]])</f>
        <v>2018</v>
      </c>
      <c r="M625" s="3">
        <f>MONTH(Clean_Data[[#This Row],[OrderDate]])</f>
        <v>11</v>
      </c>
      <c r="N625" s="8" t="str">
        <f>TEXT(Clean_Data[[#This Row],[OrderDate]],"mmm")</f>
        <v>Nov</v>
      </c>
      <c r="O625" s="8" t="str">
        <f>TEXT(Clean_Data[[#This Row],[OrderDate]], "yyyy-mm")</f>
        <v>2018-11</v>
      </c>
      <c r="P625" s="7">
        <f>Clean_Data[[#This Row],[Profit]]/Clean_Data[[#This Row],[Revenue ]]</f>
        <v>0.43548387096774194</v>
      </c>
      <c r="Q625" t="str">
        <f>"Q"&amp;ROUNDUP(MONTH(Clean_Data[[#This Row],[OrderDate]])/3,0)</f>
        <v>Q4</v>
      </c>
      <c r="R625" t="str">
        <f>TEXT(Clean_Data[[#This Row],[OrderDate]], "dddd")</f>
        <v>Saturday</v>
      </c>
    </row>
    <row r="626" spans="1:18" x14ac:dyDescent="0.25">
      <c r="A626" t="s">
        <v>116</v>
      </c>
      <c r="B626" s="4">
        <v>90</v>
      </c>
      <c r="C626" s="4">
        <v>17</v>
      </c>
      <c r="D626" s="3">
        <v>3</v>
      </c>
      <c r="E626" t="s">
        <v>895</v>
      </c>
      <c r="F626" t="s">
        <v>909</v>
      </c>
      <c r="G626" t="s">
        <v>887</v>
      </c>
      <c r="H626" s="6">
        <f>_xlfn.XLOOKUP(A626,Orders[OrderID],Orders[OrderDate])</f>
        <v>43293</v>
      </c>
      <c r="I626" t="str">
        <f>_xlfn.XLOOKUP(A626,Orders[OrderID],Orders[CustomerName])</f>
        <v>Manshul</v>
      </c>
      <c r="J626" t="str">
        <f>_xlfn.XLOOKUP(A626,Orders[OrderID],Orders[State])</f>
        <v>Uttar Pradesh</v>
      </c>
      <c r="K626" t="str">
        <f>_xlfn.XLOOKUP(A626,Orders[OrderID],Orders[City])</f>
        <v>Lucknow</v>
      </c>
      <c r="L626" s="3">
        <f>YEAR(Clean_Data[[#This Row],[OrderDate]])</f>
        <v>2018</v>
      </c>
      <c r="M626" s="3">
        <f>MONTH(Clean_Data[[#This Row],[OrderDate]])</f>
        <v>7</v>
      </c>
      <c r="N626" s="8" t="str">
        <f>TEXT(Clean_Data[[#This Row],[OrderDate]],"mmm")</f>
        <v>Jul</v>
      </c>
      <c r="O626" s="8" t="str">
        <f>TEXT(Clean_Data[[#This Row],[OrderDate]], "yyyy-mm")</f>
        <v>2018-07</v>
      </c>
      <c r="P626" s="7">
        <f>Clean_Data[[#This Row],[Profit]]/Clean_Data[[#This Row],[Revenue ]]</f>
        <v>0.18888888888888888</v>
      </c>
      <c r="Q626" t="str">
        <f>"Q"&amp;ROUNDUP(MONTH(Clean_Data[[#This Row],[OrderDate]])/3,0)</f>
        <v>Q3</v>
      </c>
      <c r="R626" t="str">
        <f>TEXT(Clean_Data[[#This Row],[OrderDate]], "dddd")</f>
        <v>Thursday</v>
      </c>
    </row>
    <row r="627" spans="1:18" x14ac:dyDescent="0.25">
      <c r="A627" t="s">
        <v>112</v>
      </c>
      <c r="B627" s="4">
        <v>122</v>
      </c>
      <c r="C627" s="4">
        <v>11</v>
      </c>
      <c r="D627" s="3">
        <v>4</v>
      </c>
      <c r="E627" t="s">
        <v>895</v>
      </c>
      <c r="F627" t="s">
        <v>899</v>
      </c>
      <c r="G627" t="s">
        <v>887</v>
      </c>
      <c r="H627" s="6">
        <f>_xlfn.XLOOKUP(A627,Orders[OrderID],Orders[OrderDate])</f>
        <v>43180</v>
      </c>
      <c r="I627" t="str">
        <f>_xlfn.XLOOKUP(A627,Orders[OrderID],Orders[CustomerName])</f>
        <v>Pournamasi</v>
      </c>
      <c r="J627" t="str">
        <f>_xlfn.XLOOKUP(A627,Orders[OrderID],Orders[State])</f>
        <v>Madhya Pradesh</v>
      </c>
      <c r="K627" t="str">
        <f>_xlfn.XLOOKUP(A627,Orders[OrderID],Orders[City])</f>
        <v>Indore</v>
      </c>
      <c r="L627" s="3">
        <f>YEAR(Clean_Data[[#This Row],[OrderDate]])</f>
        <v>2018</v>
      </c>
      <c r="M627" s="3">
        <f>MONTH(Clean_Data[[#This Row],[OrderDate]])</f>
        <v>3</v>
      </c>
      <c r="N627" s="8" t="str">
        <f>TEXT(Clean_Data[[#This Row],[OrderDate]],"mmm")</f>
        <v>Mar</v>
      </c>
      <c r="O627" s="8" t="str">
        <f>TEXT(Clean_Data[[#This Row],[OrderDate]], "yyyy-mm")</f>
        <v>2018-03</v>
      </c>
      <c r="P627" s="7">
        <f>Clean_Data[[#This Row],[Profit]]/Clean_Data[[#This Row],[Revenue ]]</f>
        <v>9.0163934426229511E-2</v>
      </c>
      <c r="Q627" t="str">
        <f>"Q"&amp;ROUNDUP(MONTH(Clean_Data[[#This Row],[OrderDate]])/3,0)</f>
        <v>Q1</v>
      </c>
      <c r="R627" t="str">
        <f>TEXT(Clean_Data[[#This Row],[OrderDate]], "dddd")</f>
        <v>Wednesday</v>
      </c>
    </row>
    <row r="628" spans="1:18" x14ac:dyDescent="0.25">
      <c r="A628" t="s">
        <v>671</v>
      </c>
      <c r="B628" s="4">
        <v>122</v>
      </c>
      <c r="C628" s="4">
        <v>-66</v>
      </c>
      <c r="D628" s="3">
        <v>9</v>
      </c>
      <c r="E628" t="s">
        <v>885</v>
      </c>
      <c r="F628" t="s">
        <v>905</v>
      </c>
      <c r="G628" t="s">
        <v>887</v>
      </c>
      <c r="H628" s="6">
        <f>_xlfn.XLOOKUP(A628,Orders[OrderID],Orders[OrderDate])</f>
        <v>43374</v>
      </c>
      <c r="I628" t="str">
        <f>_xlfn.XLOOKUP(A628,Orders[OrderID],Orders[CustomerName])</f>
        <v>Ishit</v>
      </c>
      <c r="J628" t="str">
        <f>_xlfn.XLOOKUP(A628,Orders[OrderID],Orders[State])</f>
        <v>Maharashtra</v>
      </c>
      <c r="K628" t="str">
        <f>_xlfn.XLOOKUP(A628,Orders[OrderID],Orders[City])</f>
        <v>Pune</v>
      </c>
      <c r="L628" s="3">
        <f>YEAR(Clean_Data[[#This Row],[OrderDate]])</f>
        <v>2018</v>
      </c>
      <c r="M628" s="3">
        <f>MONTH(Clean_Data[[#This Row],[OrderDate]])</f>
        <v>10</v>
      </c>
      <c r="N628" s="8" t="str">
        <f>TEXT(Clean_Data[[#This Row],[OrderDate]],"mmm")</f>
        <v>Oct</v>
      </c>
      <c r="O628" s="8" t="str">
        <f>TEXT(Clean_Data[[#This Row],[OrderDate]], "yyyy-mm")</f>
        <v>2018-10</v>
      </c>
      <c r="P628" s="7">
        <f>Clean_Data[[#This Row],[Profit]]/Clean_Data[[#This Row],[Revenue ]]</f>
        <v>-0.54098360655737709</v>
      </c>
      <c r="Q628" t="str">
        <f>"Q"&amp;ROUNDUP(MONTH(Clean_Data[[#This Row],[OrderDate]])/3,0)</f>
        <v>Q4</v>
      </c>
      <c r="R628" t="str">
        <f>TEXT(Clean_Data[[#This Row],[OrderDate]], "dddd")</f>
        <v>Monday</v>
      </c>
    </row>
    <row r="629" spans="1:18" x14ac:dyDescent="0.25">
      <c r="A629" t="s">
        <v>575</v>
      </c>
      <c r="B629" s="4">
        <v>90</v>
      </c>
      <c r="C629" s="4">
        <v>30</v>
      </c>
      <c r="D629" s="3">
        <v>2</v>
      </c>
      <c r="E629" t="s">
        <v>888</v>
      </c>
      <c r="F629" t="s">
        <v>889</v>
      </c>
      <c r="G629" t="s">
        <v>898</v>
      </c>
      <c r="H629" s="6">
        <f>_xlfn.XLOOKUP(A629,Orders[OrderID],Orders[OrderDate])</f>
        <v>43134</v>
      </c>
      <c r="I629" t="str">
        <f>_xlfn.XLOOKUP(A629,Orders[OrderID],Orders[CustomerName])</f>
        <v>Mansi</v>
      </c>
      <c r="J629" t="str">
        <f>_xlfn.XLOOKUP(A629,Orders[OrderID],Orders[State])</f>
        <v>Madhya Pradesh</v>
      </c>
      <c r="K629" t="str">
        <f>_xlfn.XLOOKUP(A629,Orders[OrderID],Orders[City])</f>
        <v>Indore</v>
      </c>
      <c r="L629" s="3">
        <f>YEAR(Clean_Data[[#This Row],[OrderDate]])</f>
        <v>2018</v>
      </c>
      <c r="M629" s="3">
        <f>MONTH(Clean_Data[[#This Row],[OrderDate]])</f>
        <v>2</v>
      </c>
      <c r="N629" s="8" t="str">
        <f>TEXT(Clean_Data[[#This Row],[OrderDate]],"mmm")</f>
        <v>Feb</v>
      </c>
      <c r="O629" s="8" t="str">
        <f>TEXT(Clean_Data[[#This Row],[OrderDate]], "yyyy-mm")</f>
        <v>2018-02</v>
      </c>
      <c r="P629" s="7">
        <f>Clean_Data[[#This Row],[Profit]]/Clean_Data[[#This Row],[Revenue ]]</f>
        <v>0.33333333333333331</v>
      </c>
      <c r="Q629" t="str">
        <f>"Q"&amp;ROUNDUP(MONTH(Clean_Data[[#This Row],[OrderDate]])/3,0)</f>
        <v>Q1</v>
      </c>
      <c r="R629" t="str">
        <f>TEXT(Clean_Data[[#This Row],[OrderDate]], "dddd")</f>
        <v>Saturday</v>
      </c>
    </row>
    <row r="630" spans="1:18" x14ac:dyDescent="0.25">
      <c r="A630" t="s">
        <v>239</v>
      </c>
      <c r="B630" s="4">
        <v>182</v>
      </c>
      <c r="C630" s="4">
        <v>-11</v>
      </c>
      <c r="D630" s="3">
        <v>3</v>
      </c>
      <c r="E630" t="s">
        <v>888</v>
      </c>
      <c r="F630" t="s">
        <v>891</v>
      </c>
      <c r="G630" t="s">
        <v>893</v>
      </c>
      <c r="H630" s="6">
        <f>_xlfn.XLOOKUP(A630,Orders[OrderID],Orders[OrderDate])</f>
        <v>43216</v>
      </c>
      <c r="I630" t="str">
        <f>_xlfn.XLOOKUP(A630,Orders[OrderID],Orders[CustomerName])</f>
        <v>Parth</v>
      </c>
      <c r="J630" t="str">
        <f>_xlfn.XLOOKUP(A630,Orders[OrderID],Orders[State])</f>
        <v>Maharashtra</v>
      </c>
      <c r="K630" t="str">
        <f>_xlfn.XLOOKUP(A630,Orders[OrderID],Orders[City])</f>
        <v>Pune</v>
      </c>
      <c r="L630" s="3">
        <f>YEAR(Clean_Data[[#This Row],[OrderDate]])</f>
        <v>2018</v>
      </c>
      <c r="M630" s="3">
        <f>MONTH(Clean_Data[[#This Row],[OrderDate]])</f>
        <v>4</v>
      </c>
      <c r="N630" s="8" t="str">
        <f>TEXT(Clean_Data[[#This Row],[OrderDate]],"mmm")</f>
        <v>Apr</v>
      </c>
      <c r="O630" s="8" t="str">
        <f>TEXT(Clean_Data[[#This Row],[OrderDate]], "yyyy-mm")</f>
        <v>2018-04</v>
      </c>
      <c r="P630" s="7">
        <f>Clean_Data[[#This Row],[Profit]]/Clean_Data[[#This Row],[Revenue ]]</f>
        <v>-6.043956043956044E-2</v>
      </c>
      <c r="Q630" t="str">
        <f>"Q"&amp;ROUNDUP(MONTH(Clean_Data[[#This Row],[OrderDate]])/3,0)</f>
        <v>Q2</v>
      </c>
      <c r="R630" t="str">
        <f>TEXT(Clean_Data[[#This Row],[OrderDate]], "dddd")</f>
        <v>Thursday</v>
      </c>
    </row>
    <row r="631" spans="1:18" x14ac:dyDescent="0.25">
      <c r="A631" t="s">
        <v>675</v>
      </c>
      <c r="B631" s="4">
        <v>122</v>
      </c>
      <c r="C631" s="4">
        <v>59</v>
      </c>
      <c r="D631" s="3">
        <v>7</v>
      </c>
      <c r="E631" t="s">
        <v>888</v>
      </c>
      <c r="F631" t="s">
        <v>908</v>
      </c>
      <c r="G631" t="s">
        <v>887</v>
      </c>
      <c r="H631" s="6">
        <f>_xlfn.XLOOKUP(A631,Orders[OrderID],Orders[OrderDate])</f>
        <v>43148</v>
      </c>
      <c r="I631" t="str">
        <f>_xlfn.XLOOKUP(A631,Orders[OrderID],Orders[CustomerName])</f>
        <v>Anita</v>
      </c>
      <c r="J631" t="str">
        <f>_xlfn.XLOOKUP(A631,Orders[OrderID],Orders[State])</f>
        <v xml:space="preserve">Kerala </v>
      </c>
      <c r="K631" t="str">
        <f>_xlfn.XLOOKUP(A631,Orders[OrderID],Orders[City])</f>
        <v>Thiruvananthapuram</v>
      </c>
      <c r="L631" s="3">
        <f>YEAR(Clean_Data[[#This Row],[OrderDate]])</f>
        <v>2018</v>
      </c>
      <c r="M631" s="3">
        <f>MONTH(Clean_Data[[#This Row],[OrderDate]])</f>
        <v>2</v>
      </c>
      <c r="N631" s="8" t="str">
        <f>TEXT(Clean_Data[[#This Row],[OrderDate]],"mmm")</f>
        <v>Feb</v>
      </c>
      <c r="O631" s="8" t="str">
        <f>TEXT(Clean_Data[[#This Row],[OrderDate]], "yyyy-mm")</f>
        <v>2018-02</v>
      </c>
      <c r="P631" s="7">
        <f>Clean_Data[[#This Row],[Profit]]/Clean_Data[[#This Row],[Revenue ]]</f>
        <v>0.48360655737704916</v>
      </c>
      <c r="Q631" t="str">
        <f>"Q"&amp;ROUNDUP(MONTH(Clean_Data[[#This Row],[OrderDate]])/3,0)</f>
        <v>Q1</v>
      </c>
      <c r="R631" t="str">
        <f>TEXT(Clean_Data[[#This Row],[OrderDate]], "dddd")</f>
        <v>Saturday</v>
      </c>
    </row>
    <row r="632" spans="1:18" x14ac:dyDescent="0.25">
      <c r="A632" t="s">
        <v>678</v>
      </c>
      <c r="B632" s="4">
        <v>121</v>
      </c>
      <c r="C632" s="4">
        <v>19</v>
      </c>
      <c r="D632" s="3">
        <v>4</v>
      </c>
      <c r="E632" t="s">
        <v>895</v>
      </c>
      <c r="F632" t="s">
        <v>903</v>
      </c>
      <c r="G632" t="s">
        <v>887</v>
      </c>
      <c r="H632" s="6">
        <f>_xlfn.XLOOKUP(A632,Orders[OrderID],Orders[OrderDate])</f>
        <v>43430</v>
      </c>
      <c r="I632" t="str">
        <f>_xlfn.XLOOKUP(A632,Orders[OrderID],Orders[CustomerName])</f>
        <v>Masurkar</v>
      </c>
      <c r="J632" t="str">
        <f>_xlfn.XLOOKUP(A632,Orders[OrderID],Orders[State])</f>
        <v>Punjab</v>
      </c>
      <c r="K632" t="str">
        <f>_xlfn.XLOOKUP(A632,Orders[OrderID],Orders[City])</f>
        <v>Amritsar</v>
      </c>
      <c r="L632" s="3">
        <f>YEAR(Clean_Data[[#This Row],[OrderDate]])</f>
        <v>2018</v>
      </c>
      <c r="M632" s="3">
        <f>MONTH(Clean_Data[[#This Row],[OrderDate]])</f>
        <v>11</v>
      </c>
      <c r="N632" s="8" t="str">
        <f>TEXT(Clean_Data[[#This Row],[OrderDate]],"mmm")</f>
        <v>Nov</v>
      </c>
      <c r="O632" s="8" t="str">
        <f>TEXT(Clean_Data[[#This Row],[OrderDate]], "yyyy-mm")</f>
        <v>2018-11</v>
      </c>
      <c r="P632" s="7">
        <f>Clean_Data[[#This Row],[Profit]]/Clean_Data[[#This Row],[Revenue ]]</f>
        <v>0.15702479338842976</v>
      </c>
      <c r="Q632" t="str">
        <f>"Q"&amp;ROUNDUP(MONTH(Clean_Data[[#This Row],[OrderDate]])/3,0)</f>
        <v>Q4</v>
      </c>
      <c r="R632" t="str">
        <f>TEXT(Clean_Data[[#This Row],[OrderDate]], "dddd")</f>
        <v>Monday</v>
      </c>
    </row>
    <row r="633" spans="1:18" x14ac:dyDescent="0.25">
      <c r="A633" t="s">
        <v>350</v>
      </c>
      <c r="B633" s="4">
        <v>120</v>
      </c>
      <c r="C633" s="4">
        <v>1</v>
      </c>
      <c r="D633" s="3">
        <v>1</v>
      </c>
      <c r="E633" t="s">
        <v>888</v>
      </c>
      <c r="F633" t="s">
        <v>889</v>
      </c>
      <c r="G633" t="s">
        <v>887</v>
      </c>
      <c r="H633" s="6">
        <f>_xlfn.XLOOKUP(A633,Orders[OrderID],Orders[OrderDate])</f>
        <v>43168</v>
      </c>
      <c r="I633" t="str">
        <f>_xlfn.XLOOKUP(A633,Orders[OrderID],Orders[CustomerName])</f>
        <v>Kirti</v>
      </c>
      <c r="J633" t="str">
        <f>_xlfn.XLOOKUP(A633,Orders[OrderID],Orders[State])</f>
        <v>Jammu and Kashmir</v>
      </c>
      <c r="K633" t="str">
        <f>_xlfn.XLOOKUP(A633,Orders[OrderID],Orders[City])</f>
        <v>Kashmir</v>
      </c>
      <c r="L633" s="3">
        <f>YEAR(Clean_Data[[#This Row],[OrderDate]])</f>
        <v>2018</v>
      </c>
      <c r="M633" s="3">
        <f>MONTH(Clean_Data[[#This Row],[OrderDate]])</f>
        <v>3</v>
      </c>
      <c r="N633" s="8" t="str">
        <f>TEXT(Clean_Data[[#This Row],[OrderDate]],"mmm")</f>
        <v>Mar</v>
      </c>
      <c r="O633" s="8" t="str">
        <f>TEXT(Clean_Data[[#This Row],[OrderDate]], "yyyy-mm")</f>
        <v>2018-03</v>
      </c>
      <c r="P633" s="7">
        <f>Clean_Data[[#This Row],[Profit]]/Clean_Data[[#This Row],[Revenue ]]</f>
        <v>8.3333333333333332E-3</v>
      </c>
      <c r="Q633" t="str">
        <f>"Q"&amp;ROUNDUP(MONTH(Clean_Data[[#This Row],[OrderDate]])/3,0)</f>
        <v>Q1</v>
      </c>
      <c r="R633" t="str">
        <f>TEXT(Clean_Data[[#This Row],[OrderDate]], "dddd")</f>
        <v>Friday</v>
      </c>
    </row>
    <row r="634" spans="1:18" x14ac:dyDescent="0.25">
      <c r="A634" t="s">
        <v>284</v>
      </c>
      <c r="B634" s="4">
        <v>120</v>
      </c>
      <c r="C634" s="4">
        <v>23</v>
      </c>
      <c r="D634" s="3">
        <v>5</v>
      </c>
      <c r="E634" t="s">
        <v>895</v>
      </c>
      <c r="F634" t="s">
        <v>903</v>
      </c>
      <c r="G634" t="s">
        <v>887</v>
      </c>
      <c r="H634" s="6">
        <f>_xlfn.XLOOKUP(A634,Orders[OrderID],Orders[OrderDate])</f>
        <v>43113</v>
      </c>
      <c r="I634" t="str">
        <f>_xlfn.XLOOKUP(A634,Orders[OrderID],Orders[CustomerName])</f>
        <v>Jesal</v>
      </c>
      <c r="J634" t="str">
        <f>_xlfn.XLOOKUP(A634,Orders[OrderID],Orders[State])</f>
        <v>West Bengal</v>
      </c>
      <c r="K634" t="str">
        <f>_xlfn.XLOOKUP(A634,Orders[OrderID],Orders[City])</f>
        <v>Kolkata</v>
      </c>
      <c r="L634" s="3">
        <f>YEAR(Clean_Data[[#This Row],[OrderDate]])</f>
        <v>2018</v>
      </c>
      <c r="M634" s="3">
        <f>MONTH(Clean_Data[[#This Row],[OrderDate]])</f>
        <v>1</v>
      </c>
      <c r="N634" s="8" t="str">
        <f>TEXT(Clean_Data[[#This Row],[OrderDate]],"mmm")</f>
        <v>Jan</v>
      </c>
      <c r="O634" s="8" t="str">
        <f>TEXT(Clean_Data[[#This Row],[OrderDate]], "yyyy-mm")</f>
        <v>2018-01</v>
      </c>
      <c r="P634" s="7">
        <f>Clean_Data[[#This Row],[Profit]]/Clean_Data[[#This Row],[Revenue ]]</f>
        <v>0.19166666666666668</v>
      </c>
      <c r="Q634" t="str">
        <f>"Q"&amp;ROUNDUP(MONTH(Clean_Data[[#This Row],[OrderDate]])/3,0)</f>
        <v>Q1</v>
      </c>
      <c r="R634" t="str">
        <f>TEXT(Clean_Data[[#This Row],[OrderDate]], "dddd")</f>
        <v>Saturday</v>
      </c>
    </row>
    <row r="635" spans="1:18" x14ac:dyDescent="0.25">
      <c r="A635" t="s">
        <v>16</v>
      </c>
      <c r="B635" s="4">
        <v>34</v>
      </c>
      <c r="C635" s="4">
        <v>-11</v>
      </c>
      <c r="D635" s="3">
        <v>5</v>
      </c>
      <c r="E635" t="s">
        <v>895</v>
      </c>
      <c r="F635" t="s">
        <v>906</v>
      </c>
      <c r="G635" t="s">
        <v>887</v>
      </c>
      <c r="H635" s="6">
        <f>_xlfn.XLOOKUP(A635,Orders[OrderID],Orders[OrderDate])</f>
        <v>43333</v>
      </c>
      <c r="I635" t="str">
        <f>_xlfn.XLOOKUP(A635,Orders[OrderID],Orders[CustomerName])</f>
        <v>Vishakha</v>
      </c>
      <c r="J635" t="str">
        <f>_xlfn.XLOOKUP(A635,Orders[OrderID],Orders[State])</f>
        <v>Madhya Pradesh</v>
      </c>
      <c r="K635" t="str">
        <f>_xlfn.XLOOKUP(A635,Orders[OrderID],Orders[City])</f>
        <v>Indore</v>
      </c>
      <c r="L635" s="3">
        <f>YEAR(Clean_Data[[#This Row],[OrderDate]])</f>
        <v>2018</v>
      </c>
      <c r="M635" s="3">
        <f>MONTH(Clean_Data[[#This Row],[OrderDate]])</f>
        <v>8</v>
      </c>
      <c r="N635" s="8" t="str">
        <f>TEXT(Clean_Data[[#This Row],[OrderDate]],"mmm")</f>
        <v>Aug</v>
      </c>
      <c r="O635" s="8" t="str">
        <f>TEXT(Clean_Data[[#This Row],[OrderDate]], "yyyy-mm")</f>
        <v>2018-08</v>
      </c>
      <c r="P635" s="7">
        <f>Clean_Data[[#This Row],[Profit]]/Clean_Data[[#This Row],[Revenue ]]</f>
        <v>-0.3235294117647059</v>
      </c>
      <c r="Q635" t="str">
        <f>"Q"&amp;ROUNDUP(MONTH(Clean_Data[[#This Row],[OrderDate]])/3,0)</f>
        <v>Q3</v>
      </c>
      <c r="R635" t="str">
        <f>TEXT(Clean_Data[[#This Row],[OrderDate]], "dddd")</f>
        <v>Tuesday</v>
      </c>
    </row>
    <row r="636" spans="1:18" x14ac:dyDescent="0.25">
      <c r="A636" t="s">
        <v>198</v>
      </c>
      <c r="B636" s="4">
        <v>117</v>
      </c>
      <c r="C636" s="4">
        <v>17</v>
      </c>
      <c r="D636" s="3">
        <v>6</v>
      </c>
      <c r="E636" t="s">
        <v>895</v>
      </c>
      <c r="F636" t="s">
        <v>900</v>
      </c>
      <c r="G636" t="s">
        <v>887</v>
      </c>
      <c r="H636" s="6">
        <f>_xlfn.XLOOKUP(A636,Orders[OrderID],Orders[OrderDate])</f>
        <v>43353</v>
      </c>
      <c r="I636" t="str">
        <f>_xlfn.XLOOKUP(A636,Orders[OrderID],Orders[CustomerName])</f>
        <v>Aditi</v>
      </c>
      <c r="J636" t="str">
        <f>_xlfn.XLOOKUP(A636,Orders[OrderID],Orders[State])</f>
        <v>Madhya Pradesh</v>
      </c>
      <c r="K636" t="str">
        <f>_xlfn.XLOOKUP(A636,Orders[OrderID],Orders[City])</f>
        <v>Indore</v>
      </c>
      <c r="L636" s="3">
        <f>YEAR(Clean_Data[[#This Row],[OrderDate]])</f>
        <v>2018</v>
      </c>
      <c r="M636" s="3">
        <f>MONTH(Clean_Data[[#This Row],[OrderDate]])</f>
        <v>9</v>
      </c>
      <c r="N636" s="8" t="str">
        <f>TEXT(Clean_Data[[#This Row],[OrderDate]],"mmm")</f>
        <v>Sep</v>
      </c>
      <c r="O636" s="8" t="str">
        <f>TEXT(Clean_Data[[#This Row],[OrderDate]], "yyyy-mm")</f>
        <v>2018-09</v>
      </c>
      <c r="P636" s="7">
        <f>Clean_Data[[#This Row],[Profit]]/Clean_Data[[#This Row],[Revenue ]]</f>
        <v>0.14529914529914531</v>
      </c>
      <c r="Q636" t="str">
        <f>"Q"&amp;ROUNDUP(MONTH(Clean_Data[[#This Row],[OrderDate]])/3,0)</f>
        <v>Q3</v>
      </c>
      <c r="R636" t="str">
        <f>TEXT(Clean_Data[[#This Row],[OrderDate]], "dddd")</f>
        <v>Monday</v>
      </c>
    </row>
    <row r="637" spans="1:18" x14ac:dyDescent="0.25">
      <c r="A637" t="s">
        <v>252</v>
      </c>
      <c r="B637" s="4">
        <v>38</v>
      </c>
      <c r="C637" s="4">
        <v>9</v>
      </c>
      <c r="D637" s="3">
        <v>2</v>
      </c>
      <c r="E637" t="s">
        <v>895</v>
      </c>
      <c r="F637" t="s">
        <v>903</v>
      </c>
      <c r="G637" t="s">
        <v>887</v>
      </c>
      <c r="H637" s="6">
        <f>_xlfn.XLOOKUP(A637,Orders[OrderID],Orders[OrderDate])</f>
        <v>43157</v>
      </c>
      <c r="I637" t="str">
        <f>_xlfn.XLOOKUP(A637,Orders[OrderID],Orders[CustomerName])</f>
        <v>Sahil</v>
      </c>
      <c r="J637" t="str">
        <f>_xlfn.XLOOKUP(A637,Orders[OrderID],Orders[State])</f>
        <v>Punjab</v>
      </c>
      <c r="K637" t="str">
        <f>_xlfn.XLOOKUP(A637,Orders[OrderID],Orders[City])</f>
        <v>Chandigarh</v>
      </c>
      <c r="L637" s="3">
        <f>YEAR(Clean_Data[[#This Row],[OrderDate]])</f>
        <v>2018</v>
      </c>
      <c r="M637" s="3">
        <f>MONTH(Clean_Data[[#This Row],[OrderDate]])</f>
        <v>2</v>
      </c>
      <c r="N637" s="8" t="str">
        <f>TEXT(Clean_Data[[#This Row],[OrderDate]],"mmm")</f>
        <v>Feb</v>
      </c>
      <c r="O637" s="8" t="str">
        <f>TEXT(Clean_Data[[#This Row],[OrderDate]], "yyyy-mm")</f>
        <v>2018-02</v>
      </c>
      <c r="P637" s="7">
        <f>Clean_Data[[#This Row],[Profit]]/Clean_Data[[#This Row],[Revenue ]]</f>
        <v>0.23684210526315788</v>
      </c>
      <c r="Q637" t="str">
        <f>"Q"&amp;ROUNDUP(MONTH(Clean_Data[[#This Row],[OrderDate]])/3,0)</f>
        <v>Q1</v>
      </c>
      <c r="R637" t="str">
        <f>TEXT(Clean_Data[[#This Row],[OrderDate]], "dddd")</f>
        <v>Monday</v>
      </c>
    </row>
    <row r="638" spans="1:18" x14ac:dyDescent="0.25">
      <c r="A638" t="s">
        <v>237</v>
      </c>
      <c r="B638" s="4">
        <v>117</v>
      </c>
      <c r="C638" s="4">
        <v>-6</v>
      </c>
      <c r="D638" s="3">
        <v>3</v>
      </c>
      <c r="E638" t="s">
        <v>885</v>
      </c>
      <c r="F638" t="s">
        <v>894</v>
      </c>
      <c r="G638" t="s">
        <v>887</v>
      </c>
      <c r="H638" s="6">
        <f>_xlfn.XLOOKUP(A638,Orders[OrderID],Orders[OrderDate])</f>
        <v>43272</v>
      </c>
      <c r="I638" t="str">
        <f>_xlfn.XLOOKUP(A638,Orders[OrderID],Orders[CustomerName])</f>
        <v>Noopur</v>
      </c>
      <c r="J638" t="str">
        <f>_xlfn.XLOOKUP(A638,Orders[OrderID],Orders[State])</f>
        <v>Karnataka</v>
      </c>
      <c r="K638" t="str">
        <f>_xlfn.XLOOKUP(A638,Orders[OrderID],Orders[City])</f>
        <v>Bangalore</v>
      </c>
      <c r="L638" s="3">
        <f>YEAR(Clean_Data[[#This Row],[OrderDate]])</f>
        <v>2018</v>
      </c>
      <c r="M638" s="3">
        <f>MONTH(Clean_Data[[#This Row],[OrderDate]])</f>
        <v>6</v>
      </c>
      <c r="N638" s="8" t="str">
        <f>TEXT(Clean_Data[[#This Row],[OrderDate]],"mmm")</f>
        <v>Jun</v>
      </c>
      <c r="O638" s="8" t="str">
        <f>TEXT(Clean_Data[[#This Row],[OrderDate]], "yyyy-mm")</f>
        <v>2018-06</v>
      </c>
      <c r="P638" s="7">
        <f>Clean_Data[[#This Row],[Profit]]/Clean_Data[[#This Row],[Revenue ]]</f>
        <v>-5.128205128205128E-2</v>
      </c>
      <c r="Q638" t="str">
        <f>"Q"&amp;ROUNDUP(MONTH(Clean_Data[[#This Row],[OrderDate]])/3,0)</f>
        <v>Q2</v>
      </c>
      <c r="R638" t="str">
        <f>TEXT(Clean_Data[[#This Row],[OrderDate]], "dddd")</f>
        <v>Thursday</v>
      </c>
    </row>
    <row r="639" spans="1:18" x14ac:dyDescent="0.25">
      <c r="A639" t="s">
        <v>579</v>
      </c>
      <c r="B639" s="4">
        <v>180</v>
      </c>
      <c r="C639" s="4">
        <v>54</v>
      </c>
      <c r="D639" s="3">
        <v>4</v>
      </c>
      <c r="E639" t="s">
        <v>895</v>
      </c>
      <c r="F639" t="s">
        <v>906</v>
      </c>
      <c r="G639" t="s">
        <v>893</v>
      </c>
      <c r="H639" s="6">
        <f>_xlfn.XLOOKUP(A639,Orders[OrderID],Orders[OrderDate])</f>
        <v>43127</v>
      </c>
      <c r="I639" t="str">
        <f>_xlfn.XLOOKUP(A639,Orders[OrderID],Orders[CustomerName])</f>
        <v>Aayushi</v>
      </c>
      <c r="J639" t="str">
        <f>_xlfn.XLOOKUP(A639,Orders[OrderID],Orders[State])</f>
        <v>Gujarat</v>
      </c>
      <c r="K639" t="str">
        <f>_xlfn.XLOOKUP(A639,Orders[OrderID],Orders[City])</f>
        <v>Surat</v>
      </c>
      <c r="L639" s="3">
        <f>YEAR(Clean_Data[[#This Row],[OrderDate]])</f>
        <v>2018</v>
      </c>
      <c r="M639" s="3">
        <f>MONTH(Clean_Data[[#This Row],[OrderDate]])</f>
        <v>1</v>
      </c>
      <c r="N639" s="8" t="str">
        <f>TEXT(Clean_Data[[#This Row],[OrderDate]],"mmm")</f>
        <v>Jan</v>
      </c>
      <c r="O639" s="8" t="str">
        <f>TEXT(Clean_Data[[#This Row],[OrderDate]], "yyyy-mm")</f>
        <v>2018-01</v>
      </c>
      <c r="P639" s="7">
        <f>Clean_Data[[#This Row],[Profit]]/Clean_Data[[#This Row],[Revenue ]]</f>
        <v>0.3</v>
      </c>
      <c r="Q639" t="str">
        <f>"Q"&amp;ROUNDUP(MONTH(Clean_Data[[#This Row],[OrderDate]])/3,0)</f>
        <v>Q1</v>
      </c>
      <c r="R639" t="str">
        <f>TEXT(Clean_Data[[#This Row],[OrderDate]], "dddd")</f>
        <v>Saturday</v>
      </c>
    </row>
    <row r="640" spans="1:18" x14ac:dyDescent="0.25">
      <c r="A640" t="s">
        <v>385</v>
      </c>
      <c r="B640" s="4">
        <v>99</v>
      </c>
      <c r="C640" s="4">
        <v>-5</v>
      </c>
      <c r="D640" s="3">
        <v>1</v>
      </c>
      <c r="E640" t="s">
        <v>895</v>
      </c>
      <c r="F640" t="s">
        <v>897</v>
      </c>
      <c r="G640" t="s">
        <v>898</v>
      </c>
      <c r="H640" s="6">
        <f>_xlfn.XLOOKUP(A640,Orders[OrderID],Orders[OrderDate])</f>
        <v>43319</v>
      </c>
      <c r="I640" t="str">
        <f>_xlfn.XLOOKUP(A640,Orders[OrderID],Orders[CustomerName])</f>
        <v>Aman</v>
      </c>
      <c r="J640" t="str">
        <f>_xlfn.XLOOKUP(A640,Orders[OrderID],Orders[State])</f>
        <v>Nagaland</v>
      </c>
      <c r="K640" t="str">
        <f>_xlfn.XLOOKUP(A640,Orders[OrderID],Orders[City])</f>
        <v>Kohima</v>
      </c>
      <c r="L640" s="3">
        <f>YEAR(Clean_Data[[#This Row],[OrderDate]])</f>
        <v>2018</v>
      </c>
      <c r="M640" s="3">
        <f>MONTH(Clean_Data[[#This Row],[OrderDate]])</f>
        <v>8</v>
      </c>
      <c r="N640" s="8" t="str">
        <f>TEXT(Clean_Data[[#This Row],[OrderDate]],"mmm")</f>
        <v>Aug</v>
      </c>
      <c r="O640" s="8" t="str">
        <f>TEXT(Clean_Data[[#This Row],[OrderDate]], "yyyy-mm")</f>
        <v>2018-08</v>
      </c>
      <c r="P640" s="7">
        <f>Clean_Data[[#This Row],[Profit]]/Clean_Data[[#This Row],[Revenue ]]</f>
        <v>-5.0505050505050504E-2</v>
      </c>
      <c r="Q640" t="str">
        <f>"Q"&amp;ROUNDUP(MONTH(Clean_Data[[#This Row],[OrderDate]])/3,0)</f>
        <v>Q3</v>
      </c>
      <c r="R640" t="str">
        <f>TEXT(Clean_Data[[#This Row],[OrderDate]], "dddd")</f>
        <v>Tuesday</v>
      </c>
    </row>
    <row r="641" spans="1:18" x14ac:dyDescent="0.25">
      <c r="A641" t="s">
        <v>258</v>
      </c>
      <c r="B641" s="4">
        <v>172</v>
      </c>
      <c r="C641" s="4">
        <v>-103</v>
      </c>
      <c r="D641" s="3">
        <v>3</v>
      </c>
      <c r="E641" t="s">
        <v>888</v>
      </c>
      <c r="F641" t="s">
        <v>889</v>
      </c>
      <c r="G641" t="s">
        <v>890</v>
      </c>
      <c r="H641" s="6">
        <f>_xlfn.XLOOKUP(A641,Orders[OrderID],Orders[OrderDate])</f>
        <v>43227</v>
      </c>
      <c r="I641" t="str">
        <f>_xlfn.XLOOKUP(A641,Orders[OrderID],Orders[CustomerName])</f>
        <v>Anurag</v>
      </c>
      <c r="J641" t="str">
        <f>_xlfn.XLOOKUP(A641,Orders[OrderID],Orders[State])</f>
        <v>Madhya Pradesh</v>
      </c>
      <c r="K641" t="str">
        <f>_xlfn.XLOOKUP(A641,Orders[OrderID],Orders[City])</f>
        <v>Indore</v>
      </c>
      <c r="L641" s="3">
        <f>YEAR(Clean_Data[[#This Row],[OrderDate]])</f>
        <v>2018</v>
      </c>
      <c r="M641" s="3">
        <f>MONTH(Clean_Data[[#This Row],[OrderDate]])</f>
        <v>5</v>
      </c>
      <c r="N641" s="8" t="str">
        <f>TEXT(Clean_Data[[#This Row],[OrderDate]],"mmm")</f>
        <v>May</v>
      </c>
      <c r="O641" s="8" t="str">
        <f>TEXT(Clean_Data[[#This Row],[OrderDate]], "yyyy-mm")</f>
        <v>2018-05</v>
      </c>
      <c r="P641" s="7">
        <f>Clean_Data[[#This Row],[Profit]]/Clean_Data[[#This Row],[Revenue ]]</f>
        <v>-0.59883720930232553</v>
      </c>
      <c r="Q641" t="str">
        <f>"Q"&amp;ROUNDUP(MONTH(Clean_Data[[#This Row],[OrderDate]])/3,0)</f>
        <v>Q2</v>
      </c>
      <c r="R641" t="str">
        <f>TEXT(Clean_Data[[#This Row],[OrderDate]], "dddd")</f>
        <v>Monday</v>
      </c>
    </row>
    <row r="642" spans="1:18" x14ac:dyDescent="0.25">
      <c r="A642" t="s">
        <v>134</v>
      </c>
      <c r="B642" s="4">
        <v>116</v>
      </c>
      <c r="C642" s="4">
        <v>16</v>
      </c>
      <c r="D642" s="3">
        <v>4</v>
      </c>
      <c r="E642" t="s">
        <v>895</v>
      </c>
      <c r="F642" t="s">
        <v>903</v>
      </c>
      <c r="G642" t="s">
        <v>887</v>
      </c>
      <c r="H642" s="6">
        <f>_xlfn.XLOOKUP(A642,Orders[OrderID],Orders[OrderDate])</f>
        <v>43193</v>
      </c>
      <c r="I642" t="str">
        <f>_xlfn.XLOOKUP(A642,Orders[OrderID],Orders[CustomerName])</f>
        <v>Jahan</v>
      </c>
      <c r="J642" t="str">
        <f>_xlfn.XLOOKUP(A642,Orders[OrderID],Orders[State])</f>
        <v>Madhya Pradesh</v>
      </c>
      <c r="K642" t="str">
        <f>_xlfn.XLOOKUP(A642,Orders[OrderID],Orders[City])</f>
        <v>Bhopal</v>
      </c>
      <c r="L642" s="3">
        <f>YEAR(Clean_Data[[#This Row],[OrderDate]])</f>
        <v>2018</v>
      </c>
      <c r="M642" s="3">
        <f>MONTH(Clean_Data[[#This Row],[OrderDate]])</f>
        <v>4</v>
      </c>
      <c r="N642" s="8" t="str">
        <f>TEXT(Clean_Data[[#This Row],[OrderDate]],"mmm")</f>
        <v>Apr</v>
      </c>
      <c r="O642" s="8" t="str">
        <f>TEXT(Clean_Data[[#This Row],[OrderDate]], "yyyy-mm")</f>
        <v>2018-04</v>
      </c>
      <c r="P642" s="7">
        <f>Clean_Data[[#This Row],[Profit]]/Clean_Data[[#This Row],[Revenue ]]</f>
        <v>0.13793103448275862</v>
      </c>
      <c r="Q642" t="str">
        <f>"Q"&amp;ROUNDUP(MONTH(Clean_Data[[#This Row],[OrderDate]])/3,0)</f>
        <v>Q2</v>
      </c>
      <c r="R642" t="str">
        <f>TEXT(Clean_Data[[#This Row],[OrderDate]], "dddd")</f>
        <v>Tuesday</v>
      </c>
    </row>
    <row r="643" spans="1:18" x14ac:dyDescent="0.25">
      <c r="A643" t="s">
        <v>237</v>
      </c>
      <c r="B643" s="4">
        <v>116</v>
      </c>
      <c r="C643" s="4">
        <v>-4</v>
      </c>
      <c r="D643" s="3">
        <v>1</v>
      </c>
      <c r="E643" t="s">
        <v>895</v>
      </c>
      <c r="F643" t="s">
        <v>897</v>
      </c>
      <c r="G643" t="s">
        <v>887</v>
      </c>
      <c r="H643" s="6">
        <f>_xlfn.XLOOKUP(A643,Orders[OrderID],Orders[OrderDate])</f>
        <v>43272</v>
      </c>
      <c r="I643" t="str">
        <f>_xlfn.XLOOKUP(A643,Orders[OrderID],Orders[CustomerName])</f>
        <v>Noopur</v>
      </c>
      <c r="J643" t="str">
        <f>_xlfn.XLOOKUP(A643,Orders[OrderID],Orders[State])</f>
        <v>Karnataka</v>
      </c>
      <c r="K643" t="str">
        <f>_xlfn.XLOOKUP(A643,Orders[OrderID],Orders[City])</f>
        <v>Bangalore</v>
      </c>
      <c r="L643" s="3">
        <f>YEAR(Clean_Data[[#This Row],[OrderDate]])</f>
        <v>2018</v>
      </c>
      <c r="M643" s="3">
        <f>MONTH(Clean_Data[[#This Row],[OrderDate]])</f>
        <v>6</v>
      </c>
      <c r="N643" s="8" t="str">
        <f>TEXT(Clean_Data[[#This Row],[OrderDate]],"mmm")</f>
        <v>Jun</v>
      </c>
      <c r="O643" s="8" t="str">
        <f>TEXT(Clean_Data[[#This Row],[OrderDate]], "yyyy-mm")</f>
        <v>2018-06</v>
      </c>
      <c r="P643" s="7">
        <f>Clean_Data[[#This Row],[Profit]]/Clean_Data[[#This Row],[Revenue ]]</f>
        <v>-3.4482758620689655E-2</v>
      </c>
      <c r="Q643" t="str">
        <f>"Q"&amp;ROUNDUP(MONTH(Clean_Data[[#This Row],[OrderDate]])/3,0)</f>
        <v>Q2</v>
      </c>
      <c r="R643" t="str">
        <f>TEXT(Clean_Data[[#This Row],[OrderDate]], "dddd")</f>
        <v>Thursday</v>
      </c>
    </row>
    <row r="644" spans="1:18" x14ac:dyDescent="0.25">
      <c r="A644" t="s">
        <v>590</v>
      </c>
      <c r="B644" s="4">
        <v>171</v>
      </c>
      <c r="C644" s="4">
        <v>68</v>
      </c>
      <c r="D644" s="3">
        <v>7</v>
      </c>
      <c r="E644" t="s">
        <v>895</v>
      </c>
      <c r="F644" t="s">
        <v>903</v>
      </c>
      <c r="G644" t="s">
        <v>890</v>
      </c>
      <c r="H644" s="6">
        <f>_xlfn.XLOOKUP(A644,Orders[OrderID],Orders[OrderDate])</f>
        <v>43154</v>
      </c>
      <c r="I644" t="str">
        <f>_xlfn.XLOOKUP(A644,Orders[OrderID],Orders[CustomerName])</f>
        <v>Hitika</v>
      </c>
      <c r="J644" t="str">
        <f>_xlfn.XLOOKUP(A644,Orders[OrderID],Orders[State])</f>
        <v>Madhya Pradesh</v>
      </c>
      <c r="K644" t="str">
        <f>_xlfn.XLOOKUP(A644,Orders[OrderID],Orders[City])</f>
        <v>Indore</v>
      </c>
      <c r="L644" s="3">
        <f>YEAR(Clean_Data[[#This Row],[OrderDate]])</f>
        <v>2018</v>
      </c>
      <c r="M644" s="3">
        <f>MONTH(Clean_Data[[#This Row],[OrderDate]])</f>
        <v>2</v>
      </c>
      <c r="N644" s="8" t="str">
        <f>TEXT(Clean_Data[[#This Row],[OrderDate]],"mmm")</f>
        <v>Feb</v>
      </c>
      <c r="O644" s="8" t="str">
        <f>TEXT(Clean_Data[[#This Row],[OrderDate]], "yyyy-mm")</f>
        <v>2018-02</v>
      </c>
      <c r="P644" s="7">
        <f>Clean_Data[[#This Row],[Profit]]/Clean_Data[[#This Row],[Revenue ]]</f>
        <v>0.39766081871345027</v>
      </c>
      <c r="Q644" t="str">
        <f>"Q"&amp;ROUNDUP(MONTH(Clean_Data[[#This Row],[OrderDate]])/3,0)</f>
        <v>Q1</v>
      </c>
      <c r="R644" t="str">
        <f>TEXT(Clean_Data[[#This Row],[OrderDate]], "dddd")</f>
        <v>Friday</v>
      </c>
    </row>
    <row r="645" spans="1:18" x14ac:dyDescent="0.25">
      <c r="A645" t="s">
        <v>390</v>
      </c>
      <c r="B645" s="4">
        <v>46</v>
      </c>
      <c r="C645" s="4">
        <v>14</v>
      </c>
      <c r="D645" s="3">
        <v>5</v>
      </c>
      <c r="E645" t="s">
        <v>895</v>
      </c>
      <c r="F645" t="s">
        <v>901</v>
      </c>
      <c r="G645" t="s">
        <v>887</v>
      </c>
      <c r="H645" s="6">
        <f>_xlfn.XLOOKUP(A645,Orders[OrderID],Orders[OrderDate])</f>
        <v>43188</v>
      </c>
      <c r="I645" t="str">
        <f>_xlfn.XLOOKUP(A645,Orders[OrderID],Orders[CustomerName])</f>
        <v>Pinky</v>
      </c>
      <c r="J645" t="str">
        <f>_xlfn.XLOOKUP(A645,Orders[OrderID],Orders[State])</f>
        <v>Jammu and Kashmir</v>
      </c>
      <c r="K645" t="str">
        <f>_xlfn.XLOOKUP(A645,Orders[OrderID],Orders[City])</f>
        <v>Kashmir</v>
      </c>
      <c r="L645" s="3">
        <f>YEAR(Clean_Data[[#This Row],[OrderDate]])</f>
        <v>2018</v>
      </c>
      <c r="M645" s="3">
        <f>MONTH(Clean_Data[[#This Row],[OrderDate]])</f>
        <v>3</v>
      </c>
      <c r="N645" s="8" t="str">
        <f>TEXT(Clean_Data[[#This Row],[OrderDate]],"mmm")</f>
        <v>Mar</v>
      </c>
      <c r="O645" s="8" t="str">
        <f>TEXT(Clean_Data[[#This Row],[OrderDate]], "yyyy-mm")</f>
        <v>2018-03</v>
      </c>
      <c r="P645" s="7">
        <f>Clean_Data[[#This Row],[Profit]]/Clean_Data[[#This Row],[Revenue ]]</f>
        <v>0.30434782608695654</v>
      </c>
      <c r="Q645" t="str">
        <f>"Q"&amp;ROUNDUP(MONTH(Clean_Data[[#This Row],[OrderDate]])/3,0)</f>
        <v>Q1</v>
      </c>
      <c r="R645" t="str">
        <f>TEXT(Clean_Data[[#This Row],[OrderDate]], "dddd")</f>
        <v>Thursday</v>
      </c>
    </row>
    <row r="646" spans="1:18" x14ac:dyDescent="0.25">
      <c r="A646" t="s">
        <v>152</v>
      </c>
      <c r="B646" s="4">
        <v>115</v>
      </c>
      <c r="C646" s="4">
        <v>-39</v>
      </c>
      <c r="D646" s="3">
        <v>3</v>
      </c>
      <c r="E646" t="s">
        <v>895</v>
      </c>
      <c r="F646" t="s">
        <v>896</v>
      </c>
      <c r="G646" t="s">
        <v>887</v>
      </c>
      <c r="H646" s="6">
        <f>_xlfn.XLOOKUP(A646,Orders[OrderID],Orders[OrderDate])</f>
        <v>43273</v>
      </c>
      <c r="I646" t="str">
        <f>_xlfn.XLOOKUP(A646,Orders[OrderID],Orders[CustomerName])</f>
        <v>Vijay</v>
      </c>
      <c r="J646" t="str">
        <f>_xlfn.XLOOKUP(A646,Orders[OrderID],Orders[State])</f>
        <v>Jammu and Kashmir</v>
      </c>
      <c r="K646" t="str">
        <f>_xlfn.XLOOKUP(A646,Orders[OrderID],Orders[City])</f>
        <v>Kashmir</v>
      </c>
      <c r="L646" s="3">
        <f>YEAR(Clean_Data[[#This Row],[OrderDate]])</f>
        <v>2018</v>
      </c>
      <c r="M646" s="3">
        <f>MONTH(Clean_Data[[#This Row],[OrderDate]])</f>
        <v>6</v>
      </c>
      <c r="N646" s="8" t="str">
        <f>TEXT(Clean_Data[[#This Row],[OrderDate]],"mmm")</f>
        <v>Jun</v>
      </c>
      <c r="O646" s="8" t="str">
        <f>TEXT(Clean_Data[[#This Row],[OrderDate]], "yyyy-mm")</f>
        <v>2018-06</v>
      </c>
      <c r="P646" s="7">
        <f>Clean_Data[[#This Row],[Profit]]/Clean_Data[[#This Row],[Revenue ]]</f>
        <v>-0.33913043478260868</v>
      </c>
      <c r="Q646" t="str">
        <f>"Q"&amp;ROUNDUP(MONTH(Clean_Data[[#This Row],[OrderDate]])/3,0)</f>
        <v>Q2</v>
      </c>
      <c r="R646" t="str">
        <f>TEXT(Clean_Data[[#This Row],[OrderDate]], "dddd")</f>
        <v>Friday</v>
      </c>
    </row>
    <row r="647" spans="1:18" x14ac:dyDescent="0.25">
      <c r="A647" t="s">
        <v>714</v>
      </c>
      <c r="B647" s="4">
        <v>100</v>
      </c>
      <c r="C647" s="4">
        <v>7</v>
      </c>
      <c r="D647" s="3">
        <v>2</v>
      </c>
      <c r="E647" t="s">
        <v>895</v>
      </c>
      <c r="F647" t="s">
        <v>906</v>
      </c>
      <c r="G647" t="s">
        <v>898</v>
      </c>
      <c r="H647" s="6">
        <f>_xlfn.XLOOKUP(A647,Orders[OrderID],Orders[OrderDate])</f>
        <v>43458</v>
      </c>
      <c r="I647" t="str">
        <f>_xlfn.XLOOKUP(A647,Orders[OrderID],Orders[CustomerName])</f>
        <v>Jayanti</v>
      </c>
      <c r="J647" t="str">
        <f>_xlfn.XLOOKUP(A647,Orders[OrderID],Orders[State])</f>
        <v>Uttar Pradesh</v>
      </c>
      <c r="K647" t="str">
        <f>_xlfn.XLOOKUP(A647,Orders[OrderID],Orders[City])</f>
        <v>Prayagraj</v>
      </c>
      <c r="L647" s="3">
        <f>YEAR(Clean_Data[[#This Row],[OrderDate]])</f>
        <v>2018</v>
      </c>
      <c r="M647" s="3">
        <f>MONTH(Clean_Data[[#This Row],[OrderDate]])</f>
        <v>12</v>
      </c>
      <c r="N647" s="8" t="str">
        <f>TEXT(Clean_Data[[#This Row],[OrderDate]],"mmm")</f>
        <v>Dec</v>
      </c>
      <c r="O647" s="8" t="str">
        <f>TEXT(Clean_Data[[#This Row],[OrderDate]], "yyyy-mm")</f>
        <v>2018-12</v>
      </c>
      <c r="P647" s="7">
        <f>Clean_Data[[#This Row],[Profit]]/Clean_Data[[#This Row],[Revenue ]]</f>
        <v>7.0000000000000007E-2</v>
      </c>
      <c r="Q647" t="str">
        <f>"Q"&amp;ROUNDUP(MONTH(Clean_Data[[#This Row],[OrderDate]])/3,0)</f>
        <v>Q4</v>
      </c>
      <c r="R647" t="str">
        <f>TEXT(Clean_Data[[#This Row],[OrderDate]], "dddd")</f>
        <v>Monday</v>
      </c>
    </row>
    <row r="648" spans="1:18" x14ac:dyDescent="0.25">
      <c r="A648" t="s">
        <v>7</v>
      </c>
      <c r="B648" s="4">
        <v>44</v>
      </c>
      <c r="C648" s="4">
        <v>8</v>
      </c>
      <c r="D648" s="3">
        <v>2</v>
      </c>
      <c r="E648" t="s">
        <v>895</v>
      </c>
      <c r="F648" t="s">
        <v>903</v>
      </c>
      <c r="G648" t="s">
        <v>887</v>
      </c>
      <c r="H648" s="6">
        <f>_xlfn.XLOOKUP(A648,Orders[OrderID],Orders[OrderDate])</f>
        <v>43134</v>
      </c>
      <c r="I648" t="str">
        <f>_xlfn.XLOOKUP(A648,Orders[OrderID],Orders[CustomerName])</f>
        <v>Madhav</v>
      </c>
      <c r="J648" t="str">
        <f>_xlfn.XLOOKUP(A648,Orders[OrderID],Orders[State])</f>
        <v>Delhi</v>
      </c>
      <c r="K648" t="str">
        <f>_xlfn.XLOOKUP(A648,Orders[OrderID],Orders[City])</f>
        <v>Delhi</v>
      </c>
      <c r="L648" s="3">
        <f>YEAR(Clean_Data[[#This Row],[OrderDate]])</f>
        <v>2018</v>
      </c>
      <c r="M648" s="3">
        <f>MONTH(Clean_Data[[#This Row],[OrderDate]])</f>
        <v>2</v>
      </c>
      <c r="N648" s="8" t="str">
        <f>TEXT(Clean_Data[[#This Row],[OrderDate]],"mmm")</f>
        <v>Feb</v>
      </c>
      <c r="O648" s="8" t="str">
        <f>TEXT(Clean_Data[[#This Row],[OrderDate]], "yyyy-mm")</f>
        <v>2018-02</v>
      </c>
      <c r="P648" s="7">
        <f>Clean_Data[[#This Row],[Profit]]/Clean_Data[[#This Row],[Revenue ]]</f>
        <v>0.18181818181818182</v>
      </c>
      <c r="Q648" t="str">
        <f>"Q"&amp;ROUNDUP(MONTH(Clean_Data[[#This Row],[OrderDate]])/3,0)</f>
        <v>Q1</v>
      </c>
      <c r="R648" t="str">
        <f>TEXT(Clean_Data[[#This Row],[OrderDate]], "dddd")</f>
        <v>Saturday</v>
      </c>
    </row>
    <row r="649" spans="1:18" x14ac:dyDescent="0.25">
      <c r="A649" t="s">
        <v>650</v>
      </c>
      <c r="B649" s="4">
        <v>139</v>
      </c>
      <c r="C649" s="4">
        <v>14</v>
      </c>
      <c r="D649" s="3">
        <v>3</v>
      </c>
      <c r="E649" t="s">
        <v>895</v>
      </c>
      <c r="F649" t="s">
        <v>900</v>
      </c>
      <c r="G649" t="s">
        <v>887</v>
      </c>
      <c r="H649" s="6">
        <f>_xlfn.XLOOKUP(A649,Orders[OrderID],Orders[OrderDate])</f>
        <v>43185</v>
      </c>
      <c r="I649" t="str">
        <f>_xlfn.XLOOKUP(A649,Orders[OrderID],Orders[CustomerName])</f>
        <v>Kanak</v>
      </c>
      <c r="J649" t="str">
        <f>_xlfn.XLOOKUP(A649,Orders[OrderID],Orders[State])</f>
        <v>Goa</v>
      </c>
      <c r="K649" t="str">
        <f>_xlfn.XLOOKUP(A649,Orders[OrderID],Orders[City])</f>
        <v>Goa</v>
      </c>
      <c r="L649" s="3">
        <f>YEAR(Clean_Data[[#This Row],[OrderDate]])</f>
        <v>2018</v>
      </c>
      <c r="M649" s="3">
        <f>MONTH(Clean_Data[[#This Row],[OrderDate]])</f>
        <v>3</v>
      </c>
      <c r="N649" s="8" t="str">
        <f>TEXT(Clean_Data[[#This Row],[OrderDate]],"mmm")</f>
        <v>Mar</v>
      </c>
      <c r="O649" s="8" t="str">
        <f>TEXT(Clean_Data[[#This Row],[OrderDate]], "yyyy-mm")</f>
        <v>2018-03</v>
      </c>
      <c r="P649" s="7">
        <f>Clean_Data[[#This Row],[Profit]]/Clean_Data[[#This Row],[Revenue ]]</f>
        <v>0.10071942446043165</v>
      </c>
      <c r="Q649" t="str">
        <f>"Q"&amp;ROUNDUP(MONTH(Clean_Data[[#This Row],[OrderDate]])/3,0)</f>
        <v>Q1</v>
      </c>
      <c r="R649" t="str">
        <f>TEXT(Clean_Data[[#This Row],[OrderDate]], "dddd")</f>
        <v>Monday</v>
      </c>
    </row>
    <row r="650" spans="1:18" x14ac:dyDescent="0.25">
      <c r="A650" t="s">
        <v>589</v>
      </c>
      <c r="B650" s="4">
        <v>171</v>
      </c>
      <c r="C650" s="4">
        <v>-140</v>
      </c>
      <c r="D650" s="3">
        <v>2</v>
      </c>
      <c r="E650" t="s">
        <v>888</v>
      </c>
      <c r="F650" t="s">
        <v>891</v>
      </c>
      <c r="G650" t="s">
        <v>890</v>
      </c>
      <c r="H650" s="6">
        <f>_xlfn.XLOOKUP(A650,Orders[OrderID],Orders[OrderDate])</f>
        <v>43118</v>
      </c>
      <c r="I650" t="str">
        <f>_xlfn.XLOOKUP(A650,Orders[OrderID],Orders[CustomerName])</f>
        <v>Shreya</v>
      </c>
      <c r="J650" t="str">
        <f>_xlfn.XLOOKUP(A650,Orders[OrderID],Orders[State])</f>
        <v>Andhra Pradesh</v>
      </c>
      <c r="K650" t="str">
        <f>_xlfn.XLOOKUP(A650,Orders[OrderID],Orders[City])</f>
        <v>Hyderabad</v>
      </c>
      <c r="L650" s="3">
        <f>YEAR(Clean_Data[[#This Row],[OrderDate]])</f>
        <v>2018</v>
      </c>
      <c r="M650" s="3">
        <f>MONTH(Clean_Data[[#This Row],[OrderDate]])</f>
        <v>1</v>
      </c>
      <c r="N650" s="8" t="str">
        <f>TEXT(Clean_Data[[#This Row],[OrderDate]],"mmm")</f>
        <v>Jan</v>
      </c>
      <c r="O650" s="8" t="str">
        <f>TEXT(Clean_Data[[#This Row],[OrderDate]], "yyyy-mm")</f>
        <v>2018-01</v>
      </c>
      <c r="P650" s="7">
        <f>Clean_Data[[#This Row],[Profit]]/Clean_Data[[#This Row],[Revenue ]]</f>
        <v>-0.81871345029239762</v>
      </c>
      <c r="Q650" t="str">
        <f>"Q"&amp;ROUNDUP(MONTH(Clean_Data[[#This Row],[OrderDate]])/3,0)</f>
        <v>Q1</v>
      </c>
      <c r="R650" t="str">
        <f>TEXT(Clean_Data[[#This Row],[OrderDate]], "dddd")</f>
        <v>Thursday</v>
      </c>
    </row>
    <row r="651" spans="1:18" x14ac:dyDescent="0.25">
      <c r="A651" t="s">
        <v>712</v>
      </c>
      <c r="B651" s="4">
        <v>100</v>
      </c>
      <c r="C651" s="4">
        <v>12</v>
      </c>
      <c r="D651" s="3">
        <v>2</v>
      </c>
      <c r="E651" t="s">
        <v>895</v>
      </c>
      <c r="F651" t="s">
        <v>906</v>
      </c>
      <c r="G651" t="s">
        <v>898</v>
      </c>
      <c r="H651" s="6">
        <f>_xlfn.XLOOKUP(A651,Orders[OrderID],Orders[OrderDate])</f>
        <v>43455</v>
      </c>
      <c r="I651" t="str">
        <f>_xlfn.XLOOKUP(A651,Orders[OrderID],Orders[CustomerName])</f>
        <v>Sanjay</v>
      </c>
      <c r="J651" t="str">
        <f>_xlfn.XLOOKUP(A651,Orders[OrderID],Orders[State])</f>
        <v>Maharashtra</v>
      </c>
      <c r="K651" t="str">
        <f>_xlfn.XLOOKUP(A651,Orders[OrderID],Orders[City])</f>
        <v>Mumbai</v>
      </c>
      <c r="L651" s="3">
        <f>YEAR(Clean_Data[[#This Row],[OrderDate]])</f>
        <v>2018</v>
      </c>
      <c r="M651" s="3">
        <f>MONTH(Clean_Data[[#This Row],[OrderDate]])</f>
        <v>12</v>
      </c>
      <c r="N651" s="8" t="str">
        <f>TEXT(Clean_Data[[#This Row],[OrderDate]],"mmm")</f>
        <v>Dec</v>
      </c>
      <c r="O651" s="8" t="str">
        <f>TEXT(Clean_Data[[#This Row],[OrderDate]], "yyyy-mm")</f>
        <v>2018-12</v>
      </c>
      <c r="P651" s="7">
        <f>Clean_Data[[#This Row],[Profit]]/Clean_Data[[#This Row],[Revenue ]]</f>
        <v>0.12</v>
      </c>
      <c r="Q651" t="str">
        <f>"Q"&amp;ROUNDUP(MONTH(Clean_Data[[#This Row],[OrderDate]])/3,0)</f>
        <v>Q4</v>
      </c>
      <c r="R651" t="str">
        <f>TEXT(Clean_Data[[#This Row],[OrderDate]], "dddd")</f>
        <v>Friday</v>
      </c>
    </row>
    <row r="652" spans="1:18" x14ac:dyDescent="0.25">
      <c r="A652" t="s">
        <v>233</v>
      </c>
      <c r="B652" s="4">
        <v>115</v>
      </c>
      <c r="C652" s="4">
        <v>25</v>
      </c>
      <c r="D652" s="3">
        <v>6</v>
      </c>
      <c r="E652" t="s">
        <v>895</v>
      </c>
      <c r="F652" t="s">
        <v>903</v>
      </c>
      <c r="G652" t="s">
        <v>887</v>
      </c>
      <c r="H652" s="6">
        <f>_xlfn.XLOOKUP(A652,Orders[OrderID],Orders[OrderDate])</f>
        <v>43394</v>
      </c>
      <c r="I652" t="str">
        <f>_xlfn.XLOOKUP(A652,Orders[OrderID],Orders[CustomerName])</f>
        <v>Kartik</v>
      </c>
      <c r="J652" t="str">
        <f>_xlfn.XLOOKUP(A652,Orders[OrderID],Orders[State])</f>
        <v>Madhya Pradesh</v>
      </c>
      <c r="K652" t="str">
        <f>_xlfn.XLOOKUP(A652,Orders[OrderID],Orders[City])</f>
        <v>Indore</v>
      </c>
      <c r="L652" s="3">
        <f>YEAR(Clean_Data[[#This Row],[OrderDate]])</f>
        <v>2018</v>
      </c>
      <c r="M652" s="3">
        <f>MONTH(Clean_Data[[#This Row],[OrderDate]])</f>
        <v>10</v>
      </c>
      <c r="N652" s="8" t="str">
        <f>TEXT(Clean_Data[[#This Row],[OrderDate]],"mmm")</f>
        <v>Oct</v>
      </c>
      <c r="O652" s="8" t="str">
        <f>TEXT(Clean_Data[[#This Row],[OrderDate]], "yyyy-mm")</f>
        <v>2018-10</v>
      </c>
      <c r="P652" s="7">
        <f>Clean_Data[[#This Row],[Profit]]/Clean_Data[[#This Row],[Revenue ]]</f>
        <v>0.21739130434782608</v>
      </c>
      <c r="Q652" t="str">
        <f>"Q"&amp;ROUNDUP(MONTH(Clean_Data[[#This Row],[OrderDate]])/3,0)</f>
        <v>Q4</v>
      </c>
      <c r="R652" t="str">
        <f>TEXT(Clean_Data[[#This Row],[OrderDate]], "dddd")</f>
        <v>Sunday</v>
      </c>
    </row>
    <row r="653" spans="1:18" x14ac:dyDescent="0.25">
      <c r="A653" t="s">
        <v>237</v>
      </c>
      <c r="B653" s="4">
        <v>168</v>
      </c>
      <c r="C653" s="4">
        <v>-9</v>
      </c>
      <c r="D653" s="3">
        <v>3</v>
      </c>
      <c r="E653" t="s">
        <v>895</v>
      </c>
      <c r="F653" t="s">
        <v>897</v>
      </c>
      <c r="G653" t="s">
        <v>887</v>
      </c>
      <c r="H653" s="6">
        <f>_xlfn.XLOOKUP(A653,Orders[OrderID],Orders[OrderDate])</f>
        <v>43272</v>
      </c>
      <c r="I653" t="str">
        <f>_xlfn.XLOOKUP(A653,Orders[OrderID],Orders[CustomerName])</f>
        <v>Noopur</v>
      </c>
      <c r="J653" t="str">
        <f>_xlfn.XLOOKUP(A653,Orders[OrderID],Orders[State])</f>
        <v>Karnataka</v>
      </c>
      <c r="K653" t="str">
        <f>_xlfn.XLOOKUP(A653,Orders[OrderID],Orders[City])</f>
        <v>Bangalore</v>
      </c>
      <c r="L653" s="3">
        <f>YEAR(Clean_Data[[#This Row],[OrderDate]])</f>
        <v>2018</v>
      </c>
      <c r="M653" s="3">
        <f>MONTH(Clean_Data[[#This Row],[OrderDate]])</f>
        <v>6</v>
      </c>
      <c r="N653" s="8" t="str">
        <f>TEXT(Clean_Data[[#This Row],[OrderDate]],"mmm")</f>
        <v>Jun</v>
      </c>
      <c r="O653" s="8" t="str">
        <f>TEXT(Clean_Data[[#This Row],[OrderDate]], "yyyy-mm")</f>
        <v>2018-06</v>
      </c>
      <c r="P653" s="7">
        <f>Clean_Data[[#This Row],[Profit]]/Clean_Data[[#This Row],[Revenue ]]</f>
        <v>-5.3571428571428568E-2</v>
      </c>
      <c r="Q653" t="str">
        <f>"Q"&amp;ROUNDUP(MONTH(Clean_Data[[#This Row],[OrderDate]])/3,0)</f>
        <v>Q2</v>
      </c>
      <c r="R653" t="str">
        <f>TEXT(Clean_Data[[#This Row],[OrderDate]], "dddd")</f>
        <v>Thursday</v>
      </c>
    </row>
    <row r="654" spans="1:18" x14ac:dyDescent="0.25">
      <c r="A654" t="s">
        <v>690</v>
      </c>
      <c r="B654" s="4">
        <v>115</v>
      </c>
      <c r="C654" s="4">
        <v>47</v>
      </c>
      <c r="D654" s="3">
        <v>2</v>
      </c>
      <c r="E654" t="s">
        <v>885</v>
      </c>
      <c r="F654" t="s">
        <v>905</v>
      </c>
      <c r="G654" t="s">
        <v>887</v>
      </c>
      <c r="H654" s="6">
        <f>_xlfn.XLOOKUP(A654,Orders[OrderID],Orders[OrderDate])</f>
        <v>43123</v>
      </c>
      <c r="I654" t="str">
        <f>_xlfn.XLOOKUP(A654,Orders[OrderID],Orders[CustomerName])</f>
        <v>Jesslyn</v>
      </c>
      <c r="J654" t="str">
        <f>_xlfn.XLOOKUP(A654,Orders[OrderID],Orders[State])</f>
        <v>Rajasthan</v>
      </c>
      <c r="K654" t="str">
        <f>_xlfn.XLOOKUP(A654,Orders[OrderID],Orders[City])</f>
        <v>Udaipur</v>
      </c>
      <c r="L654" s="3">
        <f>YEAR(Clean_Data[[#This Row],[OrderDate]])</f>
        <v>2018</v>
      </c>
      <c r="M654" s="3">
        <f>MONTH(Clean_Data[[#This Row],[OrderDate]])</f>
        <v>1</v>
      </c>
      <c r="N654" s="8" t="str">
        <f>TEXT(Clean_Data[[#This Row],[OrderDate]],"mmm")</f>
        <v>Jan</v>
      </c>
      <c r="O654" s="8" t="str">
        <f>TEXT(Clean_Data[[#This Row],[OrderDate]], "yyyy-mm")</f>
        <v>2018-01</v>
      </c>
      <c r="P654" s="7">
        <f>Clean_Data[[#This Row],[Profit]]/Clean_Data[[#This Row],[Revenue ]]</f>
        <v>0.40869565217391307</v>
      </c>
      <c r="Q654" t="str">
        <f>"Q"&amp;ROUNDUP(MONTH(Clean_Data[[#This Row],[OrderDate]])/3,0)</f>
        <v>Q1</v>
      </c>
      <c r="R654" t="str">
        <f>TEXT(Clean_Data[[#This Row],[OrderDate]], "dddd")</f>
        <v>Tuesday</v>
      </c>
    </row>
    <row r="655" spans="1:18" x14ac:dyDescent="0.25">
      <c r="A655" t="s">
        <v>32</v>
      </c>
      <c r="B655" s="4">
        <v>168</v>
      </c>
      <c r="C655" s="4">
        <v>-111</v>
      </c>
      <c r="D655" s="3">
        <v>2</v>
      </c>
      <c r="E655" t="s">
        <v>885</v>
      </c>
      <c r="F655" t="s">
        <v>894</v>
      </c>
      <c r="G655" t="s">
        <v>890</v>
      </c>
      <c r="H655" s="6">
        <f>_xlfn.XLOOKUP(A655,Orders[OrderID],Orders[OrderDate])</f>
        <v>43191</v>
      </c>
      <c r="I655" t="str">
        <f>_xlfn.XLOOKUP(A655,Orders[OrderID],Orders[CustomerName])</f>
        <v>Vrinda</v>
      </c>
      <c r="J655" t="str">
        <f>_xlfn.XLOOKUP(A655,Orders[OrderID],Orders[State])</f>
        <v>Maharashtra</v>
      </c>
      <c r="K655" t="str">
        <f>_xlfn.XLOOKUP(A655,Orders[OrderID],Orders[City])</f>
        <v>Pune</v>
      </c>
      <c r="L655" s="3">
        <f>YEAR(Clean_Data[[#This Row],[OrderDate]])</f>
        <v>2018</v>
      </c>
      <c r="M655" s="3">
        <f>MONTH(Clean_Data[[#This Row],[OrderDate]])</f>
        <v>4</v>
      </c>
      <c r="N655" s="8" t="str">
        <f>TEXT(Clean_Data[[#This Row],[OrderDate]],"mmm")</f>
        <v>Apr</v>
      </c>
      <c r="O655" s="8" t="str">
        <f>TEXT(Clean_Data[[#This Row],[OrderDate]], "yyyy-mm")</f>
        <v>2018-04</v>
      </c>
      <c r="P655" s="7">
        <f>Clean_Data[[#This Row],[Profit]]/Clean_Data[[#This Row],[Revenue ]]</f>
        <v>-0.6607142857142857</v>
      </c>
      <c r="Q655" t="str">
        <f>"Q"&amp;ROUNDUP(MONTH(Clean_Data[[#This Row],[OrderDate]])/3,0)</f>
        <v>Q2</v>
      </c>
      <c r="R655" t="str">
        <f>TEXT(Clean_Data[[#This Row],[OrderDate]], "dddd")</f>
        <v>Sunday</v>
      </c>
    </row>
    <row r="656" spans="1:18" x14ac:dyDescent="0.25">
      <c r="A656" t="s">
        <v>832</v>
      </c>
      <c r="B656" s="4">
        <v>31</v>
      </c>
      <c r="C656" s="4">
        <v>-7</v>
      </c>
      <c r="D656" s="3">
        <v>5</v>
      </c>
      <c r="E656" t="s">
        <v>895</v>
      </c>
      <c r="F656" t="s">
        <v>901</v>
      </c>
      <c r="G656" t="s">
        <v>898</v>
      </c>
      <c r="H656" s="6">
        <f>_xlfn.XLOOKUP(A656,Orders[OrderID],Orders[OrderDate])</f>
        <v>43312</v>
      </c>
      <c r="I656" t="str">
        <f>_xlfn.XLOOKUP(A656,Orders[OrderID],Orders[CustomerName])</f>
        <v>Akshat</v>
      </c>
      <c r="J656" t="str">
        <f>_xlfn.XLOOKUP(A656,Orders[OrderID],Orders[State])</f>
        <v>Maharashtra</v>
      </c>
      <c r="K656" t="str">
        <f>_xlfn.XLOOKUP(A656,Orders[OrderID],Orders[City])</f>
        <v>Mumbai</v>
      </c>
      <c r="L656" s="3">
        <f>YEAR(Clean_Data[[#This Row],[OrderDate]])</f>
        <v>2018</v>
      </c>
      <c r="M656" s="3">
        <f>MONTH(Clean_Data[[#This Row],[OrderDate]])</f>
        <v>7</v>
      </c>
      <c r="N656" s="8" t="str">
        <f>TEXT(Clean_Data[[#This Row],[OrderDate]],"mmm")</f>
        <v>Jul</v>
      </c>
      <c r="O656" s="8" t="str">
        <f>TEXT(Clean_Data[[#This Row],[OrderDate]], "yyyy-mm")</f>
        <v>2018-07</v>
      </c>
      <c r="P656" s="7">
        <f>Clean_Data[[#This Row],[Profit]]/Clean_Data[[#This Row],[Revenue ]]</f>
        <v>-0.22580645161290322</v>
      </c>
      <c r="Q656" t="str">
        <f>"Q"&amp;ROUNDUP(MONTH(Clean_Data[[#This Row],[OrderDate]])/3,0)</f>
        <v>Q3</v>
      </c>
      <c r="R656" t="str">
        <f>TEXT(Clean_Data[[#This Row],[OrderDate]], "dddd")</f>
        <v>Tuesday</v>
      </c>
    </row>
    <row r="657" spans="1:18" x14ac:dyDescent="0.25">
      <c r="A657" t="s">
        <v>68</v>
      </c>
      <c r="B657" s="4">
        <v>114</v>
      </c>
      <c r="C657" s="4">
        <v>41</v>
      </c>
      <c r="D657" s="3">
        <v>6</v>
      </c>
      <c r="E657" t="s">
        <v>888</v>
      </c>
      <c r="F657" t="s">
        <v>908</v>
      </c>
      <c r="G657" t="s">
        <v>887</v>
      </c>
      <c r="H657" s="6">
        <f>_xlfn.XLOOKUP(A657,Orders[OrderID],Orders[OrderDate])</f>
        <v>43139</v>
      </c>
      <c r="I657" t="str">
        <f>_xlfn.XLOOKUP(A657,Orders[OrderID],Orders[CustomerName])</f>
        <v>Hitesh</v>
      </c>
      <c r="J657" t="str">
        <f>_xlfn.XLOOKUP(A657,Orders[OrderID],Orders[State])</f>
        <v>Madhya Pradesh</v>
      </c>
      <c r="K657" t="str">
        <f>_xlfn.XLOOKUP(A657,Orders[OrderID],Orders[City])</f>
        <v>Bhopal</v>
      </c>
      <c r="L657" s="3">
        <f>YEAR(Clean_Data[[#This Row],[OrderDate]])</f>
        <v>2018</v>
      </c>
      <c r="M657" s="3">
        <f>MONTH(Clean_Data[[#This Row],[OrderDate]])</f>
        <v>2</v>
      </c>
      <c r="N657" s="8" t="str">
        <f>TEXT(Clean_Data[[#This Row],[OrderDate]],"mmm")</f>
        <v>Feb</v>
      </c>
      <c r="O657" s="8" t="str">
        <f>TEXT(Clean_Data[[#This Row],[OrderDate]], "yyyy-mm")</f>
        <v>2018-02</v>
      </c>
      <c r="P657" s="7">
        <f>Clean_Data[[#This Row],[Profit]]/Clean_Data[[#This Row],[Revenue ]]</f>
        <v>0.35964912280701755</v>
      </c>
      <c r="Q657" t="str">
        <f>"Q"&amp;ROUNDUP(MONTH(Clean_Data[[#This Row],[OrderDate]])/3,0)</f>
        <v>Q1</v>
      </c>
      <c r="R657" t="str">
        <f>TEXT(Clean_Data[[#This Row],[OrderDate]], "dddd")</f>
        <v>Thursday</v>
      </c>
    </row>
    <row r="658" spans="1:18" x14ac:dyDescent="0.25">
      <c r="A658" t="s">
        <v>286</v>
      </c>
      <c r="B658" s="4">
        <v>111</v>
      </c>
      <c r="C658" s="4">
        <v>9</v>
      </c>
      <c r="D658" s="3">
        <v>4</v>
      </c>
      <c r="E658" t="s">
        <v>895</v>
      </c>
      <c r="F658" t="s">
        <v>903</v>
      </c>
      <c r="G658" t="s">
        <v>887</v>
      </c>
      <c r="H658" s="6">
        <f>_xlfn.XLOOKUP(A658,Orders[OrderID],Orders[OrderDate])</f>
        <v>43122</v>
      </c>
      <c r="I658" t="str">
        <f>_xlfn.XLOOKUP(A658,Orders[OrderID],Orders[CustomerName])</f>
        <v>Rhea</v>
      </c>
      <c r="J658" t="str">
        <f>_xlfn.XLOOKUP(A658,Orders[OrderID],Orders[State])</f>
        <v>Maharashtra</v>
      </c>
      <c r="K658" t="str">
        <f>_xlfn.XLOOKUP(A658,Orders[OrderID],Orders[City])</f>
        <v>Mumbai</v>
      </c>
      <c r="L658" s="3">
        <f>YEAR(Clean_Data[[#This Row],[OrderDate]])</f>
        <v>2018</v>
      </c>
      <c r="M658" s="3">
        <f>MONTH(Clean_Data[[#This Row],[OrderDate]])</f>
        <v>1</v>
      </c>
      <c r="N658" s="8" t="str">
        <f>TEXT(Clean_Data[[#This Row],[OrderDate]],"mmm")</f>
        <v>Jan</v>
      </c>
      <c r="O658" s="8" t="str">
        <f>TEXT(Clean_Data[[#This Row],[OrderDate]], "yyyy-mm")</f>
        <v>2018-01</v>
      </c>
      <c r="P658" s="7">
        <f>Clean_Data[[#This Row],[Profit]]/Clean_Data[[#This Row],[Revenue ]]</f>
        <v>8.1081081081081086E-2</v>
      </c>
      <c r="Q658" t="str">
        <f>"Q"&amp;ROUNDUP(MONTH(Clean_Data[[#This Row],[OrderDate]])/3,0)</f>
        <v>Q1</v>
      </c>
      <c r="R658" t="str">
        <f>TEXT(Clean_Data[[#This Row],[OrderDate]], "dddd")</f>
        <v>Monday</v>
      </c>
    </row>
    <row r="659" spans="1:18" x14ac:dyDescent="0.25">
      <c r="A659" t="s">
        <v>875</v>
      </c>
      <c r="B659" s="4">
        <v>11</v>
      </c>
      <c r="C659" s="4">
        <v>-8</v>
      </c>
      <c r="D659" s="3">
        <v>2</v>
      </c>
      <c r="E659" t="s">
        <v>895</v>
      </c>
      <c r="F659" t="s">
        <v>901</v>
      </c>
      <c r="G659" t="s">
        <v>898</v>
      </c>
      <c r="H659" s="6">
        <f>_xlfn.XLOOKUP(A659,Orders[OrderID],Orders[OrderDate])</f>
        <v>43315</v>
      </c>
      <c r="I659" t="str">
        <f>_xlfn.XLOOKUP(A659,Orders[OrderID],Orders[CustomerName])</f>
        <v>Ashwin</v>
      </c>
      <c r="J659" t="str">
        <f>_xlfn.XLOOKUP(A659,Orders[OrderID],Orders[State])</f>
        <v>Goa</v>
      </c>
      <c r="K659" t="str">
        <f>_xlfn.XLOOKUP(A659,Orders[OrderID],Orders[City])</f>
        <v>Goa</v>
      </c>
      <c r="L659" s="3">
        <f>YEAR(Clean_Data[[#This Row],[OrderDate]])</f>
        <v>2018</v>
      </c>
      <c r="M659" s="3">
        <f>MONTH(Clean_Data[[#This Row],[OrderDate]])</f>
        <v>8</v>
      </c>
      <c r="N659" s="8" t="str">
        <f>TEXT(Clean_Data[[#This Row],[OrderDate]],"mmm")</f>
        <v>Aug</v>
      </c>
      <c r="O659" s="8" t="str">
        <f>TEXT(Clean_Data[[#This Row],[OrderDate]], "yyyy-mm")</f>
        <v>2018-08</v>
      </c>
      <c r="P659" s="7">
        <f>Clean_Data[[#This Row],[Profit]]/Clean_Data[[#This Row],[Revenue ]]</f>
        <v>-0.72727272727272729</v>
      </c>
      <c r="Q659" t="str">
        <f>"Q"&amp;ROUNDUP(MONTH(Clean_Data[[#This Row],[OrderDate]])/3,0)</f>
        <v>Q3</v>
      </c>
      <c r="R659" t="str">
        <f>TEXT(Clean_Data[[#This Row],[OrderDate]], "dddd")</f>
        <v>Friday</v>
      </c>
    </row>
    <row r="660" spans="1:18" x14ac:dyDescent="0.25">
      <c r="A660" t="s">
        <v>450</v>
      </c>
      <c r="B660" s="4">
        <v>110</v>
      </c>
      <c r="C660" s="4">
        <v>35</v>
      </c>
      <c r="D660" s="3">
        <v>1</v>
      </c>
      <c r="E660" t="s">
        <v>888</v>
      </c>
      <c r="F660" t="s">
        <v>908</v>
      </c>
      <c r="G660" t="s">
        <v>887</v>
      </c>
      <c r="H660" s="6">
        <f>_xlfn.XLOOKUP(A660,Orders[OrderID],Orders[OrderDate])</f>
        <v>43345</v>
      </c>
      <c r="I660" t="str">
        <f>_xlfn.XLOOKUP(A660,Orders[OrderID],Orders[CustomerName])</f>
        <v>Sakshi</v>
      </c>
      <c r="J660" t="str">
        <f>_xlfn.XLOOKUP(A660,Orders[OrderID],Orders[State])</f>
        <v>Madhya Pradesh</v>
      </c>
      <c r="K660" t="str">
        <f>_xlfn.XLOOKUP(A660,Orders[OrderID],Orders[City])</f>
        <v>Indore</v>
      </c>
      <c r="L660" s="3">
        <f>YEAR(Clean_Data[[#This Row],[OrderDate]])</f>
        <v>2018</v>
      </c>
      <c r="M660" s="3">
        <f>MONTH(Clean_Data[[#This Row],[OrderDate]])</f>
        <v>9</v>
      </c>
      <c r="N660" s="8" t="str">
        <f>TEXT(Clean_Data[[#This Row],[OrderDate]],"mmm")</f>
        <v>Sep</v>
      </c>
      <c r="O660" s="8" t="str">
        <f>TEXT(Clean_Data[[#This Row],[OrderDate]], "yyyy-mm")</f>
        <v>2018-09</v>
      </c>
      <c r="P660" s="7">
        <f>Clean_Data[[#This Row],[Profit]]/Clean_Data[[#This Row],[Revenue ]]</f>
        <v>0.31818181818181818</v>
      </c>
      <c r="Q660" t="str">
        <f>"Q"&amp;ROUNDUP(MONTH(Clean_Data[[#This Row],[OrderDate]])/3,0)</f>
        <v>Q3</v>
      </c>
      <c r="R660" t="str">
        <f>TEXT(Clean_Data[[#This Row],[OrderDate]], "dddd")</f>
        <v>Sunday</v>
      </c>
    </row>
    <row r="661" spans="1:18" x14ac:dyDescent="0.25">
      <c r="A661" t="s">
        <v>390</v>
      </c>
      <c r="B661" s="4">
        <v>59</v>
      </c>
      <c r="C661" s="4">
        <v>15</v>
      </c>
      <c r="D661" s="3">
        <v>2</v>
      </c>
      <c r="E661" t="s">
        <v>895</v>
      </c>
      <c r="F661" t="s">
        <v>906</v>
      </c>
      <c r="G661" t="s">
        <v>898</v>
      </c>
      <c r="H661" s="6">
        <f>_xlfn.XLOOKUP(A661,Orders[OrderID],Orders[OrderDate])</f>
        <v>43188</v>
      </c>
      <c r="I661" t="str">
        <f>_xlfn.XLOOKUP(A661,Orders[OrderID],Orders[CustomerName])</f>
        <v>Pinky</v>
      </c>
      <c r="J661" t="str">
        <f>_xlfn.XLOOKUP(A661,Orders[OrderID],Orders[State])</f>
        <v>Jammu and Kashmir</v>
      </c>
      <c r="K661" t="str">
        <f>_xlfn.XLOOKUP(A661,Orders[OrderID],Orders[City])</f>
        <v>Kashmir</v>
      </c>
      <c r="L661" s="3">
        <f>YEAR(Clean_Data[[#This Row],[OrderDate]])</f>
        <v>2018</v>
      </c>
      <c r="M661" s="3">
        <f>MONTH(Clean_Data[[#This Row],[OrderDate]])</f>
        <v>3</v>
      </c>
      <c r="N661" s="8" t="str">
        <f>TEXT(Clean_Data[[#This Row],[OrderDate]],"mmm")</f>
        <v>Mar</v>
      </c>
      <c r="O661" s="8" t="str">
        <f>TEXT(Clean_Data[[#This Row],[OrderDate]], "yyyy-mm")</f>
        <v>2018-03</v>
      </c>
      <c r="P661" s="7">
        <f>Clean_Data[[#This Row],[Profit]]/Clean_Data[[#This Row],[Revenue ]]</f>
        <v>0.25423728813559321</v>
      </c>
      <c r="Q661" t="str">
        <f>"Q"&amp;ROUNDUP(MONTH(Clean_Data[[#This Row],[OrderDate]])/3,0)</f>
        <v>Q1</v>
      </c>
      <c r="R661" t="str">
        <f>TEXT(Clean_Data[[#This Row],[OrderDate]], "dddd")</f>
        <v>Thursday</v>
      </c>
    </row>
    <row r="662" spans="1:18" x14ac:dyDescent="0.25">
      <c r="A662" t="s">
        <v>395</v>
      </c>
      <c r="B662" s="4">
        <v>166</v>
      </c>
      <c r="C662" s="4">
        <v>27</v>
      </c>
      <c r="D662" s="3">
        <v>2</v>
      </c>
      <c r="E662" t="s">
        <v>885</v>
      </c>
      <c r="F662" t="s">
        <v>905</v>
      </c>
      <c r="G662" t="s">
        <v>890</v>
      </c>
      <c r="H662" s="6">
        <f>_xlfn.XLOOKUP(A662,Orders[OrderID],Orders[OrderDate])</f>
        <v>43165</v>
      </c>
      <c r="I662" t="str">
        <f>_xlfn.XLOOKUP(A662,Orders[OrderID],Orders[CustomerName])</f>
        <v>Paridhi</v>
      </c>
      <c r="J662" t="str">
        <f>_xlfn.XLOOKUP(A662,Orders[OrderID],Orders[State])</f>
        <v>Rajasthan</v>
      </c>
      <c r="K662" t="str">
        <f>_xlfn.XLOOKUP(A662,Orders[OrderID],Orders[City])</f>
        <v>Jaipur</v>
      </c>
      <c r="L662" s="3">
        <f>YEAR(Clean_Data[[#This Row],[OrderDate]])</f>
        <v>2018</v>
      </c>
      <c r="M662" s="3">
        <f>MONTH(Clean_Data[[#This Row],[OrderDate]])</f>
        <v>3</v>
      </c>
      <c r="N662" s="8" t="str">
        <f>TEXT(Clean_Data[[#This Row],[OrderDate]],"mmm")</f>
        <v>Mar</v>
      </c>
      <c r="O662" s="8" t="str">
        <f>TEXT(Clean_Data[[#This Row],[OrderDate]], "yyyy-mm")</f>
        <v>2018-03</v>
      </c>
      <c r="P662" s="7">
        <f>Clean_Data[[#This Row],[Profit]]/Clean_Data[[#This Row],[Revenue ]]</f>
        <v>0.16265060240963855</v>
      </c>
      <c r="Q662" t="str">
        <f>"Q"&amp;ROUNDUP(MONTH(Clean_Data[[#This Row],[OrderDate]])/3,0)</f>
        <v>Q1</v>
      </c>
      <c r="R662" t="str">
        <f>TEXT(Clean_Data[[#This Row],[OrderDate]], "dddd")</f>
        <v>Tuesday</v>
      </c>
    </row>
    <row r="663" spans="1:18" x14ac:dyDescent="0.25">
      <c r="A663" t="s">
        <v>114</v>
      </c>
      <c r="B663" s="4">
        <v>109</v>
      </c>
      <c r="C663" s="4">
        <v>-6</v>
      </c>
      <c r="D663" s="3">
        <v>6</v>
      </c>
      <c r="E663" t="s">
        <v>895</v>
      </c>
      <c r="F663" t="s">
        <v>897</v>
      </c>
      <c r="G663" t="s">
        <v>887</v>
      </c>
      <c r="H663" s="6">
        <f>_xlfn.XLOOKUP(A663,Orders[OrderID],Orders[OrderDate])</f>
        <v>43354</v>
      </c>
      <c r="I663" t="str">
        <f>_xlfn.XLOOKUP(A663,Orders[OrderID],Orders[CustomerName])</f>
        <v>Surabhi</v>
      </c>
      <c r="J663" t="str">
        <f>_xlfn.XLOOKUP(A663,Orders[OrderID],Orders[State])</f>
        <v>Maharashtra</v>
      </c>
      <c r="K663" t="str">
        <f>_xlfn.XLOOKUP(A663,Orders[OrderID],Orders[City])</f>
        <v>Mumbai</v>
      </c>
      <c r="L663" s="3">
        <f>YEAR(Clean_Data[[#This Row],[OrderDate]])</f>
        <v>2018</v>
      </c>
      <c r="M663" s="3">
        <f>MONTH(Clean_Data[[#This Row],[OrderDate]])</f>
        <v>9</v>
      </c>
      <c r="N663" s="8" t="str">
        <f>TEXT(Clean_Data[[#This Row],[OrderDate]],"mmm")</f>
        <v>Sep</v>
      </c>
      <c r="O663" s="8" t="str">
        <f>TEXT(Clean_Data[[#This Row],[OrderDate]], "yyyy-mm")</f>
        <v>2018-09</v>
      </c>
      <c r="P663" s="7">
        <f>Clean_Data[[#This Row],[Profit]]/Clean_Data[[#This Row],[Revenue ]]</f>
        <v>-5.5045871559633031E-2</v>
      </c>
      <c r="Q663" t="str">
        <f>"Q"&amp;ROUNDUP(MONTH(Clean_Data[[#This Row],[OrderDate]])/3,0)</f>
        <v>Q3</v>
      </c>
      <c r="R663" t="str">
        <f>TEXT(Clean_Data[[#This Row],[OrderDate]], "dddd")</f>
        <v>Tuesday</v>
      </c>
    </row>
    <row r="664" spans="1:18" x14ac:dyDescent="0.25">
      <c r="A664" t="s">
        <v>553</v>
      </c>
      <c r="B664" s="4">
        <v>34</v>
      </c>
      <c r="C664" s="4">
        <v>-6</v>
      </c>
      <c r="D664" s="3">
        <v>4</v>
      </c>
      <c r="E664" t="s">
        <v>895</v>
      </c>
      <c r="F664" t="s">
        <v>904</v>
      </c>
      <c r="G664" t="s">
        <v>887</v>
      </c>
      <c r="H664" s="6">
        <f>_xlfn.XLOOKUP(A664,Orders[OrderID],Orders[OrderDate])</f>
        <v>43228</v>
      </c>
      <c r="I664" t="str">
        <f>_xlfn.XLOOKUP(A664,Orders[OrderID],Orders[CustomerName])</f>
        <v>Tushina</v>
      </c>
      <c r="J664" t="str">
        <f>_xlfn.XLOOKUP(A664,Orders[OrderID],Orders[State])</f>
        <v>Goa</v>
      </c>
      <c r="K664" t="str">
        <f>_xlfn.XLOOKUP(A664,Orders[OrderID],Orders[City])</f>
        <v>Goa</v>
      </c>
      <c r="L664" s="3">
        <f>YEAR(Clean_Data[[#This Row],[OrderDate]])</f>
        <v>2018</v>
      </c>
      <c r="M664" s="3">
        <f>MONTH(Clean_Data[[#This Row],[OrderDate]])</f>
        <v>5</v>
      </c>
      <c r="N664" s="8" t="str">
        <f>TEXT(Clean_Data[[#This Row],[OrderDate]],"mmm")</f>
        <v>May</v>
      </c>
      <c r="O664" s="8" t="str">
        <f>TEXT(Clean_Data[[#This Row],[OrderDate]], "yyyy-mm")</f>
        <v>2018-05</v>
      </c>
      <c r="P664" s="7">
        <f>Clean_Data[[#This Row],[Profit]]/Clean_Data[[#This Row],[Revenue ]]</f>
        <v>-0.17647058823529413</v>
      </c>
      <c r="Q664" t="str">
        <f>"Q"&amp;ROUNDUP(MONTH(Clean_Data[[#This Row],[OrderDate]])/3,0)</f>
        <v>Q2</v>
      </c>
      <c r="R664" t="str">
        <f>TEXT(Clean_Data[[#This Row],[OrderDate]], "dddd")</f>
        <v>Tuesday</v>
      </c>
    </row>
    <row r="665" spans="1:18" x14ac:dyDescent="0.25">
      <c r="A665" t="s">
        <v>269</v>
      </c>
      <c r="B665" s="4">
        <v>109</v>
      </c>
      <c r="C665" s="4">
        <v>40</v>
      </c>
      <c r="D665" s="3">
        <v>1</v>
      </c>
      <c r="E665" t="s">
        <v>888</v>
      </c>
      <c r="F665" t="s">
        <v>908</v>
      </c>
      <c r="G665" t="s">
        <v>887</v>
      </c>
      <c r="H665" s="6">
        <f>_xlfn.XLOOKUP(A665,Orders[OrderID],Orders[OrderDate])</f>
        <v>43136</v>
      </c>
      <c r="I665" t="str">
        <f>_xlfn.XLOOKUP(A665,Orders[OrderID],Orders[CustomerName])</f>
        <v>Diwakar</v>
      </c>
      <c r="J665" t="str">
        <f>_xlfn.XLOOKUP(A665,Orders[OrderID],Orders[State])</f>
        <v>Delhi</v>
      </c>
      <c r="K665" t="str">
        <f>_xlfn.XLOOKUP(A665,Orders[OrderID],Orders[City])</f>
        <v>Delhi</v>
      </c>
      <c r="L665" s="3">
        <f>YEAR(Clean_Data[[#This Row],[OrderDate]])</f>
        <v>2018</v>
      </c>
      <c r="M665" s="3">
        <f>MONTH(Clean_Data[[#This Row],[OrderDate]])</f>
        <v>2</v>
      </c>
      <c r="N665" s="8" t="str">
        <f>TEXT(Clean_Data[[#This Row],[OrderDate]],"mmm")</f>
        <v>Feb</v>
      </c>
      <c r="O665" s="8" t="str">
        <f>TEXT(Clean_Data[[#This Row],[OrderDate]], "yyyy-mm")</f>
        <v>2018-02</v>
      </c>
      <c r="P665" s="7">
        <f>Clean_Data[[#This Row],[Profit]]/Clean_Data[[#This Row],[Revenue ]]</f>
        <v>0.3669724770642202</v>
      </c>
      <c r="Q665" t="str">
        <f>"Q"&amp;ROUNDUP(MONTH(Clean_Data[[#This Row],[OrderDate]])/3,0)</f>
        <v>Q1</v>
      </c>
      <c r="R665" t="str">
        <f>TEXT(Clean_Data[[#This Row],[OrderDate]], "dddd")</f>
        <v>Monday</v>
      </c>
    </row>
    <row r="666" spans="1:18" x14ac:dyDescent="0.25">
      <c r="A666" t="s">
        <v>87</v>
      </c>
      <c r="B666" s="4">
        <v>108</v>
      </c>
      <c r="C666" s="4">
        <v>22</v>
      </c>
      <c r="D666" s="3">
        <v>3</v>
      </c>
      <c r="E666" t="s">
        <v>885</v>
      </c>
      <c r="F666" t="s">
        <v>905</v>
      </c>
      <c r="G666" t="s">
        <v>887</v>
      </c>
      <c r="H666" s="6">
        <f>_xlfn.XLOOKUP(A666,Orders[OrderID],Orders[OrderDate])</f>
        <v>43447</v>
      </c>
      <c r="I666" t="str">
        <f>_xlfn.XLOOKUP(A666,Orders[OrderID],Orders[CustomerName])</f>
        <v>Sujay</v>
      </c>
      <c r="J666" t="str">
        <f>_xlfn.XLOOKUP(A666,Orders[OrderID],Orders[State])</f>
        <v>Maharashtra</v>
      </c>
      <c r="K666" t="str">
        <f>_xlfn.XLOOKUP(A666,Orders[OrderID],Orders[City])</f>
        <v>Pune</v>
      </c>
      <c r="L666" s="3">
        <f>YEAR(Clean_Data[[#This Row],[OrderDate]])</f>
        <v>2018</v>
      </c>
      <c r="M666" s="3">
        <f>MONTH(Clean_Data[[#This Row],[OrderDate]])</f>
        <v>12</v>
      </c>
      <c r="N666" s="8" t="str">
        <f>TEXT(Clean_Data[[#This Row],[OrderDate]],"mmm")</f>
        <v>Dec</v>
      </c>
      <c r="O666" s="8" t="str">
        <f>TEXT(Clean_Data[[#This Row],[OrderDate]], "yyyy-mm")</f>
        <v>2018-12</v>
      </c>
      <c r="P666" s="7">
        <f>Clean_Data[[#This Row],[Profit]]/Clean_Data[[#This Row],[Revenue ]]</f>
        <v>0.20370370370370369</v>
      </c>
      <c r="Q666" t="str">
        <f>"Q"&amp;ROUNDUP(MONTH(Clean_Data[[#This Row],[OrderDate]])/3,0)</f>
        <v>Q4</v>
      </c>
      <c r="R666" t="str">
        <f>TEXT(Clean_Data[[#This Row],[OrderDate]], "dddd")</f>
        <v>Thursday</v>
      </c>
    </row>
    <row r="667" spans="1:18" x14ac:dyDescent="0.25">
      <c r="A667" t="s">
        <v>48</v>
      </c>
      <c r="B667" s="4">
        <v>103</v>
      </c>
      <c r="C667" s="4">
        <v>50</v>
      </c>
      <c r="D667" s="3">
        <v>2</v>
      </c>
      <c r="E667" t="s">
        <v>888</v>
      </c>
      <c r="F667" t="s">
        <v>908</v>
      </c>
      <c r="G667" t="s">
        <v>898</v>
      </c>
      <c r="H667" s="6">
        <f>_xlfn.XLOOKUP(A667,Orders[OrderID],Orders[OrderDate])</f>
        <v>43391</v>
      </c>
      <c r="I667" t="str">
        <f>_xlfn.XLOOKUP(A667,Orders[OrderID],Orders[CustomerName])</f>
        <v>Rohan</v>
      </c>
      <c r="J667" t="str">
        <f>_xlfn.XLOOKUP(A667,Orders[OrderID],Orders[State])</f>
        <v>Maharashtra</v>
      </c>
      <c r="K667" t="str">
        <f>_xlfn.XLOOKUP(A667,Orders[OrderID],Orders[City])</f>
        <v>Mumbai</v>
      </c>
      <c r="L667" s="3">
        <f>YEAR(Clean_Data[[#This Row],[OrderDate]])</f>
        <v>2018</v>
      </c>
      <c r="M667" s="3">
        <f>MONTH(Clean_Data[[#This Row],[OrderDate]])</f>
        <v>10</v>
      </c>
      <c r="N667" s="8" t="str">
        <f>TEXT(Clean_Data[[#This Row],[OrderDate]],"mmm")</f>
        <v>Oct</v>
      </c>
      <c r="O667" s="8" t="str">
        <f>TEXT(Clean_Data[[#This Row],[OrderDate]], "yyyy-mm")</f>
        <v>2018-10</v>
      </c>
      <c r="P667" s="7">
        <f>Clean_Data[[#This Row],[Profit]]/Clean_Data[[#This Row],[Revenue ]]</f>
        <v>0.4854368932038835</v>
      </c>
      <c r="Q667" t="str">
        <f>"Q"&amp;ROUNDUP(MONTH(Clean_Data[[#This Row],[OrderDate]])/3,0)</f>
        <v>Q4</v>
      </c>
      <c r="R667" t="str">
        <f>TEXT(Clean_Data[[#This Row],[OrderDate]], "dddd")</f>
        <v>Thursday</v>
      </c>
    </row>
    <row r="668" spans="1:18" x14ac:dyDescent="0.25">
      <c r="A668" t="s">
        <v>720</v>
      </c>
      <c r="B668" s="4">
        <v>10</v>
      </c>
      <c r="C668" s="4">
        <v>-8</v>
      </c>
      <c r="D668" s="3">
        <v>2</v>
      </c>
      <c r="E668" t="s">
        <v>895</v>
      </c>
      <c r="F668" t="s">
        <v>901</v>
      </c>
      <c r="G668" t="s">
        <v>887</v>
      </c>
      <c r="H668" s="6">
        <f>_xlfn.XLOOKUP(A668,Orders[OrderID],Orders[OrderDate])</f>
        <v>43277</v>
      </c>
      <c r="I668" t="str">
        <f>_xlfn.XLOOKUP(A668,Orders[OrderID],Orders[CustomerName])</f>
        <v>Maithilee</v>
      </c>
      <c r="J668" t="str">
        <f>_xlfn.XLOOKUP(A668,Orders[OrderID],Orders[State])</f>
        <v>Madhya Pradesh</v>
      </c>
      <c r="K668" t="str">
        <f>_xlfn.XLOOKUP(A668,Orders[OrderID],Orders[City])</f>
        <v>Indore</v>
      </c>
      <c r="L668" s="3">
        <f>YEAR(Clean_Data[[#This Row],[OrderDate]])</f>
        <v>2018</v>
      </c>
      <c r="M668" s="3">
        <f>MONTH(Clean_Data[[#This Row],[OrderDate]])</f>
        <v>6</v>
      </c>
      <c r="N668" s="8" t="str">
        <f>TEXT(Clean_Data[[#This Row],[OrderDate]],"mmm")</f>
        <v>Jun</v>
      </c>
      <c r="O668" s="8" t="str">
        <f>TEXT(Clean_Data[[#This Row],[OrderDate]], "yyyy-mm")</f>
        <v>2018-06</v>
      </c>
      <c r="P668" s="7">
        <f>Clean_Data[[#This Row],[Profit]]/Clean_Data[[#This Row],[Revenue ]]</f>
        <v>-0.8</v>
      </c>
      <c r="Q668" t="str">
        <f>"Q"&amp;ROUNDUP(MONTH(Clean_Data[[#This Row],[OrderDate]])/3,0)</f>
        <v>Q2</v>
      </c>
      <c r="R668" t="str">
        <f>TEXT(Clean_Data[[#This Row],[OrderDate]], "dddd")</f>
        <v>Tuesday</v>
      </c>
    </row>
    <row r="669" spans="1:18" x14ac:dyDescent="0.25">
      <c r="A669" t="s">
        <v>142</v>
      </c>
      <c r="B669" s="4">
        <v>90</v>
      </c>
      <c r="C669" s="4">
        <v>17</v>
      </c>
      <c r="D669" s="3">
        <v>3</v>
      </c>
      <c r="E669" t="s">
        <v>895</v>
      </c>
      <c r="F669" t="s">
        <v>899</v>
      </c>
      <c r="G669" t="s">
        <v>887</v>
      </c>
      <c r="H669" s="6">
        <f>_xlfn.XLOOKUP(A669,Orders[OrderID],Orders[OrderDate])</f>
        <v>43412</v>
      </c>
      <c r="I669" t="str">
        <f>_xlfn.XLOOKUP(A669,Orders[OrderID],Orders[CustomerName])</f>
        <v>Abhijeet</v>
      </c>
      <c r="J669" t="str">
        <f>_xlfn.XLOOKUP(A669,Orders[OrderID],Orders[State])</f>
        <v>Madhya Pradesh</v>
      </c>
      <c r="K669" t="str">
        <f>_xlfn.XLOOKUP(A669,Orders[OrderID],Orders[City])</f>
        <v>Bhopal</v>
      </c>
      <c r="L669" s="3">
        <f>YEAR(Clean_Data[[#This Row],[OrderDate]])</f>
        <v>2018</v>
      </c>
      <c r="M669" s="3">
        <f>MONTH(Clean_Data[[#This Row],[OrderDate]])</f>
        <v>11</v>
      </c>
      <c r="N669" s="8" t="str">
        <f>TEXT(Clean_Data[[#This Row],[OrderDate]],"mmm")</f>
        <v>Nov</v>
      </c>
      <c r="O669" s="8" t="str">
        <f>TEXT(Clean_Data[[#This Row],[OrderDate]], "yyyy-mm")</f>
        <v>2018-11</v>
      </c>
      <c r="P669" s="7">
        <f>Clean_Data[[#This Row],[Profit]]/Clean_Data[[#This Row],[Revenue ]]</f>
        <v>0.18888888888888888</v>
      </c>
      <c r="Q669" t="str">
        <f>"Q"&amp;ROUNDUP(MONTH(Clean_Data[[#This Row],[OrderDate]])/3,0)</f>
        <v>Q4</v>
      </c>
      <c r="R669" t="str">
        <f>TEXT(Clean_Data[[#This Row],[OrderDate]], "dddd")</f>
        <v>Thursday</v>
      </c>
    </row>
    <row r="670" spans="1:18" x14ac:dyDescent="0.25">
      <c r="A670" t="s">
        <v>414</v>
      </c>
      <c r="B670" s="4">
        <v>105</v>
      </c>
      <c r="C670" s="4">
        <v>46</v>
      </c>
      <c r="D670" s="3">
        <v>2</v>
      </c>
      <c r="E670" t="s">
        <v>895</v>
      </c>
      <c r="F670" t="s">
        <v>903</v>
      </c>
      <c r="G670" t="s">
        <v>898</v>
      </c>
      <c r="H670" s="6">
        <f>_xlfn.XLOOKUP(A670,Orders[OrderID],Orders[OrderDate])</f>
        <v>43230</v>
      </c>
      <c r="I670" t="str">
        <f>_xlfn.XLOOKUP(A670,Orders[OrderID],Orders[CustomerName])</f>
        <v>Sabah</v>
      </c>
      <c r="J670" t="str">
        <f>_xlfn.XLOOKUP(A670,Orders[OrderID],Orders[State])</f>
        <v>Maharashtra</v>
      </c>
      <c r="K670" t="str">
        <f>_xlfn.XLOOKUP(A670,Orders[OrderID],Orders[City])</f>
        <v>Mumbai</v>
      </c>
      <c r="L670" s="3">
        <f>YEAR(Clean_Data[[#This Row],[OrderDate]])</f>
        <v>2018</v>
      </c>
      <c r="M670" s="3">
        <f>MONTH(Clean_Data[[#This Row],[OrderDate]])</f>
        <v>5</v>
      </c>
      <c r="N670" s="8" t="str">
        <f>TEXT(Clean_Data[[#This Row],[OrderDate]],"mmm")</f>
        <v>May</v>
      </c>
      <c r="O670" s="8" t="str">
        <f>TEXT(Clean_Data[[#This Row],[OrderDate]], "yyyy-mm")</f>
        <v>2018-05</v>
      </c>
      <c r="P670" s="7">
        <f>Clean_Data[[#This Row],[Profit]]/Clean_Data[[#This Row],[Revenue ]]</f>
        <v>0.43809523809523809</v>
      </c>
      <c r="Q670" t="str">
        <f>"Q"&amp;ROUNDUP(MONTH(Clean_Data[[#This Row],[OrderDate]])/3,0)</f>
        <v>Q2</v>
      </c>
      <c r="R670" t="str">
        <f>TEXT(Clean_Data[[#This Row],[OrderDate]], "dddd")</f>
        <v>Thursday</v>
      </c>
    </row>
    <row r="671" spans="1:18" x14ac:dyDescent="0.25">
      <c r="A671" t="s">
        <v>606</v>
      </c>
      <c r="B671" s="4">
        <v>105</v>
      </c>
      <c r="C671" s="4">
        <v>20</v>
      </c>
      <c r="D671" s="3">
        <v>2</v>
      </c>
      <c r="E671" t="s">
        <v>895</v>
      </c>
      <c r="F671" t="s">
        <v>903</v>
      </c>
      <c r="G671" t="s">
        <v>907</v>
      </c>
      <c r="H671" s="6">
        <f>_xlfn.XLOOKUP(A671,Orders[OrderID],Orders[OrderDate])</f>
        <v>43212</v>
      </c>
      <c r="I671" t="str">
        <f>_xlfn.XLOOKUP(A671,Orders[OrderID],Orders[CustomerName])</f>
        <v>Atharv</v>
      </c>
      <c r="J671" t="str">
        <f>_xlfn.XLOOKUP(A671,Orders[OrderID],Orders[State])</f>
        <v>West Bengal</v>
      </c>
      <c r="K671" t="str">
        <f>_xlfn.XLOOKUP(A671,Orders[OrderID],Orders[City])</f>
        <v>Kolkata</v>
      </c>
      <c r="L671" s="3">
        <f>YEAR(Clean_Data[[#This Row],[OrderDate]])</f>
        <v>2018</v>
      </c>
      <c r="M671" s="3">
        <f>MONTH(Clean_Data[[#This Row],[OrderDate]])</f>
        <v>4</v>
      </c>
      <c r="N671" s="8" t="str">
        <f>TEXT(Clean_Data[[#This Row],[OrderDate]],"mmm")</f>
        <v>Apr</v>
      </c>
      <c r="O671" s="8" t="str">
        <f>TEXT(Clean_Data[[#This Row],[OrderDate]], "yyyy-mm")</f>
        <v>2018-04</v>
      </c>
      <c r="P671" s="7">
        <f>Clean_Data[[#This Row],[Profit]]/Clean_Data[[#This Row],[Revenue ]]</f>
        <v>0.19047619047619047</v>
      </c>
      <c r="Q671" t="str">
        <f>"Q"&amp;ROUNDUP(MONTH(Clean_Data[[#This Row],[OrderDate]])/3,0)</f>
        <v>Q2</v>
      </c>
      <c r="R671" t="str">
        <f>TEXT(Clean_Data[[#This Row],[OrderDate]], "dddd")</f>
        <v>Sunday</v>
      </c>
    </row>
    <row r="672" spans="1:18" x14ac:dyDescent="0.25">
      <c r="A672" t="s">
        <v>849</v>
      </c>
      <c r="B672" s="4">
        <v>22</v>
      </c>
      <c r="C672" s="4">
        <v>-6</v>
      </c>
      <c r="D672" s="3">
        <v>1</v>
      </c>
      <c r="E672" t="s">
        <v>888</v>
      </c>
      <c r="F672" t="s">
        <v>908</v>
      </c>
      <c r="G672" t="s">
        <v>887</v>
      </c>
      <c r="H672" s="6">
        <f>_xlfn.XLOOKUP(A672,Orders[OrderID],Orders[OrderDate])</f>
        <v>43217</v>
      </c>
      <c r="I672" t="str">
        <f>_xlfn.XLOOKUP(A672,Orders[OrderID],Orders[CustomerName])</f>
        <v>Parishi</v>
      </c>
      <c r="J672" t="str">
        <f>_xlfn.XLOOKUP(A672,Orders[OrderID],Orders[State])</f>
        <v>West Bengal</v>
      </c>
      <c r="K672" t="str">
        <f>_xlfn.XLOOKUP(A672,Orders[OrderID],Orders[City])</f>
        <v>Kolkata</v>
      </c>
      <c r="L672" s="3">
        <f>YEAR(Clean_Data[[#This Row],[OrderDate]])</f>
        <v>2018</v>
      </c>
      <c r="M672" s="3">
        <f>MONTH(Clean_Data[[#This Row],[OrderDate]])</f>
        <v>4</v>
      </c>
      <c r="N672" s="8" t="str">
        <f>TEXT(Clean_Data[[#This Row],[OrderDate]],"mmm")</f>
        <v>Apr</v>
      </c>
      <c r="O672" s="8" t="str">
        <f>TEXT(Clean_Data[[#This Row],[OrderDate]], "yyyy-mm")</f>
        <v>2018-04</v>
      </c>
      <c r="P672" s="7">
        <f>Clean_Data[[#This Row],[Profit]]/Clean_Data[[#This Row],[Revenue ]]</f>
        <v>-0.27272727272727271</v>
      </c>
      <c r="Q672" t="str">
        <f>"Q"&amp;ROUNDUP(MONTH(Clean_Data[[#This Row],[OrderDate]])/3,0)</f>
        <v>Q2</v>
      </c>
      <c r="R672" t="str">
        <f>TEXT(Clean_Data[[#This Row],[OrderDate]], "dddd")</f>
        <v>Friday</v>
      </c>
    </row>
    <row r="673" spans="1:18" x14ac:dyDescent="0.25">
      <c r="A673" t="s">
        <v>244</v>
      </c>
      <c r="B673" s="4">
        <v>105</v>
      </c>
      <c r="C673" s="4">
        <v>-33</v>
      </c>
      <c r="D673" s="3">
        <v>5</v>
      </c>
      <c r="E673" t="s">
        <v>895</v>
      </c>
      <c r="F673" t="s">
        <v>900</v>
      </c>
      <c r="G673" t="s">
        <v>887</v>
      </c>
      <c r="H673" s="6">
        <f>_xlfn.XLOOKUP(A673,Orders[OrderID],Orders[OrderDate])</f>
        <v>43411</v>
      </c>
      <c r="I673" t="str">
        <f>_xlfn.XLOOKUP(A673,Orders[OrderID],Orders[CustomerName])</f>
        <v>Soumyabrata</v>
      </c>
      <c r="J673" t="str">
        <f>_xlfn.XLOOKUP(A673,Orders[OrderID],Orders[State])</f>
        <v>Andhra Pradesh</v>
      </c>
      <c r="K673" t="str">
        <f>_xlfn.XLOOKUP(A673,Orders[OrderID],Orders[City])</f>
        <v>Hyderabad</v>
      </c>
      <c r="L673" s="3">
        <f>YEAR(Clean_Data[[#This Row],[OrderDate]])</f>
        <v>2018</v>
      </c>
      <c r="M673" s="3">
        <f>MONTH(Clean_Data[[#This Row],[OrderDate]])</f>
        <v>11</v>
      </c>
      <c r="N673" s="8" t="str">
        <f>TEXT(Clean_Data[[#This Row],[OrderDate]],"mmm")</f>
        <v>Nov</v>
      </c>
      <c r="O673" s="8" t="str">
        <f>TEXT(Clean_Data[[#This Row],[OrderDate]], "yyyy-mm")</f>
        <v>2018-11</v>
      </c>
      <c r="P673" s="7">
        <f>Clean_Data[[#This Row],[Profit]]/Clean_Data[[#This Row],[Revenue ]]</f>
        <v>-0.31428571428571428</v>
      </c>
      <c r="Q673" t="str">
        <f>"Q"&amp;ROUNDUP(MONTH(Clean_Data[[#This Row],[OrderDate]])/3,0)</f>
        <v>Q4</v>
      </c>
      <c r="R673" t="str">
        <f>TEXT(Clean_Data[[#This Row],[OrderDate]], "dddd")</f>
        <v>Wednesday</v>
      </c>
    </row>
    <row r="674" spans="1:18" x14ac:dyDescent="0.25">
      <c r="A674" t="s">
        <v>455</v>
      </c>
      <c r="B674" s="4">
        <v>105</v>
      </c>
      <c r="C674" s="4">
        <v>25</v>
      </c>
      <c r="D674" s="3">
        <v>2</v>
      </c>
      <c r="E674" t="s">
        <v>895</v>
      </c>
      <c r="F674" t="s">
        <v>899</v>
      </c>
      <c r="G674" t="s">
        <v>890</v>
      </c>
      <c r="H674" s="6">
        <f>_xlfn.XLOOKUP(A674,Orders[OrderID],Orders[OrderDate])</f>
        <v>43118</v>
      </c>
      <c r="I674" t="str">
        <f>_xlfn.XLOOKUP(A674,Orders[OrderID],Orders[CustomerName])</f>
        <v>Aparajita</v>
      </c>
      <c r="J674" t="str">
        <f>_xlfn.XLOOKUP(A674,Orders[OrderID],Orders[State])</f>
        <v>West Bengal</v>
      </c>
      <c r="K674" t="str">
        <f>_xlfn.XLOOKUP(A674,Orders[OrderID],Orders[City])</f>
        <v>Kolkata</v>
      </c>
      <c r="L674" s="3">
        <f>YEAR(Clean_Data[[#This Row],[OrderDate]])</f>
        <v>2018</v>
      </c>
      <c r="M674" s="3">
        <f>MONTH(Clean_Data[[#This Row],[OrderDate]])</f>
        <v>1</v>
      </c>
      <c r="N674" s="8" t="str">
        <f>TEXT(Clean_Data[[#This Row],[OrderDate]],"mmm")</f>
        <v>Jan</v>
      </c>
      <c r="O674" s="8" t="str">
        <f>TEXT(Clean_Data[[#This Row],[OrderDate]], "yyyy-mm")</f>
        <v>2018-01</v>
      </c>
      <c r="P674" s="7">
        <f>Clean_Data[[#This Row],[Profit]]/Clean_Data[[#This Row],[Revenue ]]</f>
        <v>0.23809523809523808</v>
      </c>
      <c r="Q674" t="str">
        <f>"Q"&amp;ROUNDUP(MONTH(Clean_Data[[#This Row],[OrderDate]])/3,0)</f>
        <v>Q1</v>
      </c>
      <c r="R674" t="str">
        <f>TEXT(Clean_Data[[#This Row],[OrderDate]], "dddd")</f>
        <v>Thursday</v>
      </c>
    </row>
    <row r="675" spans="1:18" x14ac:dyDescent="0.25">
      <c r="A675" t="s">
        <v>333</v>
      </c>
      <c r="B675" s="4">
        <v>25</v>
      </c>
      <c r="C675" s="4">
        <v>-7</v>
      </c>
      <c r="D675" s="3">
        <v>5</v>
      </c>
      <c r="E675" t="s">
        <v>895</v>
      </c>
      <c r="F675" t="s">
        <v>897</v>
      </c>
      <c r="G675" t="s">
        <v>898</v>
      </c>
      <c r="H675" s="6">
        <f>_xlfn.XLOOKUP(A675,Orders[OrderID],Orders[OrderDate])</f>
        <v>43378</v>
      </c>
      <c r="I675" t="str">
        <f>_xlfn.XLOOKUP(A675,Orders[OrderID],Orders[CustomerName])</f>
        <v>Yash</v>
      </c>
      <c r="J675" t="str">
        <f>_xlfn.XLOOKUP(A675,Orders[OrderID],Orders[State])</f>
        <v>Maharashtra</v>
      </c>
      <c r="K675" t="str">
        <f>_xlfn.XLOOKUP(A675,Orders[OrderID],Orders[City])</f>
        <v>Mumbai</v>
      </c>
      <c r="L675" s="3">
        <f>YEAR(Clean_Data[[#This Row],[OrderDate]])</f>
        <v>2018</v>
      </c>
      <c r="M675" s="3">
        <f>MONTH(Clean_Data[[#This Row],[OrderDate]])</f>
        <v>10</v>
      </c>
      <c r="N675" s="8" t="str">
        <f>TEXT(Clean_Data[[#This Row],[OrderDate]],"mmm")</f>
        <v>Oct</v>
      </c>
      <c r="O675" s="8" t="str">
        <f>TEXT(Clean_Data[[#This Row],[OrderDate]], "yyyy-mm")</f>
        <v>2018-10</v>
      </c>
      <c r="P675" s="7">
        <f>Clean_Data[[#This Row],[Profit]]/Clean_Data[[#This Row],[Revenue ]]</f>
        <v>-0.28000000000000003</v>
      </c>
      <c r="Q675" t="str">
        <f>"Q"&amp;ROUNDUP(MONTH(Clean_Data[[#This Row],[OrderDate]])/3,0)</f>
        <v>Q4</v>
      </c>
      <c r="R675" t="str">
        <f>TEXT(Clean_Data[[#This Row],[OrderDate]], "dddd")</f>
        <v>Friday</v>
      </c>
    </row>
    <row r="676" spans="1:18" x14ac:dyDescent="0.25">
      <c r="A676" t="s">
        <v>48</v>
      </c>
      <c r="B676" s="4">
        <v>104</v>
      </c>
      <c r="C676" s="4">
        <v>2</v>
      </c>
      <c r="D676" s="3">
        <v>2</v>
      </c>
      <c r="E676" t="s">
        <v>888</v>
      </c>
      <c r="F676" t="s">
        <v>908</v>
      </c>
      <c r="G676" t="s">
        <v>887</v>
      </c>
      <c r="H676" s="6">
        <f>_xlfn.XLOOKUP(A676,Orders[OrderID],Orders[OrderDate])</f>
        <v>43391</v>
      </c>
      <c r="I676" t="str">
        <f>_xlfn.XLOOKUP(A676,Orders[OrderID],Orders[CustomerName])</f>
        <v>Rohan</v>
      </c>
      <c r="J676" t="str">
        <f>_xlfn.XLOOKUP(A676,Orders[OrderID],Orders[State])</f>
        <v>Maharashtra</v>
      </c>
      <c r="K676" t="str">
        <f>_xlfn.XLOOKUP(A676,Orders[OrderID],Orders[City])</f>
        <v>Mumbai</v>
      </c>
      <c r="L676" s="3">
        <f>YEAR(Clean_Data[[#This Row],[OrderDate]])</f>
        <v>2018</v>
      </c>
      <c r="M676" s="3">
        <f>MONTH(Clean_Data[[#This Row],[OrderDate]])</f>
        <v>10</v>
      </c>
      <c r="N676" s="8" t="str">
        <f>TEXT(Clean_Data[[#This Row],[OrderDate]],"mmm")</f>
        <v>Oct</v>
      </c>
      <c r="O676" s="8" t="str">
        <f>TEXT(Clean_Data[[#This Row],[OrderDate]], "yyyy-mm")</f>
        <v>2018-10</v>
      </c>
      <c r="P676" s="7">
        <f>Clean_Data[[#This Row],[Profit]]/Clean_Data[[#This Row],[Revenue ]]</f>
        <v>1.9230769230769232E-2</v>
      </c>
      <c r="Q676" t="str">
        <f>"Q"&amp;ROUNDUP(MONTH(Clean_Data[[#This Row],[OrderDate]])/3,0)</f>
        <v>Q4</v>
      </c>
      <c r="R676" t="str">
        <f>TEXT(Clean_Data[[#This Row],[OrderDate]], "dddd")</f>
        <v>Thursday</v>
      </c>
    </row>
    <row r="677" spans="1:18" x14ac:dyDescent="0.25">
      <c r="A677" t="s">
        <v>867</v>
      </c>
      <c r="B677" s="4">
        <v>16</v>
      </c>
      <c r="C677" s="4">
        <v>5</v>
      </c>
      <c r="D677" s="3">
        <v>1</v>
      </c>
      <c r="E677" t="s">
        <v>895</v>
      </c>
      <c r="F677" t="s">
        <v>903</v>
      </c>
      <c r="G677" t="s">
        <v>898</v>
      </c>
      <c r="H677" s="6">
        <f>_xlfn.XLOOKUP(A677,Orders[OrderID],Orders[OrderDate])</f>
        <v>43402</v>
      </c>
      <c r="I677" t="str">
        <f>_xlfn.XLOOKUP(A677,Orders[OrderID],Orders[CustomerName])</f>
        <v>Ananya</v>
      </c>
      <c r="J677" t="str">
        <f>_xlfn.XLOOKUP(A677,Orders[OrderID],Orders[State])</f>
        <v>Andhra Pradesh</v>
      </c>
      <c r="K677" t="str">
        <f>_xlfn.XLOOKUP(A677,Orders[OrderID],Orders[City])</f>
        <v>Hyderabad</v>
      </c>
      <c r="L677" s="3">
        <f>YEAR(Clean_Data[[#This Row],[OrderDate]])</f>
        <v>2018</v>
      </c>
      <c r="M677" s="3">
        <f>MONTH(Clean_Data[[#This Row],[OrderDate]])</f>
        <v>10</v>
      </c>
      <c r="N677" s="8" t="str">
        <f>TEXT(Clean_Data[[#This Row],[OrderDate]],"mmm")</f>
        <v>Oct</v>
      </c>
      <c r="O677" s="8" t="str">
        <f>TEXT(Clean_Data[[#This Row],[OrderDate]], "yyyy-mm")</f>
        <v>2018-10</v>
      </c>
      <c r="P677" s="7">
        <f>Clean_Data[[#This Row],[Profit]]/Clean_Data[[#This Row],[Revenue ]]</f>
        <v>0.3125</v>
      </c>
      <c r="Q677" t="str">
        <f>"Q"&amp;ROUNDUP(MONTH(Clean_Data[[#This Row],[OrderDate]])/3,0)</f>
        <v>Q4</v>
      </c>
      <c r="R677" t="str">
        <f>TEXT(Clean_Data[[#This Row],[OrderDate]], "dddd")</f>
        <v>Monday</v>
      </c>
    </row>
    <row r="678" spans="1:18" x14ac:dyDescent="0.25">
      <c r="A678" t="s">
        <v>478</v>
      </c>
      <c r="B678" s="4">
        <v>64</v>
      </c>
      <c r="C678" s="4">
        <v>-7</v>
      </c>
      <c r="D678" s="3">
        <v>3</v>
      </c>
      <c r="E678" t="s">
        <v>895</v>
      </c>
      <c r="F678" t="s">
        <v>897</v>
      </c>
      <c r="G678" t="s">
        <v>887</v>
      </c>
      <c r="H678" s="6">
        <f>_xlfn.XLOOKUP(A678,Orders[OrderID],Orders[OrderDate])</f>
        <v>43254</v>
      </c>
      <c r="I678" t="str">
        <f>_xlfn.XLOOKUP(A678,Orders[OrderID],Orders[CustomerName])</f>
        <v>Bathina</v>
      </c>
      <c r="J678" t="str">
        <f>_xlfn.XLOOKUP(A678,Orders[OrderID],Orders[State])</f>
        <v>Karnataka</v>
      </c>
      <c r="K678" t="str">
        <f>_xlfn.XLOOKUP(A678,Orders[OrderID],Orders[City])</f>
        <v>Bangalore</v>
      </c>
      <c r="L678" s="3">
        <f>YEAR(Clean_Data[[#This Row],[OrderDate]])</f>
        <v>2018</v>
      </c>
      <c r="M678" s="3">
        <f>MONTH(Clean_Data[[#This Row],[OrderDate]])</f>
        <v>6</v>
      </c>
      <c r="N678" s="8" t="str">
        <f>TEXT(Clean_Data[[#This Row],[OrderDate]],"mmm")</f>
        <v>Jun</v>
      </c>
      <c r="O678" s="8" t="str">
        <f>TEXT(Clean_Data[[#This Row],[OrderDate]], "yyyy-mm")</f>
        <v>2018-06</v>
      </c>
      <c r="P678" s="7">
        <f>Clean_Data[[#This Row],[Profit]]/Clean_Data[[#This Row],[Revenue ]]</f>
        <v>-0.109375</v>
      </c>
      <c r="Q678" t="str">
        <f>"Q"&amp;ROUNDUP(MONTH(Clean_Data[[#This Row],[OrderDate]])/3,0)</f>
        <v>Q2</v>
      </c>
      <c r="R678" t="str">
        <f>TEXT(Clean_Data[[#This Row],[OrderDate]], "dddd")</f>
        <v>Sunday</v>
      </c>
    </row>
    <row r="679" spans="1:18" x14ac:dyDescent="0.25">
      <c r="A679" t="s">
        <v>817</v>
      </c>
      <c r="B679" s="4">
        <v>38</v>
      </c>
      <c r="C679" s="4">
        <v>-6</v>
      </c>
      <c r="D679" s="3">
        <v>2</v>
      </c>
      <c r="E679" t="s">
        <v>888</v>
      </c>
      <c r="F679" t="s">
        <v>908</v>
      </c>
      <c r="G679" t="s">
        <v>898</v>
      </c>
      <c r="H679" s="6">
        <f>_xlfn.XLOOKUP(A679,Orders[OrderID],Orders[OrderDate])</f>
        <v>43350</v>
      </c>
      <c r="I679" t="str">
        <f>_xlfn.XLOOKUP(A679,Orders[OrderID],Orders[CustomerName])</f>
        <v>Snehal</v>
      </c>
      <c r="J679" t="str">
        <f>_xlfn.XLOOKUP(A679,Orders[OrderID],Orders[State])</f>
        <v>Punjab</v>
      </c>
      <c r="K679" t="str">
        <f>_xlfn.XLOOKUP(A679,Orders[OrderID],Orders[City])</f>
        <v>Chandigarh</v>
      </c>
      <c r="L679" s="3">
        <f>YEAR(Clean_Data[[#This Row],[OrderDate]])</f>
        <v>2018</v>
      </c>
      <c r="M679" s="3">
        <f>MONTH(Clean_Data[[#This Row],[OrderDate]])</f>
        <v>9</v>
      </c>
      <c r="N679" s="8" t="str">
        <f>TEXT(Clean_Data[[#This Row],[OrderDate]],"mmm")</f>
        <v>Sep</v>
      </c>
      <c r="O679" s="8" t="str">
        <f>TEXT(Clean_Data[[#This Row],[OrderDate]], "yyyy-mm")</f>
        <v>2018-09</v>
      </c>
      <c r="P679" s="7">
        <f>Clean_Data[[#This Row],[Profit]]/Clean_Data[[#This Row],[Revenue ]]</f>
        <v>-0.15789473684210525</v>
      </c>
      <c r="Q679" t="str">
        <f>"Q"&amp;ROUNDUP(MONTH(Clean_Data[[#This Row],[OrderDate]])/3,0)</f>
        <v>Q3</v>
      </c>
      <c r="R679" t="str">
        <f>TEXT(Clean_Data[[#This Row],[OrderDate]], "dddd")</f>
        <v>Friday</v>
      </c>
    </row>
    <row r="680" spans="1:18" x14ac:dyDescent="0.25">
      <c r="A680" t="s">
        <v>242</v>
      </c>
      <c r="B680" s="4">
        <v>83</v>
      </c>
      <c r="C680" s="4">
        <v>12</v>
      </c>
      <c r="D680" s="3">
        <v>2</v>
      </c>
      <c r="E680" t="s">
        <v>888</v>
      </c>
      <c r="F680" t="s">
        <v>889</v>
      </c>
      <c r="G680" t="s">
        <v>887</v>
      </c>
      <c r="H680" s="6">
        <f>_xlfn.XLOOKUP(A680,Orders[OrderID],Orders[OrderDate])</f>
        <v>43444</v>
      </c>
      <c r="I680" t="str">
        <f>_xlfn.XLOOKUP(A680,Orders[OrderID],Orders[CustomerName])</f>
        <v>Swapnil</v>
      </c>
      <c r="J680" t="str">
        <f>_xlfn.XLOOKUP(A680,Orders[OrderID],Orders[State])</f>
        <v>Delhi</v>
      </c>
      <c r="K680" t="str">
        <f>_xlfn.XLOOKUP(A680,Orders[OrderID],Orders[City])</f>
        <v>Delhi</v>
      </c>
      <c r="L680" s="3">
        <f>YEAR(Clean_Data[[#This Row],[OrderDate]])</f>
        <v>2018</v>
      </c>
      <c r="M680" s="3">
        <f>MONTH(Clean_Data[[#This Row],[OrderDate]])</f>
        <v>12</v>
      </c>
      <c r="N680" s="8" t="str">
        <f>TEXT(Clean_Data[[#This Row],[OrderDate]],"mmm")</f>
        <v>Dec</v>
      </c>
      <c r="O680" s="8" t="str">
        <f>TEXT(Clean_Data[[#This Row],[OrderDate]], "yyyy-mm")</f>
        <v>2018-12</v>
      </c>
      <c r="P680" s="7">
        <f>Clean_Data[[#This Row],[Profit]]/Clean_Data[[#This Row],[Revenue ]]</f>
        <v>0.14457831325301204</v>
      </c>
      <c r="Q680" t="str">
        <f>"Q"&amp;ROUNDUP(MONTH(Clean_Data[[#This Row],[OrderDate]])/3,0)</f>
        <v>Q4</v>
      </c>
      <c r="R680" t="str">
        <f>TEXT(Clean_Data[[#This Row],[OrderDate]], "dddd")</f>
        <v>Monday</v>
      </c>
    </row>
    <row r="681" spans="1:18" x14ac:dyDescent="0.25">
      <c r="A681" t="s">
        <v>507</v>
      </c>
      <c r="B681" s="4">
        <v>103</v>
      </c>
      <c r="C681" s="4">
        <v>36</v>
      </c>
      <c r="D681" s="3">
        <v>2</v>
      </c>
      <c r="E681" t="s">
        <v>895</v>
      </c>
      <c r="F681" t="s">
        <v>899</v>
      </c>
      <c r="G681" t="s">
        <v>887</v>
      </c>
      <c r="H681" s="6">
        <f>_xlfn.XLOOKUP(A681,Orders[OrderID],Orders[OrderDate])</f>
        <v>43439</v>
      </c>
      <c r="I681" t="str">
        <f>_xlfn.XLOOKUP(A681,Orders[OrderID],Orders[CustomerName])</f>
        <v>Aman</v>
      </c>
      <c r="J681" t="str">
        <f>_xlfn.XLOOKUP(A681,Orders[OrderID],Orders[State])</f>
        <v>Maharashtra</v>
      </c>
      <c r="K681" t="str">
        <f>_xlfn.XLOOKUP(A681,Orders[OrderID],Orders[City])</f>
        <v>Mumbai</v>
      </c>
      <c r="L681" s="3">
        <f>YEAR(Clean_Data[[#This Row],[OrderDate]])</f>
        <v>2018</v>
      </c>
      <c r="M681" s="3">
        <f>MONTH(Clean_Data[[#This Row],[OrderDate]])</f>
        <v>12</v>
      </c>
      <c r="N681" s="8" t="str">
        <f>TEXT(Clean_Data[[#This Row],[OrderDate]],"mmm")</f>
        <v>Dec</v>
      </c>
      <c r="O681" s="8" t="str">
        <f>TEXT(Clean_Data[[#This Row],[OrderDate]], "yyyy-mm")</f>
        <v>2018-12</v>
      </c>
      <c r="P681" s="7">
        <f>Clean_Data[[#This Row],[Profit]]/Clean_Data[[#This Row],[Revenue ]]</f>
        <v>0.34951456310679613</v>
      </c>
      <c r="Q681" t="str">
        <f>"Q"&amp;ROUNDUP(MONTH(Clean_Data[[#This Row],[OrderDate]])/3,0)</f>
        <v>Q4</v>
      </c>
      <c r="R681" t="str">
        <f>TEXT(Clean_Data[[#This Row],[OrderDate]], "dddd")</f>
        <v>Wednesday</v>
      </c>
    </row>
    <row r="682" spans="1:18" x14ac:dyDescent="0.25">
      <c r="A682" t="s">
        <v>337</v>
      </c>
      <c r="B682" s="4">
        <v>37</v>
      </c>
      <c r="C682" s="4">
        <v>-6</v>
      </c>
      <c r="D682" s="3">
        <v>1</v>
      </c>
      <c r="E682" t="s">
        <v>895</v>
      </c>
      <c r="F682" t="s">
        <v>897</v>
      </c>
      <c r="G682" t="s">
        <v>898</v>
      </c>
      <c r="H682" s="6">
        <f>_xlfn.XLOOKUP(A682,Orders[OrderID],Orders[OrderDate])</f>
        <v>43367</v>
      </c>
      <c r="I682" t="str">
        <f>_xlfn.XLOOKUP(A682,Orders[OrderID],Orders[CustomerName])</f>
        <v>Sukrith</v>
      </c>
      <c r="J682" t="str">
        <f>_xlfn.XLOOKUP(A682,Orders[OrderID],Orders[State])</f>
        <v>Maharashtra</v>
      </c>
      <c r="K682" t="str">
        <f>_xlfn.XLOOKUP(A682,Orders[OrderID],Orders[City])</f>
        <v>Mumbai</v>
      </c>
      <c r="L682" s="3">
        <f>YEAR(Clean_Data[[#This Row],[OrderDate]])</f>
        <v>2018</v>
      </c>
      <c r="M682" s="3">
        <f>MONTH(Clean_Data[[#This Row],[OrderDate]])</f>
        <v>9</v>
      </c>
      <c r="N682" s="8" t="str">
        <f>TEXT(Clean_Data[[#This Row],[OrderDate]],"mmm")</f>
        <v>Sep</v>
      </c>
      <c r="O682" s="8" t="str">
        <f>TEXT(Clean_Data[[#This Row],[OrderDate]], "yyyy-mm")</f>
        <v>2018-09</v>
      </c>
      <c r="P682" s="7">
        <f>Clean_Data[[#This Row],[Profit]]/Clean_Data[[#This Row],[Revenue ]]</f>
        <v>-0.16216216216216217</v>
      </c>
      <c r="Q682" t="str">
        <f>"Q"&amp;ROUNDUP(MONTH(Clean_Data[[#This Row],[OrderDate]])/3,0)</f>
        <v>Q3</v>
      </c>
      <c r="R682" t="str">
        <f>TEXT(Clean_Data[[#This Row],[OrderDate]], "dddd")</f>
        <v>Monday</v>
      </c>
    </row>
    <row r="683" spans="1:18" x14ac:dyDescent="0.25">
      <c r="A683" t="s">
        <v>701</v>
      </c>
      <c r="B683" s="4">
        <v>105</v>
      </c>
      <c r="C683" s="4">
        <v>33</v>
      </c>
      <c r="D683" s="3">
        <v>6</v>
      </c>
      <c r="E683" t="s">
        <v>895</v>
      </c>
      <c r="F683" t="s">
        <v>897</v>
      </c>
      <c r="G683" t="s">
        <v>890</v>
      </c>
      <c r="H683" s="6">
        <f>_xlfn.XLOOKUP(A683,Orders[OrderID],Orders[OrderDate])</f>
        <v>43104</v>
      </c>
      <c r="I683" t="str">
        <f>_xlfn.XLOOKUP(A683,Orders[OrderID],Orders[CustomerName])</f>
        <v>Rahul</v>
      </c>
      <c r="J683" t="str">
        <f>_xlfn.XLOOKUP(A683,Orders[OrderID],Orders[State])</f>
        <v>Madhya Pradesh</v>
      </c>
      <c r="K683" t="str">
        <f>_xlfn.XLOOKUP(A683,Orders[OrderID],Orders[City])</f>
        <v>Indore</v>
      </c>
      <c r="L683" s="3">
        <f>YEAR(Clean_Data[[#This Row],[OrderDate]])</f>
        <v>2018</v>
      </c>
      <c r="M683" s="3">
        <f>MONTH(Clean_Data[[#This Row],[OrderDate]])</f>
        <v>1</v>
      </c>
      <c r="N683" s="8" t="str">
        <f>TEXT(Clean_Data[[#This Row],[OrderDate]],"mmm")</f>
        <v>Jan</v>
      </c>
      <c r="O683" s="8" t="str">
        <f>TEXT(Clean_Data[[#This Row],[OrderDate]], "yyyy-mm")</f>
        <v>2018-01</v>
      </c>
      <c r="P683" s="7">
        <f>Clean_Data[[#This Row],[Profit]]/Clean_Data[[#This Row],[Revenue ]]</f>
        <v>0.31428571428571428</v>
      </c>
      <c r="Q683" t="str">
        <f>"Q"&amp;ROUNDUP(MONTH(Clean_Data[[#This Row],[OrderDate]])/3,0)</f>
        <v>Q1</v>
      </c>
      <c r="R683" t="str">
        <f>TEXT(Clean_Data[[#This Row],[OrderDate]], "dddd")</f>
        <v>Thursday</v>
      </c>
    </row>
    <row r="684" spans="1:18" x14ac:dyDescent="0.25">
      <c r="A684" t="s">
        <v>367</v>
      </c>
      <c r="B684" s="4">
        <v>78</v>
      </c>
      <c r="C684" s="4">
        <v>-6</v>
      </c>
      <c r="D684" s="3">
        <v>2</v>
      </c>
      <c r="E684" t="s">
        <v>888</v>
      </c>
      <c r="F684" t="s">
        <v>908</v>
      </c>
      <c r="G684" t="s">
        <v>898</v>
      </c>
      <c r="H684" s="6">
        <f>_xlfn.XLOOKUP(A684,Orders[OrderID],Orders[OrderDate])</f>
        <v>43326</v>
      </c>
      <c r="I684" t="str">
        <f>_xlfn.XLOOKUP(A684,Orders[OrderID],Orders[CustomerName])</f>
        <v>Priyanshu</v>
      </c>
      <c r="J684" t="str">
        <f>_xlfn.XLOOKUP(A684,Orders[OrderID],Orders[State])</f>
        <v>Madhya Pradesh</v>
      </c>
      <c r="K684" t="str">
        <f>_xlfn.XLOOKUP(A684,Orders[OrderID],Orders[City])</f>
        <v>Indore</v>
      </c>
      <c r="L684" s="3">
        <f>YEAR(Clean_Data[[#This Row],[OrderDate]])</f>
        <v>2018</v>
      </c>
      <c r="M684" s="3">
        <f>MONTH(Clean_Data[[#This Row],[OrderDate]])</f>
        <v>8</v>
      </c>
      <c r="N684" s="8" t="str">
        <f>TEXT(Clean_Data[[#This Row],[OrderDate]],"mmm")</f>
        <v>Aug</v>
      </c>
      <c r="O684" s="8" t="str">
        <f>TEXT(Clean_Data[[#This Row],[OrderDate]], "yyyy-mm")</f>
        <v>2018-08</v>
      </c>
      <c r="P684" s="7">
        <f>Clean_Data[[#This Row],[Profit]]/Clean_Data[[#This Row],[Revenue ]]</f>
        <v>-7.6923076923076927E-2</v>
      </c>
      <c r="Q684" t="str">
        <f>"Q"&amp;ROUNDUP(MONTH(Clean_Data[[#This Row],[OrderDate]])/3,0)</f>
        <v>Q3</v>
      </c>
      <c r="R684" t="str">
        <f>TEXT(Clean_Data[[#This Row],[OrderDate]], "dddd")</f>
        <v>Tuesday</v>
      </c>
    </row>
    <row r="685" spans="1:18" x14ac:dyDescent="0.25">
      <c r="A685" t="s">
        <v>46</v>
      </c>
      <c r="B685" s="4">
        <v>102</v>
      </c>
      <c r="C685" s="4">
        <v>-90</v>
      </c>
      <c r="D685" s="3">
        <v>1</v>
      </c>
      <c r="E685" t="s">
        <v>895</v>
      </c>
      <c r="F685" t="s">
        <v>897</v>
      </c>
      <c r="G685" t="s">
        <v>887</v>
      </c>
      <c r="H685" s="6">
        <f>_xlfn.XLOOKUP(A685,Orders[OrderID],Orders[OrderDate])</f>
        <v>43337</v>
      </c>
      <c r="I685" t="str">
        <f>_xlfn.XLOOKUP(A685,Orders[OrderID],Orders[CustomerName])</f>
        <v>Madhav</v>
      </c>
      <c r="J685" t="str">
        <f>_xlfn.XLOOKUP(A685,Orders[OrderID],Orders[State])</f>
        <v>Uttar Pradesh</v>
      </c>
      <c r="K685" t="str">
        <f>_xlfn.XLOOKUP(A685,Orders[OrderID],Orders[City])</f>
        <v>Mathura</v>
      </c>
      <c r="L685" s="3">
        <f>YEAR(Clean_Data[[#This Row],[OrderDate]])</f>
        <v>2018</v>
      </c>
      <c r="M685" s="3">
        <f>MONTH(Clean_Data[[#This Row],[OrderDate]])</f>
        <v>8</v>
      </c>
      <c r="N685" s="8" t="str">
        <f>TEXT(Clean_Data[[#This Row],[OrderDate]],"mmm")</f>
        <v>Aug</v>
      </c>
      <c r="O685" s="8" t="str">
        <f>TEXT(Clean_Data[[#This Row],[OrderDate]], "yyyy-mm")</f>
        <v>2018-08</v>
      </c>
      <c r="P685" s="7">
        <f>Clean_Data[[#This Row],[Profit]]/Clean_Data[[#This Row],[Revenue ]]</f>
        <v>-0.88235294117647056</v>
      </c>
      <c r="Q685" t="str">
        <f>"Q"&amp;ROUNDUP(MONTH(Clean_Data[[#This Row],[OrderDate]])/3,0)</f>
        <v>Q3</v>
      </c>
      <c r="R685" t="str">
        <f>TEXT(Clean_Data[[#This Row],[OrderDate]], "dddd")</f>
        <v>Saturday</v>
      </c>
    </row>
    <row r="686" spans="1:18" x14ac:dyDescent="0.25">
      <c r="A686" t="s">
        <v>705</v>
      </c>
      <c r="B686" s="4">
        <v>102</v>
      </c>
      <c r="C686" s="4">
        <v>11</v>
      </c>
      <c r="D686" s="3">
        <v>6</v>
      </c>
      <c r="E686" t="s">
        <v>895</v>
      </c>
      <c r="F686" t="s">
        <v>906</v>
      </c>
      <c r="G686" t="s">
        <v>887</v>
      </c>
      <c r="H686" s="6">
        <f>_xlfn.XLOOKUP(A686,Orders[OrderID],Orders[OrderDate])</f>
        <v>43450</v>
      </c>
      <c r="I686" t="str">
        <f>_xlfn.XLOOKUP(A686,Orders[OrderID],Orders[CustomerName])</f>
        <v>Preksha</v>
      </c>
      <c r="J686" t="str">
        <f>_xlfn.XLOOKUP(A686,Orders[OrderID],Orders[State])</f>
        <v>Delhi</v>
      </c>
      <c r="K686" t="str">
        <f>_xlfn.XLOOKUP(A686,Orders[OrderID],Orders[City])</f>
        <v>Delhi</v>
      </c>
      <c r="L686" s="3">
        <f>YEAR(Clean_Data[[#This Row],[OrderDate]])</f>
        <v>2018</v>
      </c>
      <c r="M686" s="3">
        <f>MONTH(Clean_Data[[#This Row],[OrderDate]])</f>
        <v>12</v>
      </c>
      <c r="N686" s="8" t="str">
        <f>TEXT(Clean_Data[[#This Row],[OrderDate]],"mmm")</f>
        <v>Dec</v>
      </c>
      <c r="O686" s="8" t="str">
        <f>TEXT(Clean_Data[[#This Row],[OrderDate]], "yyyy-mm")</f>
        <v>2018-12</v>
      </c>
      <c r="P686" s="7">
        <f>Clean_Data[[#This Row],[Profit]]/Clean_Data[[#This Row],[Revenue ]]</f>
        <v>0.10784313725490197</v>
      </c>
      <c r="Q686" t="str">
        <f>"Q"&amp;ROUNDUP(MONTH(Clean_Data[[#This Row],[OrderDate]])/3,0)</f>
        <v>Q4</v>
      </c>
      <c r="R686" t="str">
        <f>TEXT(Clean_Data[[#This Row],[OrderDate]], "dddd")</f>
        <v>Sunday</v>
      </c>
    </row>
    <row r="687" spans="1:18" x14ac:dyDescent="0.25">
      <c r="A687" t="s">
        <v>373</v>
      </c>
      <c r="B687" s="4">
        <v>10</v>
      </c>
      <c r="C687" s="4">
        <v>-8</v>
      </c>
      <c r="D687" s="3">
        <v>1</v>
      </c>
      <c r="E687" t="s">
        <v>895</v>
      </c>
      <c r="F687" t="s">
        <v>900</v>
      </c>
      <c r="G687" t="s">
        <v>898</v>
      </c>
      <c r="H687" s="6">
        <f>_xlfn.XLOOKUP(A687,Orders[OrderID],Orders[OrderDate])</f>
        <v>43326</v>
      </c>
      <c r="I687" t="str">
        <f>_xlfn.XLOOKUP(A687,Orders[OrderID],Orders[CustomerName])</f>
        <v>Nishant</v>
      </c>
      <c r="J687" t="str">
        <f>_xlfn.XLOOKUP(A687,Orders[OrderID],Orders[State])</f>
        <v>Maharashtra</v>
      </c>
      <c r="K687" t="str">
        <f>_xlfn.XLOOKUP(A687,Orders[OrderID],Orders[City])</f>
        <v>Mumbai</v>
      </c>
      <c r="L687" s="3">
        <f>YEAR(Clean_Data[[#This Row],[OrderDate]])</f>
        <v>2018</v>
      </c>
      <c r="M687" s="3">
        <f>MONTH(Clean_Data[[#This Row],[OrderDate]])</f>
        <v>8</v>
      </c>
      <c r="N687" s="8" t="str">
        <f>TEXT(Clean_Data[[#This Row],[OrderDate]],"mmm")</f>
        <v>Aug</v>
      </c>
      <c r="O687" s="8" t="str">
        <f>TEXT(Clean_Data[[#This Row],[OrderDate]], "yyyy-mm")</f>
        <v>2018-08</v>
      </c>
      <c r="P687" s="7">
        <f>Clean_Data[[#This Row],[Profit]]/Clean_Data[[#This Row],[Revenue ]]</f>
        <v>-0.8</v>
      </c>
      <c r="Q687" t="str">
        <f>"Q"&amp;ROUNDUP(MONTH(Clean_Data[[#This Row],[OrderDate]])/3,0)</f>
        <v>Q3</v>
      </c>
      <c r="R687" t="str">
        <f>TEXT(Clean_Data[[#This Row],[OrderDate]], "dddd")</f>
        <v>Tuesday</v>
      </c>
    </row>
    <row r="688" spans="1:18" x14ac:dyDescent="0.25">
      <c r="A688" t="s">
        <v>124</v>
      </c>
      <c r="B688" s="4">
        <v>101</v>
      </c>
      <c r="C688" s="4">
        <v>18</v>
      </c>
      <c r="D688" s="3">
        <v>9</v>
      </c>
      <c r="E688" t="s">
        <v>895</v>
      </c>
      <c r="F688" t="s">
        <v>901</v>
      </c>
      <c r="G688" t="s">
        <v>887</v>
      </c>
      <c r="H688" s="6">
        <f>_xlfn.XLOOKUP(A688,Orders[OrderID],Orders[OrderDate])</f>
        <v>43231</v>
      </c>
      <c r="I688" t="str">
        <f>_xlfn.XLOOKUP(A688,Orders[OrderID],Orders[CustomerName])</f>
        <v>Priyanka</v>
      </c>
      <c r="J688" t="str">
        <f>_xlfn.XLOOKUP(A688,Orders[OrderID],Orders[State])</f>
        <v>Maharashtra</v>
      </c>
      <c r="K688" t="str">
        <f>_xlfn.XLOOKUP(A688,Orders[OrderID],Orders[City])</f>
        <v>Pune</v>
      </c>
      <c r="L688" s="3">
        <f>YEAR(Clean_Data[[#This Row],[OrderDate]])</f>
        <v>2018</v>
      </c>
      <c r="M688" s="3">
        <f>MONTH(Clean_Data[[#This Row],[OrderDate]])</f>
        <v>5</v>
      </c>
      <c r="N688" s="8" t="str">
        <f>TEXT(Clean_Data[[#This Row],[OrderDate]],"mmm")</f>
        <v>May</v>
      </c>
      <c r="O688" s="8" t="str">
        <f>TEXT(Clean_Data[[#This Row],[OrderDate]], "yyyy-mm")</f>
        <v>2018-05</v>
      </c>
      <c r="P688" s="7">
        <f>Clean_Data[[#This Row],[Profit]]/Clean_Data[[#This Row],[Revenue ]]</f>
        <v>0.17821782178217821</v>
      </c>
      <c r="Q688" t="str">
        <f>"Q"&amp;ROUNDUP(MONTH(Clean_Data[[#This Row],[OrderDate]])/3,0)</f>
        <v>Q2</v>
      </c>
      <c r="R688" t="str">
        <f>TEXT(Clean_Data[[#This Row],[OrderDate]], "dddd")</f>
        <v>Friday</v>
      </c>
    </row>
    <row r="689" spans="1:18" x14ac:dyDescent="0.25">
      <c r="A689" t="s">
        <v>810</v>
      </c>
      <c r="B689" s="4">
        <v>42</v>
      </c>
      <c r="C689" s="4">
        <v>-6</v>
      </c>
      <c r="D689" s="3">
        <v>4</v>
      </c>
      <c r="E689" t="s">
        <v>895</v>
      </c>
      <c r="F689" t="s">
        <v>897</v>
      </c>
      <c r="G689" t="s">
        <v>898</v>
      </c>
      <c r="H689" s="6">
        <f>_xlfn.XLOOKUP(A689,Orders[OrderID],Orders[OrderDate])</f>
        <v>43223</v>
      </c>
      <c r="I689" t="str">
        <f>_xlfn.XLOOKUP(A689,Orders[OrderID],Orders[CustomerName])</f>
        <v>Sharda</v>
      </c>
      <c r="J689" t="str">
        <f>_xlfn.XLOOKUP(A689,Orders[OrderID],Orders[State])</f>
        <v xml:space="preserve">Kerala </v>
      </c>
      <c r="K689" t="str">
        <f>_xlfn.XLOOKUP(A689,Orders[OrderID],Orders[City])</f>
        <v>Thiruvananthapuram</v>
      </c>
      <c r="L689" s="3">
        <f>YEAR(Clean_Data[[#This Row],[OrderDate]])</f>
        <v>2018</v>
      </c>
      <c r="M689" s="3">
        <f>MONTH(Clean_Data[[#This Row],[OrderDate]])</f>
        <v>5</v>
      </c>
      <c r="N689" s="8" t="str">
        <f>TEXT(Clean_Data[[#This Row],[OrderDate]],"mmm")</f>
        <v>May</v>
      </c>
      <c r="O689" s="8" t="str">
        <f>TEXT(Clean_Data[[#This Row],[OrderDate]], "yyyy-mm")</f>
        <v>2018-05</v>
      </c>
      <c r="P689" s="7">
        <f>Clean_Data[[#This Row],[Profit]]/Clean_Data[[#This Row],[Revenue ]]</f>
        <v>-0.14285714285714285</v>
      </c>
      <c r="Q689" t="str">
        <f>"Q"&amp;ROUNDUP(MONTH(Clean_Data[[#This Row],[OrderDate]])/3,0)</f>
        <v>Q2</v>
      </c>
      <c r="R689" t="str">
        <f>TEXT(Clean_Data[[#This Row],[OrderDate]], "dddd")</f>
        <v>Thursday</v>
      </c>
    </row>
    <row r="690" spans="1:18" x14ac:dyDescent="0.25">
      <c r="A690" t="s">
        <v>544</v>
      </c>
      <c r="B690" s="4">
        <v>56</v>
      </c>
      <c r="C690" s="4">
        <v>18</v>
      </c>
      <c r="D690" s="3">
        <v>2</v>
      </c>
      <c r="E690" t="s">
        <v>895</v>
      </c>
      <c r="F690" t="s">
        <v>899</v>
      </c>
      <c r="G690" t="s">
        <v>898</v>
      </c>
      <c r="H690" s="6">
        <f>_xlfn.XLOOKUP(A690,Orders[OrderID],Orders[OrderDate])</f>
        <v>43419</v>
      </c>
      <c r="I690" t="str">
        <f>_xlfn.XLOOKUP(A690,Orders[OrderID],Orders[CustomerName])</f>
        <v>Aayush</v>
      </c>
      <c r="J690" t="str">
        <f>_xlfn.XLOOKUP(A690,Orders[OrderID],Orders[State])</f>
        <v>Uttar Pradesh</v>
      </c>
      <c r="K690" t="str">
        <f>_xlfn.XLOOKUP(A690,Orders[OrderID],Orders[City])</f>
        <v>Lucknow</v>
      </c>
      <c r="L690" s="3">
        <f>YEAR(Clean_Data[[#This Row],[OrderDate]])</f>
        <v>2018</v>
      </c>
      <c r="M690" s="3">
        <f>MONTH(Clean_Data[[#This Row],[OrderDate]])</f>
        <v>11</v>
      </c>
      <c r="N690" s="8" t="str">
        <f>TEXT(Clean_Data[[#This Row],[OrderDate]],"mmm")</f>
        <v>Nov</v>
      </c>
      <c r="O690" s="8" t="str">
        <f>TEXT(Clean_Data[[#This Row],[OrderDate]], "yyyy-mm")</f>
        <v>2018-11</v>
      </c>
      <c r="P690" s="7">
        <f>Clean_Data[[#This Row],[Profit]]/Clean_Data[[#This Row],[Revenue ]]</f>
        <v>0.32142857142857145</v>
      </c>
      <c r="Q690" t="str">
        <f>"Q"&amp;ROUNDUP(MONTH(Clean_Data[[#This Row],[OrderDate]])/3,0)</f>
        <v>Q4</v>
      </c>
      <c r="R690" t="str">
        <f>TEXT(Clean_Data[[#This Row],[OrderDate]], "dddd")</f>
        <v>Thursday</v>
      </c>
    </row>
    <row r="691" spans="1:18" x14ac:dyDescent="0.25">
      <c r="A691" t="s">
        <v>333</v>
      </c>
      <c r="B691" s="4">
        <v>95</v>
      </c>
      <c r="C691" s="4">
        <v>5</v>
      </c>
      <c r="D691" s="3">
        <v>2</v>
      </c>
      <c r="E691" t="s">
        <v>895</v>
      </c>
      <c r="F691" t="s">
        <v>903</v>
      </c>
      <c r="G691" t="s">
        <v>887</v>
      </c>
      <c r="H691" s="6">
        <f>_xlfn.XLOOKUP(A691,Orders[OrderID],Orders[OrderDate])</f>
        <v>43378</v>
      </c>
      <c r="I691" t="str">
        <f>_xlfn.XLOOKUP(A691,Orders[OrderID],Orders[CustomerName])</f>
        <v>Yash</v>
      </c>
      <c r="J691" t="str">
        <f>_xlfn.XLOOKUP(A691,Orders[OrderID],Orders[State])</f>
        <v>Maharashtra</v>
      </c>
      <c r="K691" t="str">
        <f>_xlfn.XLOOKUP(A691,Orders[OrderID],Orders[City])</f>
        <v>Mumbai</v>
      </c>
      <c r="L691" s="3">
        <f>YEAR(Clean_Data[[#This Row],[OrderDate]])</f>
        <v>2018</v>
      </c>
      <c r="M691" s="3">
        <f>MONTH(Clean_Data[[#This Row],[OrderDate]])</f>
        <v>10</v>
      </c>
      <c r="N691" s="8" t="str">
        <f>TEXT(Clean_Data[[#This Row],[OrderDate]],"mmm")</f>
        <v>Oct</v>
      </c>
      <c r="O691" s="8" t="str">
        <f>TEXT(Clean_Data[[#This Row],[OrderDate]], "yyyy-mm")</f>
        <v>2018-10</v>
      </c>
      <c r="P691" s="7">
        <f>Clean_Data[[#This Row],[Profit]]/Clean_Data[[#This Row],[Revenue ]]</f>
        <v>5.2631578947368418E-2</v>
      </c>
      <c r="Q691" t="str">
        <f>"Q"&amp;ROUNDUP(MONTH(Clean_Data[[#This Row],[OrderDate]])/3,0)</f>
        <v>Q4</v>
      </c>
      <c r="R691" t="str">
        <f>TEXT(Clean_Data[[#This Row],[OrderDate]], "dddd")</f>
        <v>Friday</v>
      </c>
    </row>
    <row r="692" spans="1:18" x14ac:dyDescent="0.25">
      <c r="A692" t="s">
        <v>604</v>
      </c>
      <c r="B692" s="4">
        <v>159</v>
      </c>
      <c r="C692" s="4">
        <v>2</v>
      </c>
      <c r="D692" s="3">
        <v>3</v>
      </c>
      <c r="E692" t="s">
        <v>888</v>
      </c>
      <c r="F692" t="s">
        <v>908</v>
      </c>
      <c r="G692" t="s">
        <v>890</v>
      </c>
      <c r="H692" s="6">
        <f>_xlfn.XLOOKUP(A692,Orders[OrderID],Orders[OrderDate])</f>
        <v>43444</v>
      </c>
      <c r="I692" t="str">
        <f>_xlfn.XLOOKUP(A692,Orders[OrderID],Orders[CustomerName])</f>
        <v>Suraj</v>
      </c>
      <c r="J692" t="str">
        <f>_xlfn.XLOOKUP(A692,Orders[OrderID],Orders[State])</f>
        <v>Gujarat</v>
      </c>
      <c r="K692" t="str">
        <f>_xlfn.XLOOKUP(A692,Orders[OrderID],Orders[City])</f>
        <v>Surat</v>
      </c>
      <c r="L692" s="3">
        <f>YEAR(Clean_Data[[#This Row],[OrderDate]])</f>
        <v>2018</v>
      </c>
      <c r="M692" s="3">
        <f>MONTH(Clean_Data[[#This Row],[OrderDate]])</f>
        <v>12</v>
      </c>
      <c r="N692" s="8" t="str">
        <f>TEXT(Clean_Data[[#This Row],[OrderDate]],"mmm")</f>
        <v>Dec</v>
      </c>
      <c r="O692" s="8" t="str">
        <f>TEXT(Clean_Data[[#This Row],[OrderDate]], "yyyy-mm")</f>
        <v>2018-12</v>
      </c>
      <c r="P692" s="7">
        <f>Clean_Data[[#This Row],[Profit]]/Clean_Data[[#This Row],[Revenue ]]</f>
        <v>1.2578616352201259E-2</v>
      </c>
      <c r="Q692" t="str">
        <f>"Q"&amp;ROUNDUP(MONTH(Clean_Data[[#This Row],[OrderDate]])/3,0)</f>
        <v>Q4</v>
      </c>
      <c r="R692" t="str">
        <f>TEXT(Clean_Data[[#This Row],[OrderDate]], "dddd")</f>
        <v>Monday</v>
      </c>
    </row>
    <row r="693" spans="1:18" x14ac:dyDescent="0.25">
      <c r="A693" t="s">
        <v>606</v>
      </c>
      <c r="B693" s="4">
        <v>158</v>
      </c>
      <c r="C693" s="4">
        <v>69</v>
      </c>
      <c r="D693" s="3">
        <v>3</v>
      </c>
      <c r="E693" t="s">
        <v>895</v>
      </c>
      <c r="F693" t="s">
        <v>903</v>
      </c>
      <c r="G693" t="s">
        <v>890</v>
      </c>
      <c r="H693" s="6">
        <f>_xlfn.XLOOKUP(A693,Orders[OrderID],Orders[OrderDate])</f>
        <v>43212</v>
      </c>
      <c r="I693" t="str">
        <f>_xlfn.XLOOKUP(A693,Orders[OrderID],Orders[CustomerName])</f>
        <v>Atharv</v>
      </c>
      <c r="J693" t="str">
        <f>_xlfn.XLOOKUP(A693,Orders[OrderID],Orders[State])</f>
        <v>West Bengal</v>
      </c>
      <c r="K693" t="str">
        <f>_xlfn.XLOOKUP(A693,Orders[OrderID],Orders[City])</f>
        <v>Kolkata</v>
      </c>
      <c r="L693" s="3">
        <f>YEAR(Clean_Data[[#This Row],[OrderDate]])</f>
        <v>2018</v>
      </c>
      <c r="M693" s="3">
        <f>MONTH(Clean_Data[[#This Row],[OrderDate]])</f>
        <v>4</v>
      </c>
      <c r="N693" s="8" t="str">
        <f>TEXT(Clean_Data[[#This Row],[OrderDate]],"mmm")</f>
        <v>Apr</v>
      </c>
      <c r="O693" s="8" t="str">
        <f>TEXT(Clean_Data[[#This Row],[OrderDate]], "yyyy-mm")</f>
        <v>2018-04</v>
      </c>
      <c r="P693" s="7">
        <f>Clean_Data[[#This Row],[Profit]]/Clean_Data[[#This Row],[Revenue ]]</f>
        <v>0.43670886075949367</v>
      </c>
      <c r="Q693" t="str">
        <f>"Q"&amp;ROUNDUP(MONTH(Clean_Data[[#This Row],[OrderDate]])/3,0)</f>
        <v>Q2</v>
      </c>
      <c r="R693" t="str">
        <f>TEXT(Clean_Data[[#This Row],[OrderDate]], "dddd")</f>
        <v>Sunday</v>
      </c>
    </row>
    <row r="694" spans="1:18" x14ac:dyDescent="0.25">
      <c r="A694" t="s">
        <v>373</v>
      </c>
      <c r="B694" s="4">
        <v>106</v>
      </c>
      <c r="C694" s="4">
        <v>0</v>
      </c>
      <c r="D694" s="3">
        <v>2</v>
      </c>
      <c r="E694" t="s">
        <v>885</v>
      </c>
      <c r="F694" t="s">
        <v>894</v>
      </c>
      <c r="G694" t="s">
        <v>890</v>
      </c>
      <c r="H694" s="6">
        <f>_xlfn.XLOOKUP(A694,Orders[OrderID],Orders[OrderDate])</f>
        <v>43326</v>
      </c>
      <c r="I694" t="str">
        <f>_xlfn.XLOOKUP(A694,Orders[OrderID],Orders[CustomerName])</f>
        <v>Nishant</v>
      </c>
      <c r="J694" t="str">
        <f>_xlfn.XLOOKUP(A694,Orders[OrderID],Orders[State])</f>
        <v>Maharashtra</v>
      </c>
      <c r="K694" t="str">
        <f>_xlfn.XLOOKUP(A694,Orders[OrderID],Orders[City])</f>
        <v>Mumbai</v>
      </c>
      <c r="L694" s="3">
        <f>YEAR(Clean_Data[[#This Row],[OrderDate]])</f>
        <v>2018</v>
      </c>
      <c r="M694" s="3">
        <f>MONTH(Clean_Data[[#This Row],[OrderDate]])</f>
        <v>8</v>
      </c>
      <c r="N694" s="8" t="str">
        <f>TEXT(Clean_Data[[#This Row],[OrderDate]],"mmm")</f>
        <v>Aug</v>
      </c>
      <c r="O694" s="8" t="str">
        <f>TEXT(Clean_Data[[#This Row],[OrderDate]], "yyyy-mm")</f>
        <v>2018-08</v>
      </c>
      <c r="P694" s="7">
        <f>Clean_Data[[#This Row],[Profit]]/Clean_Data[[#This Row],[Revenue ]]</f>
        <v>0</v>
      </c>
      <c r="Q694" t="str">
        <f>"Q"&amp;ROUNDUP(MONTH(Clean_Data[[#This Row],[OrderDate]])/3,0)</f>
        <v>Q3</v>
      </c>
      <c r="R694" t="str">
        <f>TEXT(Clean_Data[[#This Row],[OrderDate]], "dddd")</f>
        <v>Tuesday</v>
      </c>
    </row>
    <row r="695" spans="1:18" x14ac:dyDescent="0.25">
      <c r="A695" t="s">
        <v>267</v>
      </c>
      <c r="B695" s="4">
        <v>101</v>
      </c>
      <c r="C695" s="4">
        <v>16</v>
      </c>
      <c r="D695" s="3">
        <v>4</v>
      </c>
      <c r="E695" t="s">
        <v>895</v>
      </c>
      <c r="F695" t="s">
        <v>906</v>
      </c>
      <c r="G695" t="s">
        <v>887</v>
      </c>
      <c r="H695" s="6">
        <f>_xlfn.XLOOKUP(A695,Orders[OrderID],Orders[OrderDate])</f>
        <v>43167</v>
      </c>
      <c r="I695" t="str">
        <f>_xlfn.XLOOKUP(A695,Orders[OrderID],Orders[CustomerName])</f>
        <v>Ajay</v>
      </c>
      <c r="J695" t="str">
        <f>_xlfn.XLOOKUP(A695,Orders[OrderID],Orders[State])</f>
        <v>Karnataka</v>
      </c>
      <c r="K695" t="str">
        <f>_xlfn.XLOOKUP(A695,Orders[OrderID],Orders[City])</f>
        <v>Bangalore</v>
      </c>
      <c r="L695" s="3">
        <f>YEAR(Clean_Data[[#This Row],[OrderDate]])</f>
        <v>2018</v>
      </c>
      <c r="M695" s="3">
        <f>MONTH(Clean_Data[[#This Row],[OrderDate]])</f>
        <v>3</v>
      </c>
      <c r="N695" s="8" t="str">
        <f>TEXT(Clean_Data[[#This Row],[OrderDate]],"mmm")</f>
        <v>Mar</v>
      </c>
      <c r="O695" s="8" t="str">
        <f>TEXT(Clean_Data[[#This Row],[OrderDate]], "yyyy-mm")</f>
        <v>2018-03</v>
      </c>
      <c r="P695" s="7">
        <f>Clean_Data[[#This Row],[Profit]]/Clean_Data[[#This Row],[Revenue ]]</f>
        <v>0.15841584158415842</v>
      </c>
      <c r="Q695" t="str">
        <f>"Q"&amp;ROUNDUP(MONTH(Clean_Data[[#This Row],[OrderDate]])/3,0)</f>
        <v>Q1</v>
      </c>
      <c r="R695" t="str">
        <f>TEXT(Clean_Data[[#This Row],[OrderDate]], "dddd")</f>
        <v>Thursday</v>
      </c>
    </row>
    <row r="696" spans="1:18" x14ac:dyDescent="0.25">
      <c r="A696" t="s">
        <v>387</v>
      </c>
      <c r="B696" s="4">
        <v>107</v>
      </c>
      <c r="C696" s="4">
        <v>37</v>
      </c>
      <c r="D696" s="3">
        <v>3</v>
      </c>
      <c r="E696" t="s">
        <v>895</v>
      </c>
      <c r="F696" t="s">
        <v>909</v>
      </c>
      <c r="G696" t="s">
        <v>887</v>
      </c>
      <c r="H696" s="6">
        <f>_xlfn.XLOOKUP(A696,Orders[OrderID],Orders[OrderDate])</f>
        <v>43432</v>
      </c>
      <c r="I696" t="str">
        <f>_xlfn.XLOOKUP(A696,Orders[OrderID],Orders[CustomerName])</f>
        <v>Brijesh</v>
      </c>
      <c r="J696" t="str">
        <f>_xlfn.XLOOKUP(A696,Orders[OrderID],Orders[State])</f>
        <v>Rajasthan</v>
      </c>
      <c r="K696" t="str">
        <f>_xlfn.XLOOKUP(A696,Orders[OrderID],Orders[City])</f>
        <v>Udaipur</v>
      </c>
      <c r="L696" s="3">
        <f>YEAR(Clean_Data[[#This Row],[OrderDate]])</f>
        <v>2018</v>
      </c>
      <c r="M696" s="3">
        <f>MONTH(Clean_Data[[#This Row],[OrderDate]])</f>
        <v>11</v>
      </c>
      <c r="N696" s="8" t="str">
        <f>TEXT(Clean_Data[[#This Row],[OrderDate]],"mmm")</f>
        <v>Nov</v>
      </c>
      <c r="O696" s="8" t="str">
        <f>TEXT(Clean_Data[[#This Row],[OrderDate]], "yyyy-mm")</f>
        <v>2018-11</v>
      </c>
      <c r="P696" s="7">
        <f>Clean_Data[[#This Row],[Profit]]/Clean_Data[[#This Row],[Revenue ]]</f>
        <v>0.34579439252336447</v>
      </c>
      <c r="Q696" t="str">
        <f>"Q"&amp;ROUNDUP(MONTH(Clean_Data[[#This Row],[OrderDate]])/3,0)</f>
        <v>Q4</v>
      </c>
      <c r="R696" t="str">
        <f>TEXT(Clean_Data[[#This Row],[OrderDate]], "dddd")</f>
        <v>Wednesday</v>
      </c>
    </row>
    <row r="697" spans="1:18" x14ac:dyDescent="0.25">
      <c r="A697" t="s">
        <v>484</v>
      </c>
      <c r="B697" s="4">
        <v>156</v>
      </c>
      <c r="C697" s="4">
        <v>36</v>
      </c>
      <c r="D697" s="3">
        <v>5</v>
      </c>
      <c r="E697" t="s">
        <v>895</v>
      </c>
      <c r="F697" t="s">
        <v>906</v>
      </c>
      <c r="G697" t="s">
        <v>890</v>
      </c>
      <c r="H697" s="6">
        <f>_xlfn.XLOOKUP(A697,Orders[OrderID],Orders[OrderDate])</f>
        <v>43378</v>
      </c>
      <c r="I697" t="str">
        <f>_xlfn.XLOOKUP(A697,Orders[OrderID],Orders[CustomerName])</f>
        <v>Sudheer</v>
      </c>
      <c r="J697" t="str">
        <f>_xlfn.XLOOKUP(A697,Orders[OrderID],Orders[State])</f>
        <v>Karnataka</v>
      </c>
      <c r="K697" t="str">
        <f>_xlfn.XLOOKUP(A697,Orders[OrderID],Orders[City])</f>
        <v>Bangalore</v>
      </c>
      <c r="L697" s="3">
        <f>YEAR(Clean_Data[[#This Row],[OrderDate]])</f>
        <v>2018</v>
      </c>
      <c r="M697" s="3">
        <f>MONTH(Clean_Data[[#This Row],[OrderDate]])</f>
        <v>10</v>
      </c>
      <c r="N697" s="8" t="str">
        <f>TEXT(Clean_Data[[#This Row],[OrderDate]],"mmm")</f>
        <v>Oct</v>
      </c>
      <c r="O697" s="8" t="str">
        <f>TEXT(Clean_Data[[#This Row],[OrderDate]], "yyyy-mm")</f>
        <v>2018-10</v>
      </c>
      <c r="P697" s="7">
        <f>Clean_Data[[#This Row],[Profit]]/Clean_Data[[#This Row],[Revenue ]]</f>
        <v>0.23076923076923078</v>
      </c>
      <c r="Q697" t="str">
        <f>"Q"&amp;ROUNDUP(MONTH(Clean_Data[[#This Row],[OrderDate]])/3,0)</f>
        <v>Q4</v>
      </c>
      <c r="R697" t="str">
        <f>TEXT(Clean_Data[[#This Row],[OrderDate]], "dddd")</f>
        <v>Friday</v>
      </c>
    </row>
    <row r="698" spans="1:18" x14ac:dyDescent="0.25">
      <c r="A698" t="s">
        <v>698</v>
      </c>
      <c r="B698" s="4">
        <v>108</v>
      </c>
      <c r="C698" s="4">
        <v>-19</v>
      </c>
      <c r="D698" s="3">
        <v>3</v>
      </c>
      <c r="E698" t="s">
        <v>885</v>
      </c>
      <c r="F698" t="s">
        <v>886</v>
      </c>
      <c r="G698" t="s">
        <v>898</v>
      </c>
      <c r="H698" s="6">
        <f>_xlfn.XLOOKUP(A698,Orders[OrderID],Orders[OrderDate])</f>
        <v>43310</v>
      </c>
      <c r="I698" t="str">
        <f>_xlfn.XLOOKUP(A698,Orders[OrderID],Orders[CustomerName])</f>
        <v>Pranav</v>
      </c>
      <c r="J698" t="str">
        <f>_xlfn.XLOOKUP(A698,Orders[OrderID],Orders[State])</f>
        <v>Madhya Pradesh</v>
      </c>
      <c r="K698" t="str">
        <f>_xlfn.XLOOKUP(A698,Orders[OrderID],Orders[City])</f>
        <v>Indore</v>
      </c>
      <c r="L698" s="3">
        <f>YEAR(Clean_Data[[#This Row],[OrderDate]])</f>
        <v>2018</v>
      </c>
      <c r="M698" s="3">
        <f>MONTH(Clean_Data[[#This Row],[OrderDate]])</f>
        <v>7</v>
      </c>
      <c r="N698" s="8" t="str">
        <f>TEXT(Clean_Data[[#This Row],[OrderDate]],"mmm")</f>
        <v>Jul</v>
      </c>
      <c r="O698" s="8" t="str">
        <f>TEXT(Clean_Data[[#This Row],[OrderDate]], "yyyy-mm")</f>
        <v>2018-07</v>
      </c>
      <c r="P698" s="7">
        <f>Clean_Data[[#This Row],[Profit]]/Clean_Data[[#This Row],[Revenue ]]</f>
        <v>-0.17592592592592593</v>
      </c>
      <c r="Q698" t="str">
        <f>"Q"&amp;ROUNDUP(MONTH(Clean_Data[[#This Row],[OrderDate]])/3,0)</f>
        <v>Q3</v>
      </c>
      <c r="R698" t="str">
        <f>TEXT(Clean_Data[[#This Row],[OrderDate]], "dddd")</f>
        <v>Sunday</v>
      </c>
    </row>
    <row r="699" spans="1:18" x14ac:dyDescent="0.25">
      <c r="A699" t="s">
        <v>197</v>
      </c>
      <c r="B699" s="4">
        <v>107</v>
      </c>
      <c r="C699" s="4">
        <v>-54</v>
      </c>
      <c r="D699" s="3">
        <v>4</v>
      </c>
      <c r="E699" t="s">
        <v>895</v>
      </c>
      <c r="F699" t="s">
        <v>903</v>
      </c>
      <c r="G699" t="s">
        <v>890</v>
      </c>
      <c r="H699" s="6">
        <f>_xlfn.XLOOKUP(A699,Orders[OrderID],Orders[OrderDate])</f>
        <v>43199</v>
      </c>
      <c r="I699" t="str">
        <f>_xlfn.XLOOKUP(A699,Orders[OrderID],Orders[CustomerName])</f>
        <v>Yogesh</v>
      </c>
      <c r="J699" t="str">
        <f>_xlfn.XLOOKUP(A699,Orders[OrderID],Orders[State])</f>
        <v>Bihar</v>
      </c>
      <c r="K699" t="str">
        <f>_xlfn.XLOOKUP(A699,Orders[OrderID],Orders[City])</f>
        <v>Patna</v>
      </c>
      <c r="L699" s="3">
        <f>YEAR(Clean_Data[[#This Row],[OrderDate]])</f>
        <v>2018</v>
      </c>
      <c r="M699" s="3">
        <f>MONTH(Clean_Data[[#This Row],[OrderDate]])</f>
        <v>4</v>
      </c>
      <c r="N699" s="8" t="str">
        <f>TEXT(Clean_Data[[#This Row],[OrderDate]],"mmm")</f>
        <v>Apr</v>
      </c>
      <c r="O699" s="8" t="str">
        <f>TEXT(Clean_Data[[#This Row],[OrderDate]], "yyyy-mm")</f>
        <v>2018-04</v>
      </c>
      <c r="P699" s="7">
        <f>Clean_Data[[#This Row],[Profit]]/Clean_Data[[#This Row],[Revenue ]]</f>
        <v>-0.50467289719626163</v>
      </c>
      <c r="Q699" t="str">
        <f>"Q"&amp;ROUNDUP(MONTH(Clean_Data[[#This Row],[OrderDate]])/3,0)</f>
        <v>Q2</v>
      </c>
      <c r="R699" t="str">
        <f>TEXT(Clean_Data[[#This Row],[OrderDate]], "dddd")</f>
        <v>Monday</v>
      </c>
    </row>
    <row r="700" spans="1:18" x14ac:dyDescent="0.25">
      <c r="A700" t="s">
        <v>709</v>
      </c>
      <c r="B700" s="4">
        <v>100</v>
      </c>
      <c r="C700" s="4">
        <v>-58</v>
      </c>
      <c r="D700" s="3">
        <v>4</v>
      </c>
      <c r="E700" t="s">
        <v>895</v>
      </c>
      <c r="F700" t="s">
        <v>899</v>
      </c>
      <c r="G700" t="s">
        <v>887</v>
      </c>
      <c r="H700" s="6">
        <f>_xlfn.XLOOKUP(A700,Orders[OrderID],Orders[OrderDate])</f>
        <v>43287</v>
      </c>
      <c r="I700" t="str">
        <f>_xlfn.XLOOKUP(A700,Orders[OrderID],Orders[CustomerName])</f>
        <v>Sakshi</v>
      </c>
      <c r="J700" t="str">
        <f>_xlfn.XLOOKUP(A700,Orders[OrderID],Orders[State])</f>
        <v>Madhya Pradesh</v>
      </c>
      <c r="K700" t="str">
        <f>_xlfn.XLOOKUP(A700,Orders[OrderID],Orders[City])</f>
        <v>Bhopal</v>
      </c>
      <c r="L700" s="3">
        <f>YEAR(Clean_Data[[#This Row],[OrderDate]])</f>
        <v>2018</v>
      </c>
      <c r="M700" s="3">
        <f>MONTH(Clean_Data[[#This Row],[OrderDate]])</f>
        <v>7</v>
      </c>
      <c r="N700" s="8" t="str">
        <f>TEXT(Clean_Data[[#This Row],[OrderDate]],"mmm")</f>
        <v>Jul</v>
      </c>
      <c r="O700" s="8" t="str">
        <f>TEXT(Clean_Data[[#This Row],[OrderDate]], "yyyy-mm")</f>
        <v>2018-07</v>
      </c>
      <c r="P700" s="7">
        <f>Clean_Data[[#This Row],[Profit]]/Clean_Data[[#This Row],[Revenue ]]</f>
        <v>-0.57999999999999996</v>
      </c>
      <c r="Q700" t="str">
        <f>"Q"&amp;ROUNDUP(MONTH(Clean_Data[[#This Row],[OrderDate]])/3,0)</f>
        <v>Q3</v>
      </c>
      <c r="R700" t="str">
        <f>TEXT(Clean_Data[[#This Row],[OrderDate]], "dddd")</f>
        <v>Friday</v>
      </c>
    </row>
    <row r="701" spans="1:18" x14ac:dyDescent="0.25">
      <c r="A701" t="s">
        <v>560</v>
      </c>
      <c r="B701" s="4">
        <v>108</v>
      </c>
      <c r="C701" s="4">
        <v>26</v>
      </c>
      <c r="D701" s="3">
        <v>4</v>
      </c>
      <c r="E701" t="s">
        <v>895</v>
      </c>
      <c r="F701" t="s">
        <v>909</v>
      </c>
      <c r="G701" t="s">
        <v>898</v>
      </c>
      <c r="H701" s="6">
        <f>_xlfn.XLOOKUP(A701,Orders[OrderID],Orders[OrderDate])</f>
        <v>43131</v>
      </c>
      <c r="I701" t="str">
        <f>_xlfn.XLOOKUP(A701,Orders[OrderID],Orders[CustomerName])</f>
        <v>Ginny</v>
      </c>
      <c r="J701" t="str">
        <f>_xlfn.XLOOKUP(A701,Orders[OrderID],Orders[State])</f>
        <v>Madhya Pradesh</v>
      </c>
      <c r="K701" t="str">
        <f>_xlfn.XLOOKUP(A701,Orders[OrderID],Orders[City])</f>
        <v>Indore</v>
      </c>
      <c r="L701" s="3">
        <f>YEAR(Clean_Data[[#This Row],[OrderDate]])</f>
        <v>2018</v>
      </c>
      <c r="M701" s="3">
        <f>MONTH(Clean_Data[[#This Row],[OrderDate]])</f>
        <v>1</v>
      </c>
      <c r="N701" s="8" t="str">
        <f>TEXT(Clean_Data[[#This Row],[OrderDate]],"mmm")</f>
        <v>Jan</v>
      </c>
      <c r="O701" s="8" t="str">
        <f>TEXT(Clean_Data[[#This Row],[OrderDate]], "yyyy-mm")</f>
        <v>2018-01</v>
      </c>
      <c r="P701" s="7">
        <f>Clean_Data[[#This Row],[Profit]]/Clean_Data[[#This Row],[Revenue ]]</f>
        <v>0.24074074074074073</v>
      </c>
      <c r="Q701" t="str">
        <f>"Q"&amp;ROUNDUP(MONTH(Clean_Data[[#This Row],[OrderDate]])/3,0)</f>
        <v>Q1</v>
      </c>
      <c r="R701" t="str">
        <f>TEXT(Clean_Data[[#This Row],[OrderDate]], "dddd")</f>
        <v>Wednesday</v>
      </c>
    </row>
    <row r="702" spans="1:18" x14ac:dyDescent="0.25">
      <c r="A702" t="s">
        <v>710</v>
      </c>
      <c r="B702" s="4">
        <v>100</v>
      </c>
      <c r="C702" s="4">
        <v>6</v>
      </c>
      <c r="D702" s="3">
        <v>4</v>
      </c>
      <c r="E702" t="s">
        <v>895</v>
      </c>
      <c r="F702" t="s">
        <v>903</v>
      </c>
      <c r="G702" t="s">
        <v>887</v>
      </c>
      <c r="H702" s="6">
        <f>_xlfn.XLOOKUP(A702,Orders[OrderID],Orders[OrderDate])</f>
        <v>43419</v>
      </c>
      <c r="I702" t="str">
        <f>_xlfn.XLOOKUP(A702,Orders[OrderID],Orders[CustomerName])</f>
        <v>Aromal</v>
      </c>
      <c r="J702" t="str">
        <f>_xlfn.XLOOKUP(A702,Orders[OrderID],Orders[State])</f>
        <v>Maharashtra</v>
      </c>
      <c r="K702" t="str">
        <f>_xlfn.XLOOKUP(A702,Orders[OrderID],Orders[City])</f>
        <v>Mumbai</v>
      </c>
      <c r="L702" s="3">
        <f>YEAR(Clean_Data[[#This Row],[OrderDate]])</f>
        <v>2018</v>
      </c>
      <c r="M702" s="3">
        <f>MONTH(Clean_Data[[#This Row],[OrderDate]])</f>
        <v>11</v>
      </c>
      <c r="N702" s="8" t="str">
        <f>TEXT(Clean_Data[[#This Row],[OrderDate]],"mmm")</f>
        <v>Nov</v>
      </c>
      <c r="O702" s="8" t="str">
        <f>TEXT(Clean_Data[[#This Row],[OrderDate]], "yyyy-mm")</f>
        <v>2018-11</v>
      </c>
      <c r="P702" s="7">
        <f>Clean_Data[[#This Row],[Profit]]/Clean_Data[[#This Row],[Revenue ]]</f>
        <v>0.06</v>
      </c>
      <c r="Q702" t="str">
        <f>"Q"&amp;ROUNDUP(MONTH(Clean_Data[[#This Row],[OrderDate]])/3,0)</f>
        <v>Q4</v>
      </c>
      <c r="R702" t="str">
        <f>TEXT(Clean_Data[[#This Row],[OrderDate]], "dddd")</f>
        <v>Thursday</v>
      </c>
    </row>
    <row r="703" spans="1:18" x14ac:dyDescent="0.25">
      <c r="A703" t="s">
        <v>659</v>
      </c>
      <c r="B703" s="4">
        <v>100</v>
      </c>
      <c r="C703" s="4">
        <v>-23</v>
      </c>
      <c r="D703" s="3">
        <v>1</v>
      </c>
      <c r="E703" t="s">
        <v>885</v>
      </c>
      <c r="F703" t="s">
        <v>894</v>
      </c>
      <c r="G703" t="s">
        <v>887</v>
      </c>
      <c r="H703" s="6">
        <f>_xlfn.XLOOKUP(A703,Orders[OrderID],Orders[OrderDate])</f>
        <v>43224</v>
      </c>
      <c r="I703" t="str">
        <f>_xlfn.XLOOKUP(A703,Orders[OrderID],Orders[CustomerName])</f>
        <v>Aditya</v>
      </c>
      <c r="J703" t="str">
        <f>_xlfn.XLOOKUP(A703,Orders[OrderID],Orders[State])</f>
        <v>Punjab</v>
      </c>
      <c r="K703" t="str">
        <f>_xlfn.XLOOKUP(A703,Orders[OrderID],Orders[City])</f>
        <v>Chandigarh</v>
      </c>
      <c r="L703" s="3">
        <f>YEAR(Clean_Data[[#This Row],[OrderDate]])</f>
        <v>2018</v>
      </c>
      <c r="M703" s="3">
        <f>MONTH(Clean_Data[[#This Row],[OrderDate]])</f>
        <v>5</v>
      </c>
      <c r="N703" s="8" t="str">
        <f>TEXT(Clean_Data[[#This Row],[OrderDate]],"mmm")</f>
        <v>May</v>
      </c>
      <c r="O703" s="8" t="str">
        <f>TEXT(Clean_Data[[#This Row],[OrderDate]], "yyyy-mm")</f>
        <v>2018-05</v>
      </c>
      <c r="P703" s="7">
        <f>Clean_Data[[#This Row],[Profit]]/Clean_Data[[#This Row],[Revenue ]]</f>
        <v>-0.23</v>
      </c>
      <c r="Q703" t="str">
        <f>"Q"&amp;ROUNDUP(MONTH(Clean_Data[[#This Row],[OrderDate]])/3,0)</f>
        <v>Q2</v>
      </c>
      <c r="R703" t="str">
        <f>TEXT(Clean_Data[[#This Row],[OrderDate]], "dddd")</f>
        <v>Friday</v>
      </c>
    </row>
    <row r="704" spans="1:18" x14ac:dyDescent="0.25">
      <c r="A704" t="s">
        <v>279</v>
      </c>
      <c r="B704" s="4">
        <v>43</v>
      </c>
      <c r="C704" s="4">
        <v>17</v>
      </c>
      <c r="D704" s="3">
        <v>2</v>
      </c>
      <c r="E704" t="s">
        <v>895</v>
      </c>
      <c r="F704" t="s">
        <v>906</v>
      </c>
      <c r="G704" t="s">
        <v>898</v>
      </c>
      <c r="H704" s="6">
        <f>_xlfn.XLOOKUP(A704,Orders[OrderID],Orders[OrderDate])</f>
        <v>43185</v>
      </c>
      <c r="I704" t="str">
        <f>_xlfn.XLOOKUP(A704,Orders[OrderID],Orders[CustomerName])</f>
        <v>Mukesh</v>
      </c>
      <c r="J704" t="str">
        <f>_xlfn.XLOOKUP(A704,Orders[OrderID],Orders[State])</f>
        <v>Haryana</v>
      </c>
      <c r="K704" t="str">
        <f>_xlfn.XLOOKUP(A704,Orders[OrderID],Orders[City])</f>
        <v>Chandigarh</v>
      </c>
      <c r="L704" s="3">
        <f>YEAR(Clean_Data[[#This Row],[OrderDate]])</f>
        <v>2018</v>
      </c>
      <c r="M704" s="3">
        <f>MONTH(Clean_Data[[#This Row],[OrderDate]])</f>
        <v>3</v>
      </c>
      <c r="N704" s="8" t="str">
        <f>TEXT(Clean_Data[[#This Row],[OrderDate]],"mmm")</f>
        <v>Mar</v>
      </c>
      <c r="O704" s="8" t="str">
        <f>TEXT(Clean_Data[[#This Row],[OrderDate]], "yyyy-mm")</f>
        <v>2018-03</v>
      </c>
      <c r="P704" s="7">
        <f>Clean_Data[[#This Row],[Profit]]/Clean_Data[[#This Row],[Revenue ]]</f>
        <v>0.39534883720930231</v>
      </c>
      <c r="Q704" t="str">
        <f>"Q"&amp;ROUNDUP(MONTH(Clean_Data[[#This Row],[OrderDate]])/3,0)</f>
        <v>Q1</v>
      </c>
      <c r="R704" t="str">
        <f>TEXT(Clean_Data[[#This Row],[OrderDate]], "dddd")</f>
        <v>Monday</v>
      </c>
    </row>
    <row r="705" spans="1:18" x14ac:dyDescent="0.25">
      <c r="A705" t="s">
        <v>612</v>
      </c>
      <c r="B705" s="4">
        <v>155</v>
      </c>
      <c r="C705" s="4">
        <v>26</v>
      </c>
      <c r="D705" s="3">
        <v>3</v>
      </c>
      <c r="E705" t="s">
        <v>895</v>
      </c>
      <c r="F705" t="s">
        <v>903</v>
      </c>
      <c r="G705" t="s">
        <v>890</v>
      </c>
      <c r="H705" s="6">
        <f>_xlfn.XLOOKUP(A705,Orders[OrderID],Orders[OrderDate])</f>
        <v>43402</v>
      </c>
      <c r="I705" t="str">
        <f>_xlfn.XLOOKUP(A705,Orders[OrderID],Orders[CustomerName])</f>
        <v>Moumita</v>
      </c>
      <c r="J705" t="str">
        <f>_xlfn.XLOOKUP(A705,Orders[OrderID],Orders[State])</f>
        <v>Gujarat</v>
      </c>
      <c r="K705" t="str">
        <f>_xlfn.XLOOKUP(A705,Orders[OrderID],Orders[City])</f>
        <v>Ahmedabad</v>
      </c>
      <c r="L705" s="3">
        <f>YEAR(Clean_Data[[#This Row],[OrderDate]])</f>
        <v>2018</v>
      </c>
      <c r="M705" s="3">
        <f>MONTH(Clean_Data[[#This Row],[OrderDate]])</f>
        <v>10</v>
      </c>
      <c r="N705" s="8" t="str">
        <f>TEXT(Clean_Data[[#This Row],[OrderDate]],"mmm")</f>
        <v>Oct</v>
      </c>
      <c r="O705" s="8" t="str">
        <f>TEXT(Clean_Data[[#This Row],[OrderDate]], "yyyy-mm")</f>
        <v>2018-10</v>
      </c>
      <c r="P705" s="7">
        <f>Clean_Data[[#This Row],[Profit]]/Clean_Data[[#This Row],[Revenue ]]</f>
        <v>0.16774193548387098</v>
      </c>
      <c r="Q705" t="str">
        <f>"Q"&amp;ROUNDUP(MONTH(Clean_Data[[#This Row],[OrderDate]])/3,0)</f>
        <v>Q4</v>
      </c>
      <c r="R705" t="str">
        <f>TEXT(Clean_Data[[#This Row],[OrderDate]], "dddd")</f>
        <v>Monday</v>
      </c>
    </row>
    <row r="706" spans="1:18" x14ac:dyDescent="0.25">
      <c r="A706" t="s">
        <v>623</v>
      </c>
      <c r="B706" s="4">
        <v>151</v>
      </c>
      <c r="C706" s="4">
        <v>9</v>
      </c>
      <c r="D706" s="3">
        <v>3</v>
      </c>
      <c r="E706" t="s">
        <v>895</v>
      </c>
      <c r="F706" t="s">
        <v>899</v>
      </c>
      <c r="G706" t="s">
        <v>890</v>
      </c>
      <c r="H706" s="6">
        <f>_xlfn.XLOOKUP(A706,Orders[OrderID],Orders[OrderDate])</f>
        <v>43113</v>
      </c>
      <c r="I706" t="str">
        <f>_xlfn.XLOOKUP(A706,Orders[OrderID],Orders[CustomerName])</f>
        <v>Shantanu</v>
      </c>
      <c r="J706" t="str">
        <f>_xlfn.XLOOKUP(A706,Orders[OrderID],Orders[State])</f>
        <v>Maharashtra</v>
      </c>
      <c r="K706" t="str">
        <f>_xlfn.XLOOKUP(A706,Orders[OrderID],Orders[City])</f>
        <v>Mumbai</v>
      </c>
      <c r="L706" s="3">
        <f>YEAR(Clean_Data[[#This Row],[OrderDate]])</f>
        <v>2018</v>
      </c>
      <c r="M706" s="3">
        <f>MONTH(Clean_Data[[#This Row],[OrderDate]])</f>
        <v>1</v>
      </c>
      <c r="N706" s="8" t="str">
        <f>TEXT(Clean_Data[[#This Row],[OrderDate]],"mmm")</f>
        <v>Jan</v>
      </c>
      <c r="O706" s="8" t="str">
        <f>TEXT(Clean_Data[[#This Row],[OrderDate]], "yyyy-mm")</f>
        <v>2018-01</v>
      </c>
      <c r="P706" s="7">
        <f>Clean_Data[[#This Row],[Profit]]/Clean_Data[[#This Row],[Revenue ]]</f>
        <v>5.9602649006622516E-2</v>
      </c>
      <c r="Q706" t="str">
        <f>"Q"&amp;ROUNDUP(MONTH(Clean_Data[[#This Row],[OrderDate]])/3,0)</f>
        <v>Q1</v>
      </c>
      <c r="R706" t="str">
        <f>TEXT(Clean_Data[[#This Row],[OrderDate]], "dddd")</f>
        <v>Saturday</v>
      </c>
    </row>
    <row r="707" spans="1:18" x14ac:dyDescent="0.25">
      <c r="A707" t="s">
        <v>348</v>
      </c>
      <c r="B707" s="4">
        <v>151</v>
      </c>
      <c r="C707" s="4">
        <v>29</v>
      </c>
      <c r="D707" s="3">
        <v>5</v>
      </c>
      <c r="E707" t="s">
        <v>895</v>
      </c>
      <c r="F707" t="s">
        <v>899</v>
      </c>
      <c r="G707" t="s">
        <v>890</v>
      </c>
      <c r="H707" s="6">
        <f>_xlfn.XLOOKUP(A707,Orders[OrderID],Orders[OrderDate])</f>
        <v>43103</v>
      </c>
      <c r="I707" t="str">
        <f>_xlfn.XLOOKUP(A707,Orders[OrderID],Orders[CustomerName])</f>
        <v>Monica</v>
      </c>
      <c r="J707" t="str">
        <f>_xlfn.XLOOKUP(A707,Orders[OrderID],Orders[State])</f>
        <v>Punjab</v>
      </c>
      <c r="K707" t="str">
        <f>_xlfn.XLOOKUP(A707,Orders[OrderID],Orders[City])</f>
        <v>Chandigarh</v>
      </c>
      <c r="L707" s="3">
        <f>YEAR(Clean_Data[[#This Row],[OrderDate]])</f>
        <v>2018</v>
      </c>
      <c r="M707" s="3">
        <f>MONTH(Clean_Data[[#This Row],[OrderDate]])</f>
        <v>1</v>
      </c>
      <c r="N707" s="8" t="str">
        <f>TEXT(Clean_Data[[#This Row],[OrderDate]],"mmm")</f>
        <v>Jan</v>
      </c>
      <c r="O707" s="8" t="str">
        <f>TEXT(Clean_Data[[#This Row],[OrderDate]], "yyyy-mm")</f>
        <v>2018-01</v>
      </c>
      <c r="P707" s="7">
        <f>Clean_Data[[#This Row],[Profit]]/Clean_Data[[#This Row],[Revenue ]]</f>
        <v>0.19205298013245034</v>
      </c>
      <c r="Q707" t="str">
        <f>"Q"&amp;ROUNDUP(MONTH(Clean_Data[[#This Row],[OrderDate]])/3,0)</f>
        <v>Q1</v>
      </c>
      <c r="R707" t="str">
        <f>TEXT(Clean_Data[[#This Row],[OrderDate]], "dddd")</f>
        <v>Wednesday</v>
      </c>
    </row>
    <row r="708" spans="1:18" x14ac:dyDescent="0.25">
      <c r="A708" t="s">
        <v>434</v>
      </c>
      <c r="B708" s="4">
        <v>110</v>
      </c>
      <c r="C708" s="4">
        <v>-68</v>
      </c>
      <c r="D708" s="3">
        <v>4</v>
      </c>
      <c r="E708" t="s">
        <v>895</v>
      </c>
      <c r="F708" t="s">
        <v>897</v>
      </c>
      <c r="G708" t="s">
        <v>890</v>
      </c>
      <c r="H708" s="6">
        <f>_xlfn.XLOOKUP(A708,Orders[OrderID],Orders[OrderDate])</f>
        <v>43231</v>
      </c>
      <c r="I708" t="str">
        <f>_xlfn.XLOOKUP(A708,Orders[OrderID],Orders[CustomerName])</f>
        <v>Nida</v>
      </c>
      <c r="J708" t="str">
        <f>_xlfn.XLOOKUP(A708,Orders[OrderID],Orders[State])</f>
        <v>Madhya Pradesh</v>
      </c>
      <c r="K708" t="str">
        <f>_xlfn.XLOOKUP(A708,Orders[OrderID],Orders[City])</f>
        <v>Indore</v>
      </c>
      <c r="L708" s="3">
        <f>YEAR(Clean_Data[[#This Row],[OrderDate]])</f>
        <v>2018</v>
      </c>
      <c r="M708" s="3">
        <f>MONTH(Clean_Data[[#This Row],[OrderDate]])</f>
        <v>5</v>
      </c>
      <c r="N708" s="8" t="str">
        <f>TEXT(Clean_Data[[#This Row],[OrderDate]],"mmm")</f>
        <v>May</v>
      </c>
      <c r="O708" s="8" t="str">
        <f>TEXT(Clean_Data[[#This Row],[OrderDate]], "yyyy-mm")</f>
        <v>2018-05</v>
      </c>
      <c r="P708" s="7">
        <f>Clean_Data[[#This Row],[Profit]]/Clean_Data[[#This Row],[Revenue ]]</f>
        <v>-0.61818181818181817</v>
      </c>
      <c r="Q708" t="str">
        <f>"Q"&amp;ROUNDUP(MONTH(Clean_Data[[#This Row],[OrderDate]])/3,0)</f>
        <v>Q2</v>
      </c>
      <c r="R708" t="str">
        <f>TEXT(Clean_Data[[#This Row],[OrderDate]], "dddd")</f>
        <v>Friday</v>
      </c>
    </row>
    <row r="709" spans="1:18" x14ac:dyDescent="0.25">
      <c r="A709" t="s">
        <v>16</v>
      </c>
      <c r="B709" s="4">
        <v>98</v>
      </c>
      <c r="C709" s="4">
        <v>9</v>
      </c>
      <c r="D709" s="3">
        <v>2</v>
      </c>
      <c r="E709" t="s">
        <v>888</v>
      </c>
      <c r="F709" t="s">
        <v>908</v>
      </c>
      <c r="G709" t="s">
        <v>887</v>
      </c>
      <c r="H709" s="6">
        <f>_xlfn.XLOOKUP(A709,Orders[OrderID],Orders[OrderDate])</f>
        <v>43333</v>
      </c>
      <c r="I709" t="str">
        <f>_xlfn.XLOOKUP(A709,Orders[OrderID],Orders[CustomerName])</f>
        <v>Vishakha</v>
      </c>
      <c r="J709" t="str">
        <f>_xlfn.XLOOKUP(A709,Orders[OrderID],Orders[State])</f>
        <v>Madhya Pradesh</v>
      </c>
      <c r="K709" t="str">
        <f>_xlfn.XLOOKUP(A709,Orders[OrderID],Orders[City])</f>
        <v>Indore</v>
      </c>
      <c r="L709" s="3">
        <f>YEAR(Clean_Data[[#This Row],[OrderDate]])</f>
        <v>2018</v>
      </c>
      <c r="M709" s="3">
        <f>MONTH(Clean_Data[[#This Row],[OrderDate]])</f>
        <v>8</v>
      </c>
      <c r="N709" s="8" t="str">
        <f>TEXT(Clean_Data[[#This Row],[OrderDate]],"mmm")</f>
        <v>Aug</v>
      </c>
      <c r="O709" s="8" t="str">
        <f>TEXT(Clean_Data[[#This Row],[OrderDate]], "yyyy-mm")</f>
        <v>2018-08</v>
      </c>
      <c r="P709" s="7">
        <f>Clean_Data[[#This Row],[Profit]]/Clean_Data[[#This Row],[Revenue ]]</f>
        <v>9.1836734693877556E-2</v>
      </c>
      <c r="Q709" t="str">
        <f>"Q"&amp;ROUNDUP(MONTH(Clean_Data[[#This Row],[OrderDate]])/3,0)</f>
        <v>Q3</v>
      </c>
      <c r="R709" t="str">
        <f>TEXT(Clean_Data[[#This Row],[OrderDate]], "dddd")</f>
        <v>Tuesday</v>
      </c>
    </row>
    <row r="710" spans="1:18" x14ac:dyDescent="0.25">
      <c r="A710" t="s">
        <v>434</v>
      </c>
      <c r="B710" s="4">
        <v>97</v>
      </c>
      <c r="C710" s="4">
        <v>-62</v>
      </c>
      <c r="D710" s="3">
        <v>2</v>
      </c>
      <c r="E710" t="s">
        <v>895</v>
      </c>
      <c r="F710" t="s">
        <v>896</v>
      </c>
      <c r="G710" t="s">
        <v>887</v>
      </c>
      <c r="H710" s="6">
        <f>_xlfn.XLOOKUP(A710,Orders[OrderID],Orders[OrderDate])</f>
        <v>43231</v>
      </c>
      <c r="I710" t="str">
        <f>_xlfn.XLOOKUP(A710,Orders[OrderID],Orders[CustomerName])</f>
        <v>Nida</v>
      </c>
      <c r="J710" t="str">
        <f>_xlfn.XLOOKUP(A710,Orders[OrderID],Orders[State])</f>
        <v>Madhya Pradesh</v>
      </c>
      <c r="K710" t="str">
        <f>_xlfn.XLOOKUP(A710,Orders[OrderID],Orders[City])</f>
        <v>Indore</v>
      </c>
      <c r="L710" s="3">
        <f>YEAR(Clean_Data[[#This Row],[OrderDate]])</f>
        <v>2018</v>
      </c>
      <c r="M710" s="3">
        <f>MONTH(Clean_Data[[#This Row],[OrderDate]])</f>
        <v>5</v>
      </c>
      <c r="N710" s="8" t="str">
        <f>TEXT(Clean_Data[[#This Row],[OrderDate]],"mmm")</f>
        <v>May</v>
      </c>
      <c r="O710" s="8" t="str">
        <f>TEXT(Clean_Data[[#This Row],[OrderDate]], "yyyy-mm")</f>
        <v>2018-05</v>
      </c>
      <c r="P710" s="7">
        <f>Clean_Data[[#This Row],[Profit]]/Clean_Data[[#This Row],[Revenue ]]</f>
        <v>-0.63917525773195871</v>
      </c>
      <c r="Q710" t="str">
        <f>"Q"&amp;ROUNDUP(MONTH(Clean_Data[[#This Row],[OrderDate]])/3,0)</f>
        <v>Q2</v>
      </c>
      <c r="R710" t="str">
        <f>TEXT(Clean_Data[[#This Row],[OrderDate]], "dddd")</f>
        <v>Friday</v>
      </c>
    </row>
    <row r="711" spans="1:18" x14ac:dyDescent="0.25">
      <c r="A711" t="s">
        <v>265</v>
      </c>
      <c r="B711" s="4">
        <v>111</v>
      </c>
      <c r="C711" s="4">
        <v>35</v>
      </c>
      <c r="D711" s="3">
        <v>5</v>
      </c>
      <c r="E711" t="s">
        <v>895</v>
      </c>
      <c r="F711" t="s">
        <v>909</v>
      </c>
      <c r="G711" t="s">
        <v>887</v>
      </c>
      <c r="H711" s="6">
        <f>_xlfn.XLOOKUP(A711,Orders[OrderID],Orders[OrderDate])</f>
        <v>43153</v>
      </c>
      <c r="I711" t="str">
        <f>_xlfn.XLOOKUP(A711,Orders[OrderID],Orders[CustomerName])</f>
        <v>Atharv</v>
      </c>
      <c r="J711" t="str">
        <f>_xlfn.XLOOKUP(A711,Orders[OrderID],Orders[State])</f>
        <v>West Bengal</v>
      </c>
      <c r="K711" t="str">
        <f>_xlfn.XLOOKUP(A711,Orders[OrderID],Orders[City])</f>
        <v>Kolkata</v>
      </c>
      <c r="L711" s="3">
        <f>YEAR(Clean_Data[[#This Row],[OrderDate]])</f>
        <v>2018</v>
      </c>
      <c r="M711" s="3">
        <f>MONTH(Clean_Data[[#This Row],[OrderDate]])</f>
        <v>2</v>
      </c>
      <c r="N711" s="8" t="str">
        <f>TEXT(Clean_Data[[#This Row],[OrderDate]],"mmm")</f>
        <v>Feb</v>
      </c>
      <c r="O711" s="8" t="str">
        <f>TEXT(Clean_Data[[#This Row],[OrderDate]], "yyyy-mm")</f>
        <v>2018-02</v>
      </c>
      <c r="P711" s="7">
        <f>Clean_Data[[#This Row],[Profit]]/Clean_Data[[#This Row],[Revenue ]]</f>
        <v>0.31531531531531531</v>
      </c>
      <c r="Q711" t="str">
        <f>"Q"&amp;ROUNDUP(MONTH(Clean_Data[[#This Row],[OrderDate]])/3,0)</f>
        <v>Q1</v>
      </c>
      <c r="R711" t="str">
        <f>TEXT(Clean_Data[[#This Row],[OrderDate]], "dddd")</f>
        <v>Thursday</v>
      </c>
    </row>
    <row r="712" spans="1:18" x14ac:dyDescent="0.25">
      <c r="A712" t="s">
        <v>638</v>
      </c>
      <c r="B712" s="4">
        <v>45</v>
      </c>
      <c r="C712" s="4">
        <v>17</v>
      </c>
      <c r="D712" s="3">
        <v>1</v>
      </c>
      <c r="E712" t="s">
        <v>885</v>
      </c>
      <c r="F712" t="s">
        <v>905</v>
      </c>
      <c r="G712" t="s">
        <v>887</v>
      </c>
      <c r="H712" s="6">
        <f>_xlfn.XLOOKUP(A712,Orders[OrderID],Orders[OrderDate])</f>
        <v>43183</v>
      </c>
      <c r="I712" t="str">
        <f>_xlfn.XLOOKUP(A712,Orders[OrderID],Orders[CustomerName])</f>
        <v>Yogesh</v>
      </c>
      <c r="J712" t="str">
        <f>_xlfn.XLOOKUP(A712,Orders[OrderID],Orders[State])</f>
        <v>Bihar</v>
      </c>
      <c r="K712" t="str">
        <f>_xlfn.XLOOKUP(A712,Orders[OrderID],Orders[City])</f>
        <v>Patna</v>
      </c>
      <c r="L712" s="3">
        <f>YEAR(Clean_Data[[#This Row],[OrderDate]])</f>
        <v>2018</v>
      </c>
      <c r="M712" s="3">
        <f>MONTH(Clean_Data[[#This Row],[OrderDate]])</f>
        <v>3</v>
      </c>
      <c r="N712" s="8" t="str">
        <f>TEXT(Clean_Data[[#This Row],[OrderDate]],"mmm")</f>
        <v>Mar</v>
      </c>
      <c r="O712" s="8" t="str">
        <f>TEXT(Clean_Data[[#This Row],[OrderDate]], "yyyy-mm")</f>
        <v>2018-03</v>
      </c>
      <c r="P712" s="7">
        <f>Clean_Data[[#This Row],[Profit]]/Clean_Data[[#This Row],[Revenue ]]</f>
        <v>0.37777777777777777</v>
      </c>
      <c r="Q712" t="str">
        <f>"Q"&amp;ROUNDUP(MONTH(Clean_Data[[#This Row],[OrderDate]])/3,0)</f>
        <v>Q1</v>
      </c>
      <c r="R712" t="str">
        <f>TEXT(Clean_Data[[#This Row],[OrderDate]], "dddd")</f>
        <v>Saturday</v>
      </c>
    </row>
    <row r="713" spans="1:18" x14ac:dyDescent="0.25">
      <c r="A713" t="s">
        <v>692</v>
      </c>
      <c r="B713" s="4">
        <v>112</v>
      </c>
      <c r="C713" s="4">
        <v>15</v>
      </c>
      <c r="D713" s="3">
        <v>2</v>
      </c>
      <c r="E713" t="s">
        <v>888</v>
      </c>
      <c r="F713" t="s">
        <v>889</v>
      </c>
      <c r="G713" t="s">
        <v>887</v>
      </c>
      <c r="H713" s="6">
        <f>_xlfn.XLOOKUP(A713,Orders[OrderID],Orders[OrderDate])</f>
        <v>43378</v>
      </c>
      <c r="I713" t="str">
        <f>_xlfn.XLOOKUP(A713,Orders[OrderID],Orders[CustomerName])</f>
        <v>Ankit</v>
      </c>
      <c r="J713" t="str">
        <f>_xlfn.XLOOKUP(A713,Orders[OrderID],Orders[State])</f>
        <v>Maharashtra</v>
      </c>
      <c r="K713" t="str">
        <f>_xlfn.XLOOKUP(A713,Orders[OrderID],Orders[City])</f>
        <v>Mumbai</v>
      </c>
      <c r="L713" s="3">
        <f>YEAR(Clean_Data[[#This Row],[OrderDate]])</f>
        <v>2018</v>
      </c>
      <c r="M713" s="3">
        <f>MONTH(Clean_Data[[#This Row],[OrderDate]])</f>
        <v>10</v>
      </c>
      <c r="N713" s="8" t="str">
        <f>TEXT(Clean_Data[[#This Row],[OrderDate]],"mmm")</f>
        <v>Oct</v>
      </c>
      <c r="O713" s="8" t="str">
        <f>TEXT(Clean_Data[[#This Row],[OrderDate]], "yyyy-mm")</f>
        <v>2018-10</v>
      </c>
      <c r="P713" s="7">
        <f>Clean_Data[[#This Row],[Profit]]/Clean_Data[[#This Row],[Revenue ]]</f>
        <v>0.13392857142857142</v>
      </c>
      <c r="Q713" t="str">
        <f>"Q"&amp;ROUNDUP(MONTH(Clean_Data[[#This Row],[OrderDate]])/3,0)</f>
        <v>Q4</v>
      </c>
      <c r="R713" t="str">
        <f>TEXT(Clean_Data[[#This Row],[OrderDate]], "dddd")</f>
        <v>Friday</v>
      </c>
    </row>
    <row r="714" spans="1:18" x14ac:dyDescent="0.25">
      <c r="A714" t="s">
        <v>23</v>
      </c>
      <c r="B714" s="4">
        <v>110</v>
      </c>
      <c r="C714" s="4">
        <v>20</v>
      </c>
      <c r="D714" s="3">
        <v>5</v>
      </c>
      <c r="E714" t="s">
        <v>895</v>
      </c>
      <c r="F714" t="s">
        <v>903</v>
      </c>
      <c r="G714" t="s">
        <v>907</v>
      </c>
      <c r="H714" s="6">
        <f>_xlfn.XLOOKUP(A714,Orders[OrderID],Orders[OrderDate])</f>
        <v>43116</v>
      </c>
      <c r="I714" t="str">
        <f>_xlfn.XLOOKUP(A714,Orders[OrderID],Orders[CustomerName])</f>
        <v>Shiva</v>
      </c>
      <c r="J714" t="str">
        <f>_xlfn.XLOOKUP(A714,Orders[OrderID],Orders[State])</f>
        <v>Maharashtra</v>
      </c>
      <c r="K714" t="str">
        <f>_xlfn.XLOOKUP(A714,Orders[OrderID],Orders[City])</f>
        <v>Pune</v>
      </c>
      <c r="L714" s="3">
        <f>YEAR(Clean_Data[[#This Row],[OrderDate]])</f>
        <v>2018</v>
      </c>
      <c r="M714" s="3">
        <f>MONTH(Clean_Data[[#This Row],[OrderDate]])</f>
        <v>1</v>
      </c>
      <c r="N714" s="8" t="str">
        <f>TEXT(Clean_Data[[#This Row],[OrderDate]],"mmm")</f>
        <v>Jan</v>
      </c>
      <c r="O714" s="8" t="str">
        <f>TEXT(Clean_Data[[#This Row],[OrderDate]], "yyyy-mm")</f>
        <v>2018-01</v>
      </c>
      <c r="P714" s="7">
        <f>Clean_Data[[#This Row],[Profit]]/Clean_Data[[#This Row],[Revenue ]]</f>
        <v>0.18181818181818182</v>
      </c>
      <c r="Q714" t="str">
        <f>"Q"&amp;ROUNDUP(MONTH(Clean_Data[[#This Row],[OrderDate]])/3,0)</f>
        <v>Q1</v>
      </c>
      <c r="R714" t="str">
        <f>TEXT(Clean_Data[[#This Row],[OrderDate]], "dddd")</f>
        <v>Tuesday</v>
      </c>
    </row>
    <row r="715" spans="1:18" x14ac:dyDescent="0.25">
      <c r="A715" t="s">
        <v>144</v>
      </c>
      <c r="B715" s="4">
        <v>98</v>
      </c>
      <c r="C715" s="4">
        <v>-5</v>
      </c>
      <c r="D715" s="3">
        <v>2</v>
      </c>
      <c r="E715" t="s">
        <v>895</v>
      </c>
      <c r="F715" t="s">
        <v>897</v>
      </c>
      <c r="G715" t="s">
        <v>898</v>
      </c>
      <c r="H715" s="6">
        <f>_xlfn.XLOOKUP(A715,Orders[OrderID],Orders[OrderDate])</f>
        <v>43338</v>
      </c>
      <c r="I715" t="str">
        <f>_xlfn.XLOOKUP(A715,Orders[OrderID],Orders[CustomerName])</f>
        <v>Anudeep</v>
      </c>
      <c r="J715" t="str">
        <f>_xlfn.XLOOKUP(A715,Orders[OrderID],Orders[State])</f>
        <v>Madhya Pradesh</v>
      </c>
      <c r="K715" t="str">
        <f>_xlfn.XLOOKUP(A715,Orders[OrderID],Orders[City])</f>
        <v>Indore</v>
      </c>
      <c r="L715" s="3">
        <f>YEAR(Clean_Data[[#This Row],[OrderDate]])</f>
        <v>2018</v>
      </c>
      <c r="M715" s="3">
        <f>MONTH(Clean_Data[[#This Row],[OrderDate]])</f>
        <v>8</v>
      </c>
      <c r="N715" s="8" t="str">
        <f>TEXT(Clean_Data[[#This Row],[OrderDate]],"mmm")</f>
        <v>Aug</v>
      </c>
      <c r="O715" s="8" t="str">
        <f>TEXT(Clean_Data[[#This Row],[OrderDate]], "yyyy-mm")</f>
        <v>2018-08</v>
      </c>
      <c r="P715" s="7">
        <f>Clean_Data[[#This Row],[Profit]]/Clean_Data[[#This Row],[Revenue ]]</f>
        <v>-5.1020408163265307E-2</v>
      </c>
      <c r="Q715" t="str">
        <f>"Q"&amp;ROUNDUP(MONTH(Clean_Data[[#This Row],[OrderDate]])/3,0)</f>
        <v>Q3</v>
      </c>
      <c r="R715" t="str">
        <f>TEXT(Clean_Data[[#This Row],[OrderDate]], "dddd")</f>
        <v>Sunday</v>
      </c>
    </row>
    <row r="716" spans="1:18" x14ac:dyDescent="0.25">
      <c r="A716" t="s">
        <v>96</v>
      </c>
      <c r="B716" s="4">
        <v>110</v>
      </c>
      <c r="C716" s="4">
        <v>12</v>
      </c>
      <c r="D716" s="3">
        <v>7</v>
      </c>
      <c r="E716" t="s">
        <v>895</v>
      </c>
      <c r="F716" t="s">
        <v>903</v>
      </c>
      <c r="G716" t="s">
        <v>907</v>
      </c>
      <c r="H716" s="6">
        <f>_xlfn.XLOOKUP(A716,Orders[OrderID],Orders[OrderDate])</f>
        <v>43457</v>
      </c>
      <c r="I716" t="str">
        <f>_xlfn.XLOOKUP(A716,Orders[OrderID],Orders[CustomerName])</f>
        <v>Neha</v>
      </c>
      <c r="J716" t="str">
        <f>_xlfn.XLOOKUP(A716,Orders[OrderID],Orders[State])</f>
        <v>Rajasthan</v>
      </c>
      <c r="K716" t="str">
        <f>_xlfn.XLOOKUP(A716,Orders[OrderID],Orders[City])</f>
        <v>Udaipur</v>
      </c>
      <c r="L716" s="3">
        <f>YEAR(Clean_Data[[#This Row],[OrderDate]])</f>
        <v>2018</v>
      </c>
      <c r="M716" s="3">
        <f>MONTH(Clean_Data[[#This Row],[OrderDate]])</f>
        <v>12</v>
      </c>
      <c r="N716" s="8" t="str">
        <f>TEXT(Clean_Data[[#This Row],[OrderDate]],"mmm")</f>
        <v>Dec</v>
      </c>
      <c r="O716" s="8" t="str">
        <f>TEXT(Clean_Data[[#This Row],[OrderDate]], "yyyy-mm")</f>
        <v>2018-12</v>
      </c>
      <c r="P716" s="7">
        <f>Clean_Data[[#This Row],[Profit]]/Clean_Data[[#This Row],[Revenue ]]</f>
        <v>0.10909090909090909</v>
      </c>
      <c r="Q716" t="str">
        <f>"Q"&amp;ROUNDUP(MONTH(Clean_Data[[#This Row],[OrderDate]])/3,0)</f>
        <v>Q4</v>
      </c>
      <c r="R716" t="str">
        <f>TEXT(Clean_Data[[#This Row],[OrderDate]], "dddd")</f>
        <v>Sunday</v>
      </c>
    </row>
    <row r="717" spans="1:18" x14ac:dyDescent="0.25">
      <c r="A717" t="s">
        <v>50</v>
      </c>
      <c r="B717" s="4">
        <v>95</v>
      </c>
      <c r="C717" s="4">
        <v>11</v>
      </c>
      <c r="D717" s="3">
        <v>4</v>
      </c>
      <c r="E717" t="s">
        <v>888</v>
      </c>
      <c r="F717" t="s">
        <v>908</v>
      </c>
      <c r="G717" t="s">
        <v>887</v>
      </c>
      <c r="H717" s="6">
        <f>_xlfn.XLOOKUP(A717,Orders[OrderID],Orders[OrderDate])</f>
        <v>43412</v>
      </c>
      <c r="I717" t="str">
        <f>_xlfn.XLOOKUP(A717,Orders[OrderID],Orders[CustomerName])</f>
        <v>Gaurav</v>
      </c>
      <c r="J717" t="str">
        <f>_xlfn.XLOOKUP(A717,Orders[OrderID],Orders[State])</f>
        <v>Gujarat</v>
      </c>
      <c r="K717" t="str">
        <f>_xlfn.XLOOKUP(A717,Orders[OrderID],Orders[City])</f>
        <v>Ahmedabad</v>
      </c>
      <c r="L717" s="3">
        <f>YEAR(Clean_Data[[#This Row],[OrderDate]])</f>
        <v>2018</v>
      </c>
      <c r="M717" s="3">
        <f>MONTH(Clean_Data[[#This Row],[OrderDate]])</f>
        <v>11</v>
      </c>
      <c r="N717" s="8" t="str">
        <f>TEXT(Clean_Data[[#This Row],[OrderDate]],"mmm")</f>
        <v>Nov</v>
      </c>
      <c r="O717" s="8" t="str">
        <f>TEXT(Clean_Data[[#This Row],[OrderDate]], "yyyy-mm")</f>
        <v>2018-11</v>
      </c>
      <c r="P717" s="7">
        <f>Clean_Data[[#This Row],[Profit]]/Clean_Data[[#This Row],[Revenue ]]</f>
        <v>0.11578947368421053</v>
      </c>
      <c r="Q717" t="str">
        <f>"Q"&amp;ROUNDUP(MONTH(Clean_Data[[#This Row],[OrderDate]])/3,0)</f>
        <v>Q4</v>
      </c>
      <c r="R717" t="str">
        <f>TEXT(Clean_Data[[#This Row],[OrderDate]], "dddd")</f>
        <v>Thursday</v>
      </c>
    </row>
    <row r="718" spans="1:18" x14ac:dyDescent="0.25">
      <c r="A718" t="s">
        <v>174</v>
      </c>
      <c r="B718" s="4">
        <v>1228</v>
      </c>
      <c r="C718" s="4">
        <v>14</v>
      </c>
      <c r="D718" s="3">
        <v>3</v>
      </c>
      <c r="E718" t="s">
        <v>888</v>
      </c>
      <c r="F718" t="s">
        <v>889</v>
      </c>
      <c r="G718" t="s">
        <v>898</v>
      </c>
      <c r="H718" s="6">
        <f>_xlfn.XLOOKUP(A718,Orders[OrderID],Orders[OrderDate])</f>
        <v>43463</v>
      </c>
      <c r="I718" t="str">
        <f>_xlfn.XLOOKUP(A718,Orders[OrderID],Orders[CustomerName])</f>
        <v>Shruti</v>
      </c>
      <c r="J718" t="str">
        <f>_xlfn.XLOOKUP(A718,Orders[OrderID],Orders[State])</f>
        <v>Maharashtra</v>
      </c>
      <c r="K718" t="str">
        <f>_xlfn.XLOOKUP(A718,Orders[OrderID],Orders[City])</f>
        <v>Mumbai</v>
      </c>
      <c r="L718" s="3">
        <f>YEAR(Clean_Data[[#This Row],[OrderDate]])</f>
        <v>2018</v>
      </c>
      <c r="M718" s="3">
        <f>MONTH(Clean_Data[[#This Row],[OrderDate]])</f>
        <v>12</v>
      </c>
      <c r="N718" s="8" t="str">
        <f>TEXT(Clean_Data[[#This Row],[OrderDate]],"mmm")</f>
        <v>Dec</v>
      </c>
      <c r="O718" s="8" t="str">
        <f>TEXT(Clean_Data[[#This Row],[OrderDate]], "yyyy-mm")</f>
        <v>2018-12</v>
      </c>
      <c r="P718" s="7">
        <f>Clean_Data[[#This Row],[Profit]]/Clean_Data[[#This Row],[Revenue ]]</f>
        <v>1.1400651465798045E-2</v>
      </c>
      <c r="Q718" t="str">
        <f>"Q"&amp;ROUNDUP(MONTH(Clean_Data[[#This Row],[OrderDate]])/3,0)</f>
        <v>Q4</v>
      </c>
      <c r="R718" t="str">
        <f>TEXT(Clean_Data[[#This Row],[OrderDate]], "dddd")</f>
        <v>Saturday</v>
      </c>
    </row>
    <row r="719" spans="1:18" x14ac:dyDescent="0.25">
      <c r="A719" t="s">
        <v>192</v>
      </c>
      <c r="B719" s="4">
        <v>29</v>
      </c>
      <c r="C719" s="4">
        <v>0</v>
      </c>
      <c r="D719" s="3">
        <v>3</v>
      </c>
      <c r="E719" t="s">
        <v>888</v>
      </c>
      <c r="F719" t="s">
        <v>908</v>
      </c>
      <c r="G719" t="s">
        <v>887</v>
      </c>
      <c r="H719" s="6">
        <f>_xlfn.XLOOKUP(A719,Orders[OrderID],Orders[OrderDate])</f>
        <v>43150</v>
      </c>
      <c r="I719" t="str">
        <f>_xlfn.XLOOKUP(A719,Orders[OrderID],Orders[CustomerName])</f>
        <v>Mukesh</v>
      </c>
      <c r="J719" t="str">
        <f>_xlfn.XLOOKUP(A719,Orders[OrderID],Orders[State])</f>
        <v>Haryana</v>
      </c>
      <c r="K719" t="str">
        <f>_xlfn.XLOOKUP(A719,Orders[OrderID],Orders[City])</f>
        <v>Chandigarh</v>
      </c>
      <c r="L719" s="3">
        <f>YEAR(Clean_Data[[#This Row],[OrderDate]])</f>
        <v>2018</v>
      </c>
      <c r="M719" s="3">
        <f>MONTH(Clean_Data[[#This Row],[OrderDate]])</f>
        <v>2</v>
      </c>
      <c r="N719" s="8" t="str">
        <f>TEXT(Clean_Data[[#This Row],[OrderDate]],"mmm")</f>
        <v>Feb</v>
      </c>
      <c r="O719" s="8" t="str">
        <f>TEXT(Clean_Data[[#This Row],[OrderDate]], "yyyy-mm")</f>
        <v>2018-02</v>
      </c>
      <c r="P719" s="7">
        <f>Clean_Data[[#This Row],[Profit]]/Clean_Data[[#This Row],[Revenue ]]</f>
        <v>0</v>
      </c>
      <c r="Q719" t="str">
        <f>"Q"&amp;ROUNDUP(MONTH(Clean_Data[[#This Row],[OrderDate]])/3,0)</f>
        <v>Q1</v>
      </c>
      <c r="R719" t="str">
        <f>TEXT(Clean_Data[[#This Row],[OrderDate]], "dddd")</f>
        <v>Monday</v>
      </c>
    </row>
    <row r="720" spans="1:18" x14ac:dyDescent="0.25">
      <c r="A720" t="s">
        <v>3</v>
      </c>
      <c r="B720" s="4">
        <v>94</v>
      </c>
      <c r="C720" s="4">
        <v>27</v>
      </c>
      <c r="D720" s="3">
        <v>2</v>
      </c>
      <c r="E720" t="s">
        <v>895</v>
      </c>
      <c r="F720" t="s">
        <v>906</v>
      </c>
      <c r="G720" t="s">
        <v>887</v>
      </c>
      <c r="H720" s="6">
        <f>_xlfn.XLOOKUP(A720,Orders[OrderID],Orders[OrderDate])</f>
        <v>43169</v>
      </c>
      <c r="I720" t="str">
        <f>_xlfn.XLOOKUP(A720,Orders[OrderID],Orders[CustomerName])</f>
        <v>Harivansh</v>
      </c>
      <c r="J720" t="str">
        <f>_xlfn.XLOOKUP(A720,Orders[OrderID],Orders[State])</f>
        <v>Uttar Pradesh</v>
      </c>
      <c r="K720" t="str">
        <f>_xlfn.XLOOKUP(A720,Orders[OrderID],Orders[City])</f>
        <v>Mathura</v>
      </c>
      <c r="L720" s="3">
        <f>YEAR(Clean_Data[[#This Row],[OrderDate]])</f>
        <v>2018</v>
      </c>
      <c r="M720" s="3">
        <f>MONTH(Clean_Data[[#This Row],[OrderDate]])</f>
        <v>3</v>
      </c>
      <c r="N720" s="8" t="str">
        <f>TEXT(Clean_Data[[#This Row],[OrderDate]],"mmm")</f>
        <v>Mar</v>
      </c>
      <c r="O720" s="8" t="str">
        <f>TEXT(Clean_Data[[#This Row],[OrderDate]], "yyyy-mm")</f>
        <v>2018-03</v>
      </c>
      <c r="P720" s="7">
        <f>Clean_Data[[#This Row],[Profit]]/Clean_Data[[#This Row],[Revenue ]]</f>
        <v>0.28723404255319152</v>
      </c>
      <c r="Q720" t="str">
        <f>"Q"&amp;ROUNDUP(MONTH(Clean_Data[[#This Row],[OrderDate]])/3,0)</f>
        <v>Q1</v>
      </c>
      <c r="R720" t="str">
        <f>TEXT(Clean_Data[[#This Row],[OrderDate]], "dddd")</f>
        <v>Saturday</v>
      </c>
    </row>
    <row r="721" spans="1:18" x14ac:dyDescent="0.25">
      <c r="A721" t="s">
        <v>140</v>
      </c>
      <c r="B721" s="4">
        <v>115</v>
      </c>
      <c r="C721" s="4">
        <v>25</v>
      </c>
      <c r="D721" s="3">
        <v>1</v>
      </c>
      <c r="E721" t="s">
        <v>885</v>
      </c>
      <c r="F721" t="s">
        <v>905</v>
      </c>
      <c r="G721" t="s">
        <v>887</v>
      </c>
      <c r="H721" s="6">
        <f>_xlfn.XLOOKUP(A721,Orders[OrderID],Orders[OrderDate])</f>
        <v>43228</v>
      </c>
      <c r="I721" t="str">
        <f>_xlfn.XLOOKUP(A721,Orders[OrderID],Orders[CustomerName])</f>
        <v>Farah</v>
      </c>
      <c r="J721" t="str">
        <f>_xlfn.XLOOKUP(A721,Orders[OrderID],Orders[State])</f>
        <v>Nagaland</v>
      </c>
      <c r="K721" t="str">
        <f>_xlfn.XLOOKUP(A721,Orders[OrderID],Orders[City])</f>
        <v>Kohima</v>
      </c>
      <c r="L721" s="3">
        <f>YEAR(Clean_Data[[#This Row],[OrderDate]])</f>
        <v>2018</v>
      </c>
      <c r="M721" s="3">
        <f>MONTH(Clean_Data[[#This Row],[OrderDate]])</f>
        <v>5</v>
      </c>
      <c r="N721" s="8" t="str">
        <f>TEXT(Clean_Data[[#This Row],[OrderDate]],"mmm")</f>
        <v>May</v>
      </c>
      <c r="O721" s="8" t="str">
        <f>TEXT(Clean_Data[[#This Row],[OrderDate]], "yyyy-mm")</f>
        <v>2018-05</v>
      </c>
      <c r="P721" s="7">
        <f>Clean_Data[[#This Row],[Profit]]/Clean_Data[[#This Row],[Revenue ]]</f>
        <v>0.21739130434782608</v>
      </c>
      <c r="Q721" t="str">
        <f>"Q"&amp;ROUNDUP(MONTH(Clean_Data[[#This Row],[OrderDate]])/3,0)</f>
        <v>Q2</v>
      </c>
      <c r="R721" t="str">
        <f>TEXT(Clean_Data[[#This Row],[OrderDate]], "dddd")</f>
        <v>Tuesday</v>
      </c>
    </row>
    <row r="722" spans="1:18" x14ac:dyDescent="0.25">
      <c r="A722" t="s">
        <v>308</v>
      </c>
      <c r="B722" s="4">
        <v>149</v>
      </c>
      <c r="C722" s="4">
        <v>15</v>
      </c>
      <c r="D722" s="3">
        <v>3</v>
      </c>
      <c r="E722" t="s">
        <v>895</v>
      </c>
      <c r="F722" t="s">
        <v>897</v>
      </c>
      <c r="G722" t="s">
        <v>890</v>
      </c>
      <c r="H722" s="6">
        <f>_xlfn.XLOOKUP(A722,Orders[OrderID],Orders[OrderDate])</f>
        <v>43438</v>
      </c>
      <c r="I722" t="str">
        <f>_xlfn.XLOOKUP(A722,Orders[OrderID],Orders[CustomerName])</f>
        <v>Vrinda</v>
      </c>
      <c r="J722" t="str">
        <f>_xlfn.XLOOKUP(A722,Orders[OrderID],Orders[State])</f>
        <v>Uttar Pradesh</v>
      </c>
      <c r="K722" t="str">
        <f>_xlfn.XLOOKUP(A722,Orders[OrderID],Orders[City])</f>
        <v>Mathura</v>
      </c>
      <c r="L722" s="3">
        <f>YEAR(Clean_Data[[#This Row],[OrderDate]])</f>
        <v>2018</v>
      </c>
      <c r="M722" s="3">
        <f>MONTH(Clean_Data[[#This Row],[OrderDate]])</f>
        <v>12</v>
      </c>
      <c r="N722" s="8" t="str">
        <f>TEXT(Clean_Data[[#This Row],[OrderDate]],"mmm")</f>
        <v>Dec</v>
      </c>
      <c r="O722" s="8" t="str">
        <f>TEXT(Clean_Data[[#This Row],[OrderDate]], "yyyy-mm")</f>
        <v>2018-12</v>
      </c>
      <c r="P722" s="7">
        <f>Clean_Data[[#This Row],[Profit]]/Clean_Data[[#This Row],[Revenue ]]</f>
        <v>0.10067114093959731</v>
      </c>
      <c r="Q722" t="str">
        <f>"Q"&amp;ROUNDUP(MONTH(Clean_Data[[#This Row],[OrderDate]])/3,0)</f>
        <v>Q4</v>
      </c>
      <c r="R722" t="str">
        <f>TEXT(Clean_Data[[#This Row],[OrderDate]], "dddd")</f>
        <v>Tuesday</v>
      </c>
    </row>
    <row r="723" spans="1:18" x14ac:dyDescent="0.25">
      <c r="A723" t="s">
        <v>267</v>
      </c>
      <c r="B723" s="4">
        <v>148</v>
      </c>
      <c r="C723" s="4">
        <v>23</v>
      </c>
      <c r="D723" s="3">
        <v>4</v>
      </c>
      <c r="E723" t="s">
        <v>895</v>
      </c>
      <c r="F723" t="s">
        <v>900</v>
      </c>
      <c r="G723" t="s">
        <v>890</v>
      </c>
      <c r="H723" s="6">
        <f>_xlfn.XLOOKUP(A723,Orders[OrderID],Orders[OrderDate])</f>
        <v>43167</v>
      </c>
      <c r="I723" t="str">
        <f>_xlfn.XLOOKUP(A723,Orders[OrderID],Orders[CustomerName])</f>
        <v>Ajay</v>
      </c>
      <c r="J723" t="str">
        <f>_xlfn.XLOOKUP(A723,Orders[OrderID],Orders[State])</f>
        <v>Karnataka</v>
      </c>
      <c r="K723" t="str">
        <f>_xlfn.XLOOKUP(A723,Orders[OrderID],Orders[City])</f>
        <v>Bangalore</v>
      </c>
      <c r="L723" s="3">
        <f>YEAR(Clean_Data[[#This Row],[OrderDate]])</f>
        <v>2018</v>
      </c>
      <c r="M723" s="3">
        <f>MONTH(Clean_Data[[#This Row],[OrderDate]])</f>
        <v>3</v>
      </c>
      <c r="N723" s="8" t="str">
        <f>TEXT(Clean_Data[[#This Row],[OrderDate]],"mmm")</f>
        <v>Mar</v>
      </c>
      <c r="O723" s="8" t="str">
        <f>TEXT(Clean_Data[[#This Row],[OrderDate]], "yyyy-mm")</f>
        <v>2018-03</v>
      </c>
      <c r="P723" s="7">
        <f>Clean_Data[[#This Row],[Profit]]/Clean_Data[[#This Row],[Revenue ]]</f>
        <v>0.1554054054054054</v>
      </c>
      <c r="Q723" t="str">
        <f>"Q"&amp;ROUNDUP(MONTH(Clean_Data[[#This Row],[OrderDate]])/3,0)</f>
        <v>Q1</v>
      </c>
      <c r="R723" t="str">
        <f>TEXT(Clean_Data[[#This Row],[OrderDate]], "dddd")</f>
        <v>Thursday</v>
      </c>
    </row>
    <row r="724" spans="1:18" x14ac:dyDescent="0.25">
      <c r="A724" t="s">
        <v>57</v>
      </c>
      <c r="B724" s="4">
        <v>93</v>
      </c>
      <c r="C724" s="4">
        <v>15</v>
      </c>
      <c r="D724" s="3">
        <v>2</v>
      </c>
      <c r="E724" t="s">
        <v>885</v>
      </c>
      <c r="F724" t="s">
        <v>905</v>
      </c>
      <c r="G724" t="s">
        <v>887</v>
      </c>
      <c r="H724" s="6">
        <f>_xlfn.XLOOKUP(A724,Orders[OrderID],Orders[OrderDate])</f>
        <v>43399</v>
      </c>
      <c r="I724" t="str">
        <f>_xlfn.XLOOKUP(A724,Orders[OrderID],Orders[CustomerName])</f>
        <v>Aastha</v>
      </c>
      <c r="J724" t="str">
        <f>_xlfn.XLOOKUP(A724,Orders[OrderID],Orders[State])</f>
        <v>Himachal Pradesh</v>
      </c>
      <c r="K724" t="str">
        <f>_xlfn.XLOOKUP(A724,Orders[OrderID],Orders[City])</f>
        <v>Simla</v>
      </c>
      <c r="L724" s="3">
        <f>YEAR(Clean_Data[[#This Row],[OrderDate]])</f>
        <v>2018</v>
      </c>
      <c r="M724" s="3">
        <f>MONTH(Clean_Data[[#This Row],[OrderDate]])</f>
        <v>10</v>
      </c>
      <c r="N724" s="8" t="str">
        <f>TEXT(Clean_Data[[#This Row],[OrderDate]],"mmm")</f>
        <v>Oct</v>
      </c>
      <c r="O724" s="8" t="str">
        <f>TEXT(Clean_Data[[#This Row],[OrderDate]], "yyyy-mm")</f>
        <v>2018-10</v>
      </c>
      <c r="P724" s="7">
        <f>Clean_Data[[#This Row],[Profit]]/Clean_Data[[#This Row],[Revenue ]]</f>
        <v>0.16129032258064516</v>
      </c>
      <c r="Q724" t="str">
        <f>"Q"&amp;ROUNDUP(MONTH(Clean_Data[[#This Row],[OrderDate]])/3,0)</f>
        <v>Q4</v>
      </c>
      <c r="R724" t="str">
        <f>TEXT(Clean_Data[[#This Row],[OrderDate]], "dddd")</f>
        <v>Friday</v>
      </c>
    </row>
    <row r="725" spans="1:18" x14ac:dyDescent="0.25">
      <c r="A725" t="s">
        <v>252</v>
      </c>
      <c r="B725" s="4">
        <v>113</v>
      </c>
      <c r="C725" s="4">
        <v>24</v>
      </c>
      <c r="D725" s="3">
        <v>4</v>
      </c>
      <c r="E725" t="s">
        <v>895</v>
      </c>
      <c r="F725" t="s">
        <v>899</v>
      </c>
      <c r="G725" t="s">
        <v>907</v>
      </c>
      <c r="H725" s="6">
        <f>_xlfn.XLOOKUP(A725,Orders[OrderID],Orders[OrderDate])</f>
        <v>43157</v>
      </c>
      <c r="I725" t="str">
        <f>_xlfn.XLOOKUP(A725,Orders[OrderID],Orders[CustomerName])</f>
        <v>Sahil</v>
      </c>
      <c r="J725" t="str">
        <f>_xlfn.XLOOKUP(A725,Orders[OrderID],Orders[State])</f>
        <v>Punjab</v>
      </c>
      <c r="K725" t="str">
        <f>_xlfn.XLOOKUP(A725,Orders[OrderID],Orders[City])</f>
        <v>Chandigarh</v>
      </c>
      <c r="L725" s="3">
        <f>YEAR(Clean_Data[[#This Row],[OrderDate]])</f>
        <v>2018</v>
      </c>
      <c r="M725" s="3">
        <f>MONTH(Clean_Data[[#This Row],[OrderDate]])</f>
        <v>2</v>
      </c>
      <c r="N725" s="8" t="str">
        <f>TEXT(Clean_Data[[#This Row],[OrderDate]],"mmm")</f>
        <v>Feb</v>
      </c>
      <c r="O725" s="8" t="str">
        <f>TEXT(Clean_Data[[#This Row],[OrderDate]], "yyyy-mm")</f>
        <v>2018-02</v>
      </c>
      <c r="P725" s="7">
        <f>Clean_Data[[#This Row],[Profit]]/Clean_Data[[#This Row],[Revenue ]]</f>
        <v>0.21238938053097345</v>
      </c>
      <c r="Q725" t="str">
        <f>"Q"&amp;ROUNDUP(MONTH(Clean_Data[[#This Row],[OrderDate]])/3,0)</f>
        <v>Q1</v>
      </c>
      <c r="R725" t="str">
        <f>TEXT(Clean_Data[[#This Row],[OrderDate]], "dddd")</f>
        <v>Monday</v>
      </c>
    </row>
    <row r="726" spans="1:18" x14ac:dyDescent="0.25">
      <c r="A726" t="s">
        <v>246</v>
      </c>
      <c r="B726" s="4">
        <v>48</v>
      </c>
      <c r="C726" s="4">
        <v>2</v>
      </c>
      <c r="D726" s="3">
        <v>3</v>
      </c>
      <c r="E726" t="s">
        <v>895</v>
      </c>
      <c r="F726" t="s">
        <v>903</v>
      </c>
      <c r="G726" t="s">
        <v>887</v>
      </c>
      <c r="H726" s="6">
        <f>_xlfn.XLOOKUP(A726,Orders[OrderID],Orders[OrderDate])</f>
        <v>43128</v>
      </c>
      <c r="I726" t="str">
        <f>_xlfn.XLOOKUP(A726,Orders[OrderID],Orders[CustomerName])</f>
        <v>Amruta</v>
      </c>
      <c r="J726" t="str">
        <f>_xlfn.XLOOKUP(A726,Orders[OrderID],Orders[State])</f>
        <v>Delhi</v>
      </c>
      <c r="K726" t="str">
        <f>_xlfn.XLOOKUP(A726,Orders[OrderID],Orders[City])</f>
        <v>Delhi</v>
      </c>
      <c r="L726" s="3">
        <f>YEAR(Clean_Data[[#This Row],[OrderDate]])</f>
        <v>2018</v>
      </c>
      <c r="M726" s="3">
        <f>MONTH(Clean_Data[[#This Row],[OrderDate]])</f>
        <v>1</v>
      </c>
      <c r="N726" s="8" t="str">
        <f>TEXT(Clean_Data[[#This Row],[OrderDate]],"mmm")</f>
        <v>Jan</v>
      </c>
      <c r="O726" s="8" t="str">
        <f>TEXT(Clean_Data[[#This Row],[OrderDate]], "yyyy-mm")</f>
        <v>2018-01</v>
      </c>
      <c r="P726" s="7">
        <f>Clean_Data[[#This Row],[Profit]]/Clean_Data[[#This Row],[Revenue ]]</f>
        <v>4.1666666666666664E-2</v>
      </c>
      <c r="Q726" t="str">
        <f>"Q"&amp;ROUNDUP(MONTH(Clean_Data[[#This Row],[OrderDate]])/3,0)</f>
        <v>Q1</v>
      </c>
      <c r="R726" t="str">
        <f>TEXT(Clean_Data[[#This Row],[OrderDate]], "dddd")</f>
        <v>Sunday</v>
      </c>
    </row>
    <row r="727" spans="1:18" x14ac:dyDescent="0.25">
      <c r="A727" t="s">
        <v>235</v>
      </c>
      <c r="B727" s="4">
        <v>148</v>
      </c>
      <c r="C727" s="4">
        <v>9</v>
      </c>
      <c r="D727" s="3">
        <v>1</v>
      </c>
      <c r="E727" t="s">
        <v>885</v>
      </c>
      <c r="F727" t="s">
        <v>886</v>
      </c>
      <c r="G727" t="s">
        <v>898</v>
      </c>
      <c r="H727" s="6">
        <f>_xlfn.XLOOKUP(A727,Orders[OrderID],Orders[OrderDate])</f>
        <v>43114</v>
      </c>
      <c r="I727" t="str">
        <f>_xlfn.XLOOKUP(A727,Orders[OrderID],Orders[CustomerName])</f>
        <v>Trupti</v>
      </c>
      <c r="J727" t="str">
        <f>_xlfn.XLOOKUP(A727,Orders[OrderID],Orders[State])</f>
        <v>Gujarat</v>
      </c>
      <c r="K727" t="str">
        <f>_xlfn.XLOOKUP(A727,Orders[OrderID],Orders[City])</f>
        <v>Ahmedabad</v>
      </c>
      <c r="L727" s="3">
        <f>YEAR(Clean_Data[[#This Row],[OrderDate]])</f>
        <v>2018</v>
      </c>
      <c r="M727" s="3">
        <f>MONTH(Clean_Data[[#This Row],[OrderDate]])</f>
        <v>1</v>
      </c>
      <c r="N727" s="8" t="str">
        <f>TEXT(Clean_Data[[#This Row],[OrderDate]],"mmm")</f>
        <v>Jan</v>
      </c>
      <c r="O727" s="8" t="str">
        <f>TEXT(Clean_Data[[#This Row],[OrderDate]], "yyyy-mm")</f>
        <v>2018-01</v>
      </c>
      <c r="P727" s="7">
        <f>Clean_Data[[#This Row],[Profit]]/Clean_Data[[#This Row],[Revenue ]]</f>
        <v>6.0810810810810814E-2</v>
      </c>
      <c r="Q727" t="str">
        <f>"Q"&amp;ROUNDUP(MONTH(Clean_Data[[#This Row],[OrderDate]])/3,0)</f>
        <v>Q1</v>
      </c>
      <c r="R727" t="str">
        <f>TEXT(Clean_Data[[#This Row],[OrderDate]], "dddd")</f>
        <v>Sunday</v>
      </c>
    </row>
    <row r="728" spans="1:18" x14ac:dyDescent="0.25">
      <c r="A728" t="s">
        <v>684</v>
      </c>
      <c r="B728" s="4">
        <v>114</v>
      </c>
      <c r="C728" s="4">
        <v>11</v>
      </c>
      <c r="D728" s="3">
        <v>4</v>
      </c>
      <c r="E728" t="s">
        <v>895</v>
      </c>
      <c r="F728" t="s">
        <v>906</v>
      </c>
      <c r="G728" t="s">
        <v>907</v>
      </c>
      <c r="H728" s="6">
        <f>_xlfn.XLOOKUP(A728,Orders[OrderID],Orders[OrderDate])</f>
        <v>43437</v>
      </c>
      <c r="I728" t="str">
        <f>_xlfn.XLOOKUP(A728,Orders[OrderID],Orders[CustomerName])</f>
        <v>Abhishek</v>
      </c>
      <c r="J728" t="str">
        <f>_xlfn.XLOOKUP(A728,Orders[OrderID],Orders[State])</f>
        <v>Gujarat</v>
      </c>
      <c r="K728" t="str">
        <f>_xlfn.XLOOKUP(A728,Orders[OrderID],Orders[City])</f>
        <v>Surat</v>
      </c>
      <c r="L728" s="3">
        <f>YEAR(Clean_Data[[#This Row],[OrderDate]])</f>
        <v>2018</v>
      </c>
      <c r="M728" s="3">
        <f>MONTH(Clean_Data[[#This Row],[OrderDate]])</f>
        <v>12</v>
      </c>
      <c r="N728" s="8" t="str">
        <f>TEXT(Clean_Data[[#This Row],[OrderDate]],"mmm")</f>
        <v>Dec</v>
      </c>
      <c r="O728" s="8" t="str">
        <f>TEXT(Clean_Data[[#This Row],[OrderDate]], "yyyy-mm")</f>
        <v>2018-12</v>
      </c>
      <c r="P728" s="7">
        <f>Clean_Data[[#This Row],[Profit]]/Clean_Data[[#This Row],[Revenue ]]</f>
        <v>9.6491228070175433E-2</v>
      </c>
      <c r="Q728" t="str">
        <f>"Q"&amp;ROUNDUP(MONTH(Clean_Data[[#This Row],[OrderDate]])/3,0)</f>
        <v>Q4</v>
      </c>
      <c r="R728" t="str">
        <f>TEXT(Clean_Data[[#This Row],[OrderDate]], "dddd")</f>
        <v>Monday</v>
      </c>
    </row>
    <row r="729" spans="1:18" x14ac:dyDescent="0.25">
      <c r="A729" t="s">
        <v>187</v>
      </c>
      <c r="B729" s="4">
        <v>92</v>
      </c>
      <c r="C729" s="4">
        <v>42</v>
      </c>
      <c r="D729" s="3">
        <v>2</v>
      </c>
      <c r="E729" t="s">
        <v>895</v>
      </c>
      <c r="F729" t="s">
        <v>903</v>
      </c>
      <c r="G729" t="s">
        <v>887</v>
      </c>
      <c r="H729" s="6">
        <f>_xlfn.XLOOKUP(A729,Orders[OrderID],Orders[OrderDate])</f>
        <v>43383</v>
      </c>
      <c r="I729" t="str">
        <f>_xlfn.XLOOKUP(A729,Orders[OrderID],Orders[CustomerName])</f>
        <v>Nripraj</v>
      </c>
      <c r="J729" t="str">
        <f>_xlfn.XLOOKUP(A729,Orders[OrderID],Orders[State])</f>
        <v>Punjab</v>
      </c>
      <c r="K729" t="str">
        <f>_xlfn.XLOOKUP(A729,Orders[OrderID],Orders[City])</f>
        <v>Chandigarh</v>
      </c>
      <c r="L729" s="3">
        <f>YEAR(Clean_Data[[#This Row],[OrderDate]])</f>
        <v>2018</v>
      </c>
      <c r="M729" s="3">
        <f>MONTH(Clean_Data[[#This Row],[OrderDate]])</f>
        <v>10</v>
      </c>
      <c r="N729" s="8" t="str">
        <f>TEXT(Clean_Data[[#This Row],[OrderDate]],"mmm")</f>
        <v>Oct</v>
      </c>
      <c r="O729" s="8" t="str">
        <f>TEXT(Clean_Data[[#This Row],[OrderDate]], "yyyy-mm")</f>
        <v>2018-10</v>
      </c>
      <c r="P729" s="7">
        <f>Clean_Data[[#This Row],[Profit]]/Clean_Data[[#This Row],[Revenue ]]</f>
        <v>0.45652173913043476</v>
      </c>
      <c r="Q729" t="str">
        <f>"Q"&amp;ROUNDUP(MONTH(Clean_Data[[#This Row],[OrderDate]])/3,0)</f>
        <v>Q4</v>
      </c>
      <c r="R729" t="str">
        <f>TEXT(Clean_Data[[#This Row],[OrderDate]], "dddd")</f>
        <v>Wednesday</v>
      </c>
    </row>
    <row r="730" spans="1:18" x14ac:dyDescent="0.25">
      <c r="A730" t="s">
        <v>687</v>
      </c>
      <c r="B730" s="4">
        <v>117</v>
      </c>
      <c r="C730" s="4">
        <v>14</v>
      </c>
      <c r="D730" s="3">
        <v>3</v>
      </c>
      <c r="E730" t="s">
        <v>895</v>
      </c>
      <c r="F730" t="s">
        <v>909</v>
      </c>
      <c r="G730" t="s">
        <v>898</v>
      </c>
      <c r="H730" s="6">
        <f>_xlfn.XLOOKUP(A730,Orders[OrderID],Orders[OrderDate])</f>
        <v>43216</v>
      </c>
      <c r="I730" t="str">
        <f>_xlfn.XLOOKUP(A730,Orders[OrderID],Orders[CustomerName])</f>
        <v>Ashmi</v>
      </c>
      <c r="J730" t="str">
        <f>_xlfn.XLOOKUP(A730,Orders[OrderID],Orders[State])</f>
        <v>Madhya Pradesh</v>
      </c>
      <c r="K730" t="str">
        <f>_xlfn.XLOOKUP(A730,Orders[OrderID],Orders[City])</f>
        <v>Indore</v>
      </c>
      <c r="L730" s="3">
        <f>YEAR(Clean_Data[[#This Row],[OrderDate]])</f>
        <v>2018</v>
      </c>
      <c r="M730" s="3">
        <f>MONTH(Clean_Data[[#This Row],[OrderDate]])</f>
        <v>4</v>
      </c>
      <c r="N730" s="8" t="str">
        <f>TEXT(Clean_Data[[#This Row],[OrderDate]],"mmm")</f>
        <v>Apr</v>
      </c>
      <c r="O730" s="8" t="str">
        <f>TEXT(Clean_Data[[#This Row],[OrderDate]], "yyyy-mm")</f>
        <v>2018-04</v>
      </c>
      <c r="P730" s="7">
        <f>Clean_Data[[#This Row],[Profit]]/Clean_Data[[#This Row],[Revenue ]]</f>
        <v>0.11965811965811966</v>
      </c>
      <c r="Q730" t="str">
        <f>"Q"&amp;ROUNDUP(MONTH(Clean_Data[[#This Row],[OrderDate]])/3,0)</f>
        <v>Q2</v>
      </c>
      <c r="R730" t="str">
        <f>TEXT(Clean_Data[[#This Row],[OrderDate]], "dddd")</f>
        <v>Thursday</v>
      </c>
    </row>
    <row r="731" spans="1:18" x14ac:dyDescent="0.25">
      <c r="A731" t="s">
        <v>766</v>
      </c>
      <c r="B731" s="4">
        <v>21</v>
      </c>
      <c r="C731" s="4">
        <v>-10</v>
      </c>
      <c r="D731" s="3">
        <v>4</v>
      </c>
      <c r="E731" t="s">
        <v>895</v>
      </c>
      <c r="F731" t="s">
        <v>904</v>
      </c>
      <c r="G731" t="s">
        <v>887</v>
      </c>
      <c r="H731" s="6">
        <f>_xlfn.XLOOKUP(A731,Orders[OrderID],Orders[OrderDate])</f>
        <v>43374</v>
      </c>
      <c r="I731" t="str">
        <f>_xlfn.XLOOKUP(A731,Orders[OrderID],Orders[CustomerName])</f>
        <v>Aryan</v>
      </c>
      <c r="J731" t="str">
        <f>_xlfn.XLOOKUP(A731,Orders[OrderID],Orders[State])</f>
        <v>Madhya Pradesh</v>
      </c>
      <c r="K731" t="str">
        <f>_xlfn.XLOOKUP(A731,Orders[OrderID],Orders[City])</f>
        <v>Bhopal</v>
      </c>
      <c r="L731" s="3">
        <f>YEAR(Clean_Data[[#This Row],[OrderDate]])</f>
        <v>2018</v>
      </c>
      <c r="M731" s="3">
        <f>MONTH(Clean_Data[[#This Row],[OrderDate]])</f>
        <v>10</v>
      </c>
      <c r="N731" s="8" t="str">
        <f>TEXT(Clean_Data[[#This Row],[OrderDate]],"mmm")</f>
        <v>Oct</v>
      </c>
      <c r="O731" s="8" t="str">
        <f>TEXT(Clean_Data[[#This Row],[OrderDate]], "yyyy-mm")</f>
        <v>2018-10</v>
      </c>
      <c r="P731" s="7">
        <f>Clean_Data[[#This Row],[Profit]]/Clean_Data[[#This Row],[Revenue ]]</f>
        <v>-0.47619047619047616</v>
      </c>
      <c r="Q731" t="str">
        <f>"Q"&amp;ROUNDUP(MONTH(Clean_Data[[#This Row],[OrderDate]])/3,0)</f>
        <v>Q4</v>
      </c>
      <c r="R731" t="str">
        <f>TEXT(Clean_Data[[#This Row],[OrderDate]], "dddd")</f>
        <v>Monday</v>
      </c>
    </row>
    <row r="732" spans="1:18" x14ac:dyDescent="0.25">
      <c r="A732" t="s">
        <v>826</v>
      </c>
      <c r="B732" s="4">
        <v>33</v>
      </c>
      <c r="C732" s="4">
        <v>-10</v>
      </c>
      <c r="D732" s="3">
        <v>6</v>
      </c>
      <c r="E732" t="s">
        <v>895</v>
      </c>
      <c r="F732" t="s">
        <v>904</v>
      </c>
      <c r="G732" t="s">
        <v>898</v>
      </c>
      <c r="H732" s="6">
        <f>_xlfn.XLOOKUP(A732,Orders[OrderID],Orders[OrderDate])</f>
        <v>43358</v>
      </c>
      <c r="I732" t="str">
        <f>_xlfn.XLOOKUP(A732,Orders[OrderID],Orders[CustomerName])</f>
        <v>Shivangi</v>
      </c>
      <c r="J732" t="str">
        <f>_xlfn.XLOOKUP(A732,Orders[OrderID],Orders[State])</f>
        <v>Madhya Pradesh</v>
      </c>
      <c r="K732" t="str">
        <f>_xlfn.XLOOKUP(A732,Orders[OrderID],Orders[City])</f>
        <v>Indore</v>
      </c>
      <c r="L732" s="3">
        <f>YEAR(Clean_Data[[#This Row],[OrderDate]])</f>
        <v>2018</v>
      </c>
      <c r="M732" s="3">
        <f>MONTH(Clean_Data[[#This Row],[OrderDate]])</f>
        <v>9</v>
      </c>
      <c r="N732" s="8" t="str">
        <f>TEXT(Clean_Data[[#This Row],[OrderDate]],"mmm")</f>
        <v>Sep</v>
      </c>
      <c r="O732" s="8" t="str">
        <f>TEXT(Clean_Data[[#This Row],[OrderDate]], "yyyy-mm")</f>
        <v>2018-09</v>
      </c>
      <c r="P732" s="7">
        <f>Clean_Data[[#This Row],[Profit]]/Clean_Data[[#This Row],[Revenue ]]</f>
        <v>-0.30303030303030304</v>
      </c>
      <c r="Q732" t="str">
        <f>"Q"&amp;ROUNDUP(MONTH(Clean_Data[[#This Row],[OrderDate]])/3,0)</f>
        <v>Q3</v>
      </c>
      <c r="R732" t="str">
        <f>TEXT(Clean_Data[[#This Row],[OrderDate]], "dddd")</f>
        <v>Saturday</v>
      </c>
    </row>
    <row r="733" spans="1:18" x14ac:dyDescent="0.25">
      <c r="A733" t="s">
        <v>152</v>
      </c>
      <c r="B733" s="4">
        <v>114</v>
      </c>
      <c r="C733" s="4">
        <v>8</v>
      </c>
      <c r="D733" s="3">
        <v>3</v>
      </c>
      <c r="E733" t="s">
        <v>885</v>
      </c>
      <c r="F733" t="s">
        <v>905</v>
      </c>
      <c r="G733" t="s">
        <v>907</v>
      </c>
      <c r="H733" s="6">
        <f>_xlfn.XLOOKUP(A733,Orders[OrderID],Orders[OrderDate])</f>
        <v>43273</v>
      </c>
      <c r="I733" t="str">
        <f>_xlfn.XLOOKUP(A733,Orders[OrderID],Orders[CustomerName])</f>
        <v>Vijay</v>
      </c>
      <c r="J733" t="str">
        <f>_xlfn.XLOOKUP(A733,Orders[OrderID],Orders[State])</f>
        <v>Jammu and Kashmir</v>
      </c>
      <c r="K733" t="str">
        <f>_xlfn.XLOOKUP(A733,Orders[OrderID],Orders[City])</f>
        <v>Kashmir</v>
      </c>
      <c r="L733" s="3">
        <f>YEAR(Clean_Data[[#This Row],[OrderDate]])</f>
        <v>2018</v>
      </c>
      <c r="M733" s="3">
        <f>MONTH(Clean_Data[[#This Row],[OrderDate]])</f>
        <v>6</v>
      </c>
      <c r="N733" s="8" t="str">
        <f>TEXT(Clean_Data[[#This Row],[OrderDate]],"mmm")</f>
        <v>Jun</v>
      </c>
      <c r="O733" s="8" t="str">
        <f>TEXT(Clean_Data[[#This Row],[OrderDate]], "yyyy-mm")</f>
        <v>2018-06</v>
      </c>
      <c r="P733" s="7">
        <f>Clean_Data[[#This Row],[Profit]]/Clean_Data[[#This Row],[Revenue ]]</f>
        <v>7.0175438596491224E-2</v>
      </c>
      <c r="Q733" t="str">
        <f>"Q"&amp;ROUNDUP(MONTH(Clean_Data[[#This Row],[OrderDate]])/3,0)</f>
        <v>Q2</v>
      </c>
      <c r="R733" t="str">
        <f>TEXT(Clean_Data[[#This Row],[OrderDate]], "dddd")</f>
        <v>Friday</v>
      </c>
    </row>
    <row r="734" spans="1:18" x14ac:dyDescent="0.25">
      <c r="A734" t="s">
        <v>162</v>
      </c>
      <c r="B734" s="4">
        <v>115</v>
      </c>
      <c r="C734" s="4">
        <v>0</v>
      </c>
      <c r="D734" s="3">
        <v>1</v>
      </c>
      <c r="E734" t="s">
        <v>885</v>
      </c>
      <c r="F734" t="s">
        <v>905</v>
      </c>
      <c r="G734" t="s">
        <v>907</v>
      </c>
      <c r="H734" s="6">
        <f>_xlfn.XLOOKUP(A734,Orders[OrderID],Orders[OrderDate])</f>
        <v>43151</v>
      </c>
      <c r="I734" t="str">
        <f>_xlfn.XLOOKUP(A734,Orders[OrderID],Orders[CustomerName])</f>
        <v>Manju</v>
      </c>
      <c r="J734" t="str">
        <f>_xlfn.XLOOKUP(A734,Orders[OrderID],Orders[State])</f>
        <v>Andhra Pradesh</v>
      </c>
      <c r="K734" t="str">
        <f>_xlfn.XLOOKUP(A734,Orders[OrderID],Orders[City])</f>
        <v>Hyderabad</v>
      </c>
      <c r="L734" s="3">
        <f>YEAR(Clean_Data[[#This Row],[OrderDate]])</f>
        <v>2018</v>
      </c>
      <c r="M734" s="3">
        <f>MONTH(Clean_Data[[#This Row],[OrderDate]])</f>
        <v>2</v>
      </c>
      <c r="N734" s="8" t="str">
        <f>TEXT(Clean_Data[[#This Row],[OrderDate]],"mmm")</f>
        <v>Feb</v>
      </c>
      <c r="O734" s="8" t="str">
        <f>TEXT(Clean_Data[[#This Row],[OrderDate]], "yyyy-mm")</f>
        <v>2018-02</v>
      </c>
      <c r="P734" s="7">
        <f>Clean_Data[[#This Row],[Profit]]/Clean_Data[[#This Row],[Revenue ]]</f>
        <v>0</v>
      </c>
      <c r="Q734" t="str">
        <f>"Q"&amp;ROUNDUP(MONTH(Clean_Data[[#This Row],[OrderDate]])/3,0)</f>
        <v>Q1</v>
      </c>
      <c r="R734" t="str">
        <f>TEXT(Clean_Data[[#This Row],[OrderDate]], "dddd")</f>
        <v>Tuesday</v>
      </c>
    </row>
    <row r="735" spans="1:18" x14ac:dyDescent="0.25">
      <c r="A735" t="s">
        <v>470</v>
      </c>
      <c r="B735" s="4">
        <v>90</v>
      </c>
      <c r="C735" s="4">
        <v>29</v>
      </c>
      <c r="D735" s="3">
        <v>5</v>
      </c>
      <c r="E735" t="s">
        <v>895</v>
      </c>
      <c r="F735" t="s">
        <v>906</v>
      </c>
      <c r="G735" t="s">
        <v>887</v>
      </c>
      <c r="H735" s="6">
        <f>_xlfn.XLOOKUP(A735,Orders[OrderID],Orders[OrderDate])</f>
        <v>43410</v>
      </c>
      <c r="I735" t="str">
        <f>_xlfn.XLOOKUP(A735,Orders[OrderID],Orders[CustomerName])</f>
        <v>Kushal</v>
      </c>
      <c r="J735" t="str">
        <f>_xlfn.XLOOKUP(A735,Orders[OrderID],Orders[State])</f>
        <v>Nagaland</v>
      </c>
      <c r="K735" t="str">
        <f>_xlfn.XLOOKUP(A735,Orders[OrderID],Orders[City])</f>
        <v>Kohima</v>
      </c>
      <c r="L735" s="3">
        <f>YEAR(Clean_Data[[#This Row],[OrderDate]])</f>
        <v>2018</v>
      </c>
      <c r="M735" s="3">
        <f>MONTH(Clean_Data[[#This Row],[OrderDate]])</f>
        <v>11</v>
      </c>
      <c r="N735" s="8" t="str">
        <f>TEXT(Clean_Data[[#This Row],[OrderDate]],"mmm")</f>
        <v>Nov</v>
      </c>
      <c r="O735" s="8" t="str">
        <f>TEXT(Clean_Data[[#This Row],[OrderDate]], "yyyy-mm")</f>
        <v>2018-11</v>
      </c>
      <c r="P735" s="7">
        <f>Clean_Data[[#This Row],[Profit]]/Clean_Data[[#This Row],[Revenue ]]</f>
        <v>0.32222222222222224</v>
      </c>
      <c r="Q735" t="str">
        <f>"Q"&amp;ROUNDUP(MONTH(Clean_Data[[#This Row],[OrderDate]])/3,0)</f>
        <v>Q4</v>
      </c>
      <c r="R735" t="str">
        <f>TEXT(Clean_Data[[#This Row],[OrderDate]], "dddd")</f>
        <v>Tuesday</v>
      </c>
    </row>
    <row r="736" spans="1:18" x14ac:dyDescent="0.25">
      <c r="A736" t="s">
        <v>773</v>
      </c>
      <c r="B736" s="4">
        <v>61</v>
      </c>
      <c r="C736" s="4">
        <v>1</v>
      </c>
      <c r="D736" s="3">
        <v>2</v>
      </c>
      <c r="E736" t="s">
        <v>888</v>
      </c>
      <c r="F736" t="s">
        <v>908</v>
      </c>
      <c r="G736" t="s">
        <v>887</v>
      </c>
      <c r="H736" s="6">
        <f>_xlfn.XLOOKUP(A736,Orders[OrderID],Orders[OrderDate])</f>
        <v>43105</v>
      </c>
      <c r="I736" t="str">
        <f>_xlfn.XLOOKUP(A736,Orders[OrderID],Orders[CustomerName])</f>
        <v>Shikhar</v>
      </c>
      <c r="J736" t="str">
        <f>_xlfn.XLOOKUP(A736,Orders[OrderID],Orders[State])</f>
        <v>Himachal Pradesh</v>
      </c>
      <c r="K736" t="str">
        <f>_xlfn.XLOOKUP(A736,Orders[OrderID],Orders[City])</f>
        <v>Simla</v>
      </c>
      <c r="L736" s="3">
        <f>YEAR(Clean_Data[[#This Row],[OrderDate]])</f>
        <v>2018</v>
      </c>
      <c r="M736" s="3">
        <f>MONTH(Clean_Data[[#This Row],[OrderDate]])</f>
        <v>1</v>
      </c>
      <c r="N736" s="8" t="str">
        <f>TEXT(Clean_Data[[#This Row],[OrderDate]],"mmm")</f>
        <v>Jan</v>
      </c>
      <c r="O736" s="8" t="str">
        <f>TEXT(Clean_Data[[#This Row],[OrderDate]], "yyyy-mm")</f>
        <v>2018-01</v>
      </c>
      <c r="P736" s="7">
        <f>Clean_Data[[#This Row],[Profit]]/Clean_Data[[#This Row],[Revenue ]]</f>
        <v>1.6393442622950821E-2</v>
      </c>
      <c r="Q736" t="str">
        <f>"Q"&amp;ROUNDUP(MONTH(Clean_Data[[#This Row],[OrderDate]])/3,0)</f>
        <v>Q1</v>
      </c>
      <c r="R736" t="str">
        <f>TEXT(Clean_Data[[#This Row],[OrderDate]], "dddd")</f>
        <v>Friday</v>
      </c>
    </row>
    <row r="737" spans="1:18" x14ac:dyDescent="0.25">
      <c r="A737" t="s">
        <v>682</v>
      </c>
      <c r="B737" s="4">
        <v>119</v>
      </c>
      <c r="C737" s="4">
        <v>1</v>
      </c>
      <c r="D737" s="3">
        <v>1</v>
      </c>
      <c r="E737" t="s">
        <v>888</v>
      </c>
      <c r="F737" t="s">
        <v>889</v>
      </c>
      <c r="G737" t="s">
        <v>887</v>
      </c>
      <c r="H737" s="6">
        <f>_xlfn.XLOOKUP(A737,Orders[OrderID],Orders[OrderDate])</f>
        <v>43389</v>
      </c>
      <c r="I737" t="str">
        <f>_xlfn.XLOOKUP(A737,Orders[OrderID],Orders[CustomerName])</f>
        <v>Dheeraj</v>
      </c>
      <c r="J737" t="str">
        <f>_xlfn.XLOOKUP(A737,Orders[OrderID],Orders[State])</f>
        <v>Rajasthan</v>
      </c>
      <c r="K737" t="str">
        <f>_xlfn.XLOOKUP(A737,Orders[OrderID],Orders[City])</f>
        <v>Jaipur</v>
      </c>
      <c r="L737" s="3">
        <f>YEAR(Clean_Data[[#This Row],[OrderDate]])</f>
        <v>2018</v>
      </c>
      <c r="M737" s="3">
        <f>MONTH(Clean_Data[[#This Row],[OrderDate]])</f>
        <v>10</v>
      </c>
      <c r="N737" s="8" t="str">
        <f>TEXT(Clean_Data[[#This Row],[OrderDate]],"mmm")</f>
        <v>Oct</v>
      </c>
      <c r="O737" s="8" t="str">
        <f>TEXT(Clean_Data[[#This Row],[OrderDate]], "yyyy-mm")</f>
        <v>2018-10</v>
      </c>
      <c r="P737" s="7">
        <f>Clean_Data[[#This Row],[Profit]]/Clean_Data[[#This Row],[Revenue ]]</f>
        <v>8.4033613445378148E-3</v>
      </c>
      <c r="Q737" t="str">
        <f>"Q"&amp;ROUNDUP(MONTH(Clean_Data[[#This Row],[OrderDate]])/3,0)</f>
        <v>Q4</v>
      </c>
      <c r="R737" t="str">
        <f>TEXT(Clean_Data[[#This Row],[OrderDate]], "dddd")</f>
        <v>Tuesday</v>
      </c>
    </row>
    <row r="738" spans="1:18" x14ac:dyDescent="0.25">
      <c r="A738" t="s">
        <v>228</v>
      </c>
      <c r="B738" s="4">
        <v>117</v>
      </c>
      <c r="C738" s="4">
        <v>36</v>
      </c>
      <c r="D738" s="3">
        <v>2</v>
      </c>
      <c r="E738" t="s">
        <v>895</v>
      </c>
      <c r="F738" t="s">
        <v>896</v>
      </c>
      <c r="G738" t="s">
        <v>907</v>
      </c>
      <c r="H738" s="6">
        <f>_xlfn.XLOOKUP(A738,Orders[OrderID],Orders[OrderDate])</f>
        <v>43409</v>
      </c>
      <c r="I738" t="str">
        <f>_xlfn.XLOOKUP(A738,Orders[OrderID],Orders[CustomerName])</f>
        <v>Abhishek</v>
      </c>
      <c r="J738" t="str">
        <f>_xlfn.XLOOKUP(A738,Orders[OrderID],Orders[State])</f>
        <v>Goa</v>
      </c>
      <c r="K738" t="str">
        <f>_xlfn.XLOOKUP(A738,Orders[OrderID],Orders[City])</f>
        <v>Goa</v>
      </c>
      <c r="L738" s="3">
        <f>YEAR(Clean_Data[[#This Row],[OrderDate]])</f>
        <v>2018</v>
      </c>
      <c r="M738" s="3">
        <f>MONTH(Clean_Data[[#This Row],[OrderDate]])</f>
        <v>11</v>
      </c>
      <c r="N738" s="8" t="str">
        <f>TEXT(Clean_Data[[#This Row],[OrderDate]],"mmm")</f>
        <v>Nov</v>
      </c>
      <c r="O738" s="8" t="str">
        <f>TEXT(Clean_Data[[#This Row],[OrderDate]], "yyyy-mm")</f>
        <v>2018-11</v>
      </c>
      <c r="P738" s="7">
        <f>Clean_Data[[#This Row],[Profit]]/Clean_Data[[#This Row],[Revenue ]]</f>
        <v>0.30769230769230771</v>
      </c>
      <c r="Q738" t="str">
        <f>"Q"&amp;ROUNDUP(MONTH(Clean_Data[[#This Row],[OrderDate]])/3,0)</f>
        <v>Q4</v>
      </c>
      <c r="R738" t="str">
        <f>TEXT(Clean_Data[[#This Row],[OrderDate]], "dddd")</f>
        <v>Monday</v>
      </c>
    </row>
    <row r="739" spans="1:18" x14ac:dyDescent="0.25">
      <c r="A739" t="s">
        <v>631</v>
      </c>
      <c r="B739" s="4">
        <v>148</v>
      </c>
      <c r="C739" s="4">
        <v>54</v>
      </c>
      <c r="D739" s="3">
        <v>2</v>
      </c>
      <c r="E739" t="s">
        <v>888</v>
      </c>
      <c r="F739" t="s">
        <v>889</v>
      </c>
      <c r="G739" t="s">
        <v>898</v>
      </c>
      <c r="H739" s="6">
        <f>_xlfn.XLOOKUP(A739,Orders[OrderID],Orders[OrderDate])</f>
        <v>43462</v>
      </c>
      <c r="I739" t="str">
        <f>_xlfn.XLOOKUP(A739,Orders[OrderID],Orders[CustomerName])</f>
        <v>Prajakta</v>
      </c>
      <c r="J739" t="str">
        <f>_xlfn.XLOOKUP(A739,Orders[OrderID],Orders[State])</f>
        <v>Karnataka</v>
      </c>
      <c r="K739" t="str">
        <f>_xlfn.XLOOKUP(A739,Orders[OrderID],Orders[City])</f>
        <v>Bangalore</v>
      </c>
      <c r="L739" s="3">
        <f>YEAR(Clean_Data[[#This Row],[OrderDate]])</f>
        <v>2018</v>
      </c>
      <c r="M739" s="3">
        <f>MONTH(Clean_Data[[#This Row],[OrderDate]])</f>
        <v>12</v>
      </c>
      <c r="N739" s="8" t="str">
        <f>TEXT(Clean_Data[[#This Row],[OrderDate]],"mmm")</f>
        <v>Dec</v>
      </c>
      <c r="O739" s="8" t="str">
        <f>TEXT(Clean_Data[[#This Row],[OrderDate]], "yyyy-mm")</f>
        <v>2018-12</v>
      </c>
      <c r="P739" s="7">
        <f>Clean_Data[[#This Row],[Profit]]/Clean_Data[[#This Row],[Revenue ]]</f>
        <v>0.36486486486486486</v>
      </c>
      <c r="Q739" t="str">
        <f>"Q"&amp;ROUNDUP(MONTH(Clean_Data[[#This Row],[OrderDate]])/3,0)</f>
        <v>Q4</v>
      </c>
      <c r="R739" t="str">
        <f>TEXT(Clean_Data[[#This Row],[OrderDate]], "dddd")</f>
        <v>Friday</v>
      </c>
    </row>
    <row r="740" spans="1:18" x14ac:dyDescent="0.25">
      <c r="A740" t="s">
        <v>397</v>
      </c>
      <c r="B740" s="4">
        <v>249</v>
      </c>
      <c r="C740" s="4">
        <v>-5</v>
      </c>
      <c r="D740" s="3">
        <v>4</v>
      </c>
      <c r="E740" t="s">
        <v>895</v>
      </c>
      <c r="F740" t="s">
        <v>897</v>
      </c>
      <c r="G740" t="s">
        <v>887</v>
      </c>
      <c r="H740" s="6">
        <f>_xlfn.XLOOKUP(A740,Orders[OrderID],Orders[OrderDate])</f>
        <v>43199</v>
      </c>
      <c r="I740" t="str">
        <f>_xlfn.XLOOKUP(A740,Orders[OrderID],Orders[CustomerName])</f>
        <v>Jitesh</v>
      </c>
      <c r="J740" t="str">
        <f>_xlfn.XLOOKUP(A740,Orders[OrderID],Orders[State])</f>
        <v>Uttar Pradesh</v>
      </c>
      <c r="K740" t="str">
        <f>_xlfn.XLOOKUP(A740,Orders[OrderID],Orders[City])</f>
        <v>Lucknow</v>
      </c>
      <c r="L740" s="3">
        <f>YEAR(Clean_Data[[#This Row],[OrderDate]])</f>
        <v>2018</v>
      </c>
      <c r="M740" s="3">
        <f>MONTH(Clean_Data[[#This Row],[OrderDate]])</f>
        <v>4</v>
      </c>
      <c r="N740" s="8" t="str">
        <f>TEXT(Clean_Data[[#This Row],[OrderDate]],"mmm")</f>
        <v>Apr</v>
      </c>
      <c r="O740" s="8" t="str">
        <f>TEXT(Clean_Data[[#This Row],[OrderDate]], "yyyy-mm")</f>
        <v>2018-04</v>
      </c>
      <c r="P740" s="7">
        <f>Clean_Data[[#This Row],[Profit]]/Clean_Data[[#This Row],[Revenue ]]</f>
        <v>-2.0080321285140562E-2</v>
      </c>
      <c r="Q740" t="str">
        <f>"Q"&amp;ROUNDUP(MONTH(Clean_Data[[#This Row],[OrderDate]])/3,0)</f>
        <v>Q2</v>
      </c>
      <c r="R740" t="str">
        <f>TEXT(Clean_Data[[#This Row],[OrderDate]], "dddd")</f>
        <v>Monday</v>
      </c>
    </row>
    <row r="741" spans="1:18" x14ac:dyDescent="0.25">
      <c r="A741" t="s">
        <v>230</v>
      </c>
      <c r="B741" s="4">
        <v>147</v>
      </c>
      <c r="C741" s="4">
        <v>73</v>
      </c>
      <c r="D741" s="3">
        <v>3</v>
      </c>
      <c r="E741" t="s">
        <v>895</v>
      </c>
      <c r="F741" t="s">
        <v>903</v>
      </c>
      <c r="G741" t="s">
        <v>898</v>
      </c>
      <c r="H741" s="6">
        <f>_xlfn.XLOOKUP(A741,Orders[OrderID],Orders[OrderDate])</f>
        <v>43441</v>
      </c>
      <c r="I741" t="str">
        <f>_xlfn.XLOOKUP(A741,Orders[OrderID],Orders[CustomerName])</f>
        <v>Abhishek</v>
      </c>
      <c r="J741" t="str">
        <f>_xlfn.XLOOKUP(A741,Orders[OrderID],Orders[State])</f>
        <v>Rajasthan</v>
      </c>
      <c r="K741" t="str">
        <f>_xlfn.XLOOKUP(A741,Orders[OrderID],Orders[City])</f>
        <v>Udaipur</v>
      </c>
      <c r="L741" s="3">
        <f>YEAR(Clean_Data[[#This Row],[OrderDate]])</f>
        <v>2018</v>
      </c>
      <c r="M741" s="3">
        <f>MONTH(Clean_Data[[#This Row],[OrderDate]])</f>
        <v>12</v>
      </c>
      <c r="N741" s="8" t="str">
        <f>TEXT(Clean_Data[[#This Row],[OrderDate]],"mmm")</f>
        <v>Dec</v>
      </c>
      <c r="O741" s="8" t="str">
        <f>TEXT(Clean_Data[[#This Row],[OrderDate]], "yyyy-mm")</f>
        <v>2018-12</v>
      </c>
      <c r="P741" s="7">
        <f>Clean_Data[[#This Row],[Profit]]/Clean_Data[[#This Row],[Revenue ]]</f>
        <v>0.49659863945578231</v>
      </c>
      <c r="Q741" t="str">
        <f>"Q"&amp;ROUNDUP(MONTH(Clean_Data[[#This Row],[OrderDate]])/3,0)</f>
        <v>Q4</v>
      </c>
      <c r="R741" t="str">
        <f>TEXT(Clean_Data[[#This Row],[OrderDate]], "dddd")</f>
        <v>Friday</v>
      </c>
    </row>
    <row r="742" spans="1:18" x14ac:dyDescent="0.25">
      <c r="A742" t="s">
        <v>407</v>
      </c>
      <c r="B742" s="4">
        <v>118</v>
      </c>
      <c r="C742" s="4">
        <v>35</v>
      </c>
      <c r="D742" s="3">
        <v>7</v>
      </c>
      <c r="E742" t="s">
        <v>895</v>
      </c>
      <c r="F742" t="s">
        <v>906</v>
      </c>
      <c r="G742" t="s">
        <v>890</v>
      </c>
      <c r="H742" s="6">
        <f>_xlfn.XLOOKUP(A742,Orders[OrderID],Orders[OrderDate])</f>
        <v>43383</v>
      </c>
      <c r="I742" t="str">
        <f>_xlfn.XLOOKUP(A742,Orders[OrderID],Orders[CustomerName])</f>
        <v>Swapnil</v>
      </c>
      <c r="J742" t="str">
        <f>_xlfn.XLOOKUP(A742,Orders[OrderID],Orders[State])</f>
        <v>Madhya Pradesh</v>
      </c>
      <c r="K742" t="str">
        <f>_xlfn.XLOOKUP(A742,Orders[OrderID],Orders[City])</f>
        <v>Indore</v>
      </c>
      <c r="L742" s="3">
        <f>YEAR(Clean_Data[[#This Row],[OrderDate]])</f>
        <v>2018</v>
      </c>
      <c r="M742" s="3">
        <f>MONTH(Clean_Data[[#This Row],[OrderDate]])</f>
        <v>10</v>
      </c>
      <c r="N742" s="8" t="str">
        <f>TEXT(Clean_Data[[#This Row],[OrderDate]],"mmm")</f>
        <v>Oct</v>
      </c>
      <c r="O742" s="8" t="str">
        <f>TEXT(Clean_Data[[#This Row],[OrderDate]], "yyyy-mm")</f>
        <v>2018-10</v>
      </c>
      <c r="P742" s="7">
        <f>Clean_Data[[#This Row],[Profit]]/Clean_Data[[#This Row],[Revenue ]]</f>
        <v>0.29661016949152541</v>
      </c>
      <c r="Q742" t="str">
        <f>"Q"&amp;ROUNDUP(MONTH(Clean_Data[[#This Row],[OrderDate]])/3,0)</f>
        <v>Q4</v>
      </c>
      <c r="R742" t="str">
        <f>TEXT(Clean_Data[[#This Row],[OrderDate]], "dddd")</f>
        <v>Wednesday</v>
      </c>
    </row>
    <row r="743" spans="1:18" x14ac:dyDescent="0.25">
      <c r="A743" t="s">
        <v>493</v>
      </c>
      <c r="B743" s="4">
        <v>119</v>
      </c>
      <c r="C743" s="4">
        <v>56</v>
      </c>
      <c r="D743" s="3">
        <v>7</v>
      </c>
      <c r="E743" t="s">
        <v>895</v>
      </c>
      <c r="F743" t="s">
        <v>897</v>
      </c>
      <c r="G743" t="s">
        <v>890</v>
      </c>
      <c r="H743" s="6">
        <f>_xlfn.XLOOKUP(A743,Orders[OrderID],Orders[OrderDate])</f>
        <v>43185</v>
      </c>
      <c r="I743" t="str">
        <f>_xlfn.XLOOKUP(A743,Orders[OrderID],Orders[CustomerName])</f>
        <v>Vandana</v>
      </c>
      <c r="J743" t="str">
        <f>_xlfn.XLOOKUP(A743,Orders[OrderID],Orders[State])</f>
        <v>Himachal Pradesh</v>
      </c>
      <c r="K743" t="str">
        <f>_xlfn.XLOOKUP(A743,Orders[OrderID],Orders[City])</f>
        <v>Simla</v>
      </c>
      <c r="L743" s="3">
        <f>YEAR(Clean_Data[[#This Row],[OrderDate]])</f>
        <v>2018</v>
      </c>
      <c r="M743" s="3">
        <f>MONTH(Clean_Data[[#This Row],[OrderDate]])</f>
        <v>3</v>
      </c>
      <c r="N743" s="8" t="str">
        <f>TEXT(Clean_Data[[#This Row],[OrderDate]],"mmm")</f>
        <v>Mar</v>
      </c>
      <c r="O743" s="8" t="str">
        <f>TEXT(Clean_Data[[#This Row],[OrderDate]], "yyyy-mm")</f>
        <v>2018-03</v>
      </c>
      <c r="P743" s="7">
        <f>Clean_Data[[#This Row],[Profit]]/Clean_Data[[#This Row],[Revenue ]]</f>
        <v>0.47058823529411764</v>
      </c>
      <c r="Q743" t="str">
        <f>"Q"&amp;ROUNDUP(MONTH(Clean_Data[[#This Row],[OrderDate]])/3,0)</f>
        <v>Q1</v>
      </c>
      <c r="R743" t="str">
        <f>TEXT(Clean_Data[[#This Row],[OrderDate]], "dddd")</f>
        <v>Monday</v>
      </c>
    </row>
    <row r="744" spans="1:18" x14ac:dyDescent="0.25">
      <c r="A744" t="s">
        <v>604</v>
      </c>
      <c r="B744" s="4">
        <v>90</v>
      </c>
      <c r="C744" s="4">
        <v>27</v>
      </c>
      <c r="D744" s="3">
        <v>2</v>
      </c>
      <c r="E744" t="s">
        <v>895</v>
      </c>
      <c r="F744" t="s">
        <v>906</v>
      </c>
      <c r="G744" t="s">
        <v>887</v>
      </c>
      <c r="H744" s="6">
        <f>_xlfn.XLOOKUP(A744,Orders[OrderID],Orders[OrderDate])</f>
        <v>43444</v>
      </c>
      <c r="I744" t="str">
        <f>_xlfn.XLOOKUP(A744,Orders[OrderID],Orders[CustomerName])</f>
        <v>Suraj</v>
      </c>
      <c r="J744" t="str">
        <f>_xlfn.XLOOKUP(A744,Orders[OrderID],Orders[State])</f>
        <v>Gujarat</v>
      </c>
      <c r="K744" t="str">
        <f>_xlfn.XLOOKUP(A744,Orders[OrderID],Orders[City])</f>
        <v>Surat</v>
      </c>
      <c r="L744" s="3">
        <f>YEAR(Clean_Data[[#This Row],[OrderDate]])</f>
        <v>2018</v>
      </c>
      <c r="M744" s="3">
        <f>MONTH(Clean_Data[[#This Row],[OrderDate]])</f>
        <v>12</v>
      </c>
      <c r="N744" s="8" t="str">
        <f>TEXT(Clean_Data[[#This Row],[OrderDate]],"mmm")</f>
        <v>Dec</v>
      </c>
      <c r="O744" s="8" t="str">
        <f>TEXT(Clean_Data[[#This Row],[OrderDate]], "yyyy-mm")</f>
        <v>2018-12</v>
      </c>
      <c r="P744" s="7">
        <f>Clean_Data[[#This Row],[Profit]]/Clean_Data[[#This Row],[Revenue ]]</f>
        <v>0.3</v>
      </c>
      <c r="Q744" t="str">
        <f>"Q"&amp;ROUNDUP(MONTH(Clean_Data[[#This Row],[OrderDate]])/3,0)</f>
        <v>Q4</v>
      </c>
      <c r="R744" t="str">
        <f>TEXT(Clean_Data[[#This Row],[OrderDate]], "dddd")</f>
        <v>Monday</v>
      </c>
    </row>
    <row r="745" spans="1:18" x14ac:dyDescent="0.25">
      <c r="A745" t="s">
        <v>614</v>
      </c>
      <c r="B745" s="4">
        <v>32</v>
      </c>
      <c r="C745" s="4">
        <v>1</v>
      </c>
      <c r="D745" s="3">
        <v>2</v>
      </c>
      <c r="E745" t="s">
        <v>895</v>
      </c>
      <c r="F745" t="s">
        <v>903</v>
      </c>
      <c r="G745" t="s">
        <v>887</v>
      </c>
      <c r="H745" s="6">
        <f>_xlfn.XLOOKUP(A745,Orders[OrderID],Orders[OrderDate])</f>
        <v>43150</v>
      </c>
      <c r="I745" t="str">
        <f>_xlfn.XLOOKUP(A745,Orders[OrderID],Orders[CustomerName])</f>
        <v>Bhavna</v>
      </c>
      <c r="J745" t="str">
        <f>_xlfn.XLOOKUP(A745,Orders[OrderID],Orders[State])</f>
        <v>Sikkim</v>
      </c>
      <c r="K745" t="str">
        <f>_xlfn.XLOOKUP(A745,Orders[OrderID],Orders[City])</f>
        <v>Gangtok</v>
      </c>
      <c r="L745" s="3">
        <f>YEAR(Clean_Data[[#This Row],[OrderDate]])</f>
        <v>2018</v>
      </c>
      <c r="M745" s="3">
        <f>MONTH(Clean_Data[[#This Row],[OrderDate]])</f>
        <v>2</v>
      </c>
      <c r="N745" s="8" t="str">
        <f>TEXT(Clean_Data[[#This Row],[OrderDate]],"mmm")</f>
        <v>Feb</v>
      </c>
      <c r="O745" s="8" t="str">
        <f>TEXT(Clean_Data[[#This Row],[OrderDate]], "yyyy-mm")</f>
        <v>2018-02</v>
      </c>
      <c r="P745" s="7">
        <f>Clean_Data[[#This Row],[Profit]]/Clean_Data[[#This Row],[Revenue ]]</f>
        <v>3.125E-2</v>
      </c>
      <c r="Q745" t="str">
        <f>"Q"&amp;ROUNDUP(MONTH(Clean_Data[[#This Row],[OrderDate]])/3,0)</f>
        <v>Q1</v>
      </c>
      <c r="R745" t="str">
        <f>TEXT(Clean_Data[[#This Row],[OrderDate]], "dddd")</f>
        <v>Monday</v>
      </c>
    </row>
    <row r="746" spans="1:18" x14ac:dyDescent="0.25">
      <c r="A746" t="s">
        <v>729</v>
      </c>
      <c r="B746" s="4">
        <v>89</v>
      </c>
      <c r="C746" s="4">
        <v>-89</v>
      </c>
      <c r="D746" s="3">
        <v>2</v>
      </c>
      <c r="E746" t="s">
        <v>888</v>
      </c>
      <c r="F746" t="s">
        <v>908</v>
      </c>
      <c r="G746" t="s">
        <v>887</v>
      </c>
      <c r="H746" s="6">
        <f>_xlfn.XLOOKUP(A746,Orders[OrderID],Orders[OrderDate])</f>
        <v>43214</v>
      </c>
      <c r="I746" t="str">
        <f>_xlfn.XLOOKUP(A746,Orders[OrderID],Orders[CustomerName])</f>
        <v>Ritu</v>
      </c>
      <c r="J746" t="str">
        <f>_xlfn.XLOOKUP(A746,Orders[OrderID],Orders[State])</f>
        <v>Haryana</v>
      </c>
      <c r="K746" t="str">
        <f>_xlfn.XLOOKUP(A746,Orders[OrderID],Orders[City])</f>
        <v>Chandigarh</v>
      </c>
      <c r="L746" s="3">
        <f>YEAR(Clean_Data[[#This Row],[OrderDate]])</f>
        <v>2018</v>
      </c>
      <c r="M746" s="3">
        <f>MONTH(Clean_Data[[#This Row],[OrderDate]])</f>
        <v>4</v>
      </c>
      <c r="N746" s="8" t="str">
        <f>TEXT(Clean_Data[[#This Row],[OrderDate]],"mmm")</f>
        <v>Apr</v>
      </c>
      <c r="O746" s="8" t="str">
        <f>TEXT(Clean_Data[[#This Row],[OrderDate]], "yyyy-mm")</f>
        <v>2018-04</v>
      </c>
      <c r="P746" s="7">
        <f>Clean_Data[[#This Row],[Profit]]/Clean_Data[[#This Row],[Revenue ]]</f>
        <v>-1</v>
      </c>
      <c r="Q746" t="str">
        <f>"Q"&amp;ROUNDUP(MONTH(Clean_Data[[#This Row],[OrderDate]])/3,0)</f>
        <v>Q2</v>
      </c>
      <c r="R746" t="str">
        <f>TEXT(Clean_Data[[#This Row],[OrderDate]], "dddd")</f>
        <v>Tuesday</v>
      </c>
    </row>
    <row r="747" spans="1:18" x14ac:dyDescent="0.25">
      <c r="A747" t="s">
        <v>235</v>
      </c>
      <c r="B747" s="4">
        <v>146</v>
      </c>
      <c r="C747" s="4">
        <v>66</v>
      </c>
      <c r="D747" s="3">
        <v>1</v>
      </c>
      <c r="E747" t="s">
        <v>885</v>
      </c>
      <c r="F747" t="s">
        <v>894</v>
      </c>
      <c r="G747" t="s">
        <v>898</v>
      </c>
      <c r="H747" s="6">
        <f>_xlfn.XLOOKUP(A747,Orders[OrderID],Orders[OrderDate])</f>
        <v>43114</v>
      </c>
      <c r="I747" t="str">
        <f>_xlfn.XLOOKUP(A747,Orders[OrderID],Orders[CustomerName])</f>
        <v>Trupti</v>
      </c>
      <c r="J747" t="str">
        <f>_xlfn.XLOOKUP(A747,Orders[OrderID],Orders[State])</f>
        <v>Gujarat</v>
      </c>
      <c r="K747" t="str">
        <f>_xlfn.XLOOKUP(A747,Orders[OrderID],Orders[City])</f>
        <v>Ahmedabad</v>
      </c>
      <c r="L747" s="3">
        <f>YEAR(Clean_Data[[#This Row],[OrderDate]])</f>
        <v>2018</v>
      </c>
      <c r="M747" s="3">
        <f>MONTH(Clean_Data[[#This Row],[OrderDate]])</f>
        <v>1</v>
      </c>
      <c r="N747" s="8" t="str">
        <f>TEXT(Clean_Data[[#This Row],[OrderDate]],"mmm")</f>
        <v>Jan</v>
      </c>
      <c r="O747" s="8" t="str">
        <f>TEXT(Clean_Data[[#This Row],[OrderDate]], "yyyy-mm")</f>
        <v>2018-01</v>
      </c>
      <c r="P747" s="7">
        <f>Clean_Data[[#This Row],[Profit]]/Clean_Data[[#This Row],[Revenue ]]</f>
        <v>0.45205479452054792</v>
      </c>
      <c r="Q747" t="str">
        <f>"Q"&amp;ROUNDUP(MONTH(Clean_Data[[#This Row],[OrderDate]])/3,0)</f>
        <v>Q1</v>
      </c>
      <c r="R747" t="str">
        <f>TEXT(Clean_Data[[#This Row],[OrderDate]], "dddd")</f>
        <v>Sunday</v>
      </c>
    </row>
    <row r="748" spans="1:18" x14ac:dyDescent="0.25">
      <c r="A748" t="s">
        <v>400</v>
      </c>
      <c r="B748" s="4">
        <v>89</v>
      </c>
      <c r="C748" s="4">
        <v>-37</v>
      </c>
      <c r="D748" s="3">
        <v>4</v>
      </c>
      <c r="E748" t="s">
        <v>895</v>
      </c>
      <c r="F748" t="s">
        <v>909</v>
      </c>
      <c r="G748" t="s">
        <v>887</v>
      </c>
      <c r="H748" s="6">
        <f>_xlfn.XLOOKUP(A748,Orders[OrderID],Orders[OrderDate])</f>
        <v>43117</v>
      </c>
      <c r="I748" t="str">
        <f>_xlfn.XLOOKUP(A748,Orders[OrderID],Orders[CustomerName])</f>
        <v>Shreya</v>
      </c>
      <c r="J748" t="str">
        <f>_xlfn.XLOOKUP(A748,Orders[OrderID],Orders[State])</f>
        <v>Maharashtra</v>
      </c>
      <c r="K748" t="str">
        <f>_xlfn.XLOOKUP(A748,Orders[OrderID],Orders[City])</f>
        <v>Mumbai</v>
      </c>
      <c r="L748" s="3">
        <f>YEAR(Clean_Data[[#This Row],[OrderDate]])</f>
        <v>2018</v>
      </c>
      <c r="M748" s="3">
        <f>MONTH(Clean_Data[[#This Row],[OrderDate]])</f>
        <v>1</v>
      </c>
      <c r="N748" s="8" t="str">
        <f>TEXT(Clean_Data[[#This Row],[OrderDate]],"mmm")</f>
        <v>Jan</v>
      </c>
      <c r="O748" s="8" t="str">
        <f>TEXT(Clean_Data[[#This Row],[OrderDate]], "yyyy-mm")</f>
        <v>2018-01</v>
      </c>
      <c r="P748" s="7">
        <f>Clean_Data[[#This Row],[Profit]]/Clean_Data[[#This Row],[Revenue ]]</f>
        <v>-0.4157303370786517</v>
      </c>
      <c r="Q748" t="str">
        <f>"Q"&amp;ROUNDUP(MONTH(Clean_Data[[#This Row],[OrderDate]])/3,0)</f>
        <v>Q1</v>
      </c>
      <c r="R748" t="str">
        <f>TEXT(Clean_Data[[#This Row],[OrderDate]], "dddd")</f>
        <v>Wednesday</v>
      </c>
    </row>
    <row r="749" spans="1:18" x14ac:dyDescent="0.25">
      <c r="A749" t="s">
        <v>413</v>
      </c>
      <c r="B749" s="4">
        <v>88</v>
      </c>
      <c r="C749" s="4">
        <v>11</v>
      </c>
      <c r="D749" s="3">
        <v>3</v>
      </c>
      <c r="E749" t="s">
        <v>885</v>
      </c>
      <c r="F749" t="s">
        <v>905</v>
      </c>
      <c r="G749" t="s">
        <v>887</v>
      </c>
      <c r="H749" s="6">
        <f>_xlfn.XLOOKUP(A749,Orders[OrderID],Orders[OrderDate])</f>
        <v>43187</v>
      </c>
      <c r="I749" t="str">
        <f>_xlfn.XLOOKUP(A749,Orders[OrderID],Orders[CustomerName])</f>
        <v>Atharv</v>
      </c>
      <c r="J749" t="str">
        <f>_xlfn.XLOOKUP(A749,Orders[OrderID],Orders[State])</f>
        <v>West Bengal</v>
      </c>
      <c r="K749" t="str">
        <f>_xlfn.XLOOKUP(A749,Orders[OrderID],Orders[City])</f>
        <v>Kolkata</v>
      </c>
      <c r="L749" s="3">
        <f>YEAR(Clean_Data[[#This Row],[OrderDate]])</f>
        <v>2018</v>
      </c>
      <c r="M749" s="3">
        <f>MONTH(Clean_Data[[#This Row],[OrderDate]])</f>
        <v>3</v>
      </c>
      <c r="N749" s="8" t="str">
        <f>TEXT(Clean_Data[[#This Row],[OrderDate]],"mmm")</f>
        <v>Mar</v>
      </c>
      <c r="O749" s="8" t="str">
        <f>TEXT(Clean_Data[[#This Row],[OrderDate]], "yyyy-mm")</f>
        <v>2018-03</v>
      </c>
      <c r="P749" s="7">
        <f>Clean_Data[[#This Row],[Profit]]/Clean_Data[[#This Row],[Revenue ]]</f>
        <v>0.125</v>
      </c>
      <c r="Q749" t="str">
        <f>"Q"&amp;ROUNDUP(MONTH(Clean_Data[[#This Row],[OrderDate]])/3,0)</f>
        <v>Q1</v>
      </c>
      <c r="R749" t="str">
        <f>TEXT(Clean_Data[[#This Row],[OrderDate]], "dddd")</f>
        <v>Wednesday</v>
      </c>
    </row>
    <row r="750" spans="1:18" x14ac:dyDescent="0.25">
      <c r="A750" t="s">
        <v>53</v>
      </c>
      <c r="B750" s="4">
        <v>121</v>
      </c>
      <c r="C750" s="4">
        <v>41</v>
      </c>
      <c r="D750" s="3">
        <v>4</v>
      </c>
      <c r="E750" t="s">
        <v>895</v>
      </c>
      <c r="F750" t="s">
        <v>903</v>
      </c>
      <c r="G750" t="s">
        <v>890</v>
      </c>
      <c r="H750" s="6">
        <f>_xlfn.XLOOKUP(A750,Orders[OrderID],Orders[OrderDate])</f>
        <v>43419</v>
      </c>
      <c r="I750" t="str">
        <f>_xlfn.XLOOKUP(A750,Orders[OrderID],Orders[CustomerName])</f>
        <v>Amol</v>
      </c>
      <c r="J750" t="str">
        <f>_xlfn.XLOOKUP(A750,Orders[OrderID],Orders[State])</f>
        <v>Bihar</v>
      </c>
      <c r="K750" t="str">
        <f>_xlfn.XLOOKUP(A750,Orders[OrderID],Orders[City])</f>
        <v>Patna</v>
      </c>
      <c r="L750" s="3">
        <f>YEAR(Clean_Data[[#This Row],[OrderDate]])</f>
        <v>2018</v>
      </c>
      <c r="M750" s="3">
        <f>MONTH(Clean_Data[[#This Row],[OrderDate]])</f>
        <v>11</v>
      </c>
      <c r="N750" s="8" t="str">
        <f>TEXT(Clean_Data[[#This Row],[OrderDate]],"mmm")</f>
        <v>Nov</v>
      </c>
      <c r="O750" s="8" t="str">
        <f>TEXT(Clean_Data[[#This Row],[OrderDate]], "yyyy-mm")</f>
        <v>2018-11</v>
      </c>
      <c r="P750" s="7">
        <f>Clean_Data[[#This Row],[Profit]]/Clean_Data[[#This Row],[Revenue ]]</f>
        <v>0.33884297520661155</v>
      </c>
      <c r="Q750" t="str">
        <f>"Q"&amp;ROUNDUP(MONTH(Clean_Data[[#This Row],[OrderDate]])/3,0)</f>
        <v>Q4</v>
      </c>
      <c r="R750" t="str">
        <f>TEXT(Clean_Data[[#This Row],[OrderDate]], "dddd")</f>
        <v>Thursday</v>
      </c>
    </row>
    <row r="751" spans="1:18" x14ac:dyDescent="0.25">
      <c r="A751" t="s">
        <v>358</v>
      </c>
      <c r="B751" s="4">
        <v>88</v>
      </c>
      <c r="C751" s="4">
        <v>20</v>
      </c>
      <c r="D751" s="3">
        <v>2</v>
      </c>
      <c r="E751" t="s">
        <v>895</v>
      </c>
      <c r="F751" t="s">
        <v>897</v>
      </c>
      <c r="G751" t="s">
        <v>887</v>
      </c>
      <c r="H751" s="6">
        <f>_xlfn.XLOOKUP(A751,Orders[OrderID],Orders[OrderDate])</f>
        <v>43169</v>
      </c>
      <c r="I751" t="str">
        <f>_xlfn.XLOOKUP(A751,Orders[OrderID],Orders[CustomerName])</f>
        <v>Mayank</v>
      </c>
      <c r="J751" t="str">
        <f>_xlfn.XLOOKUP(A751,Orders[OrderID],Orders[State])</f>
        <v>Maharashtra</v>
      </c>
      <c r="K751" t="str">
        <f>_xlfn.XLOOKUP(A751,Orders[OrderID],Orders[City])</f>
        <v>Mumbai</v>
      </c>
      <c r="L751" s="3">
        <f>YEAR(Clean_Data[[#This Row],[OrderDate]])</f>
        <v>2018</v>
      </c>
      <c r="M751" s="3">
        <f>MONTH(Clean_Data[[#This Row],[OrderDate]])</f>
        <v>3</v>
      </c>
      <c r="N751" s="8" t="str">
        <f>TEXT(Clean_Data[[#This Row],[OrderDate]],"mmm")</f>
        <v>Mar</v>
      </c>
      <c r="O751" s="8" t="str">
        <f>TEXT(Clean_Data[[#This Row],[OrderDate]], "yyyy-mm")</f>
        <v>2018-03</v>
      </c>
      <c r="P751" s="7">
        <f>Clean_Data[[#This Row],[Profit]]/Clean_Data[[#This Row],[Revenue ]]</f>
        <v>0.22727272727272727</v>
      </c>
      <c r="Q751" t="str">
        <f>"Q"&amp;ROUNDUP(MONTH(Clean_Data[[#This Row],[OrderDate]])/3,0)</f>
        <v>Q1</v>
      </c>
      <c r="R751" t="str">
        <f>TEXT(Clean_Data[[#This Row],[OrderDate]], "dddd")</f>
        <v>Saturday</v>
      </c>
    </row>
    <row r="752" spans="1:18" x14ac:dyDescent="0.25">
      <c r="A752" t="s">
        <v>379</v>
      </c>
      <c r="B752" s="4">
        <v>87</v>
      </c>
      <c r="C752" s="4">
        <v>-83</v>
      </c>
      <c r="D752" s="3">
        <v>5</v>
      </c>
      <c r="E752" t="s">
        <v>895</v>
      </c>
      <c r="F752" t="s">
        <v>900</v>
      </c>
      <c r="G752" t="s">
        <v>887</v>
      </c>
      <c r="H752" s="6">
        <f>_xlfn.XLOOKUP(A752,Orders[OrderID],Orders[OrderDate])</f>
        <v>43274</v>
      </c>
      <c r="I752" t="str">
        <f>_xlfn.XLOOKUP(A752,Orders[OrderID],Orders[CustomerName])</f>
        <v>Amisha</v>
      </c>
      <c r="J752" t="str">
        <f>_xlfn.XLOOKUP(A752,Orders[OrderID],Orders[State])</f>
        <v>Tamil Nadu</v>
      </c>
      <c r="K752" t="str">
        <f>_xlfn.XLOOKUP(A752,Orders[OrderID],Orders[City])</f>
        <v>Chennai</v>
      </c>
      <c r="L752" s="3">
        <f>YEAR(Clean_Data[[#This Row],[OrderDate]])</f>
        <v>2018</v>
      </c>
      <c r="M752" s="3">
        <f>MONTH(Clean_Data[[#This Row],[OrderDate]])</f>
        <v>6</v>
      </c>
      <c r="N752" s="8" t="str">
        <f>TEXT(Clean_Data[[#This Row],[OrderDate]],"mmm")</f>
        <v>Jun</v>
      </c>
      <c r="O752" s="8" t="str">
        <f>TEXT(Clean_Data[[#This Row],[OrderDate]], "yyyy-mm")</f>
        <v>2018-06</v>
      </c>
      <c r="P752" s="7">
        <f>Clean_Data[[#This Row],[Profit]]/Clean_Data[[#This Row],[Revenue ]]</f>
        <v>-0.95402298850574707</v>
      </c>
      <c r="Q752" t="str">
        <f>"Q"&amp;ROUNDUP(MONTH(Clean_Data[[#This Row],[OrderDate]])/3,0)</f>
        <v>Q2</v>
      </c>
      <c r="R752" t="str">
        <f>TEXT(Clean_Data[[#This Row],[OrderDate]], "dddd")</f>
        <v>Saturday</v>
      </c>
    </row>
    <row r="753" spans="1:18" x14ac:dyDescent="0.25">
      <c r="A753" t="s">
        <v>730</v>
      </c>
      <c r="B753" s="4">
        <v>87</v>
      </c>
      <c r="C753" s="4">
        <v>4</v>
      </c>
      <c r="D753" s="3">
        <v>2</v>
      </c>
      <c r="E753" t="s">
        <v>895</v>
      </c>
      <c r="F753" t="s">
        <v>909</v>
      </c>
      <c r="G753" t="s">
        <v>887</v>
      </c>
      <c r="H753" s="6">
        <f>_xlfn.XLOOKUP(A753,Orders[OrderID],Orders[OrderDate])</f>
        <v>43196</v>
      </c>
      <c r="I753" t="str">
        <f>_xlfn.XLOOKUP(A753,Orders[OrderID],Orders[CustomerName])</f>
        <v>Hazel</v>
      </c>
      <c r="J753" t="str">
        <f>_xlfn.XLOOKUP(A753,Orders[OrderID],Orders[State])</f>
        <v>Karnataka</v>
      </c>
      <c r="K753" t="str">
        <f>_xlfn.XLOOKUP(A753,Orders[OrderID],Orders[City])</f>
        <v>Bangalore</v>
      </c>
      <c r="L753" s="3">
        <f>YEAR(Clean_Data[[#This Row],[OrderDate]])</f>
        <v>2018</v>
      </c>
      <c r="M753" s="3">
        <f>MONTH(Clean_Data[[#This Row],[OrderDate]])</f>
        <v>4</v>
      </c>
      <c r="N753" s="8" t="str">
        <f>TEXT(Clean_Data[[#This Row],[OrderDate]],"mmm")</f>
        <v>Apr</v>
      </c>
      <c r="O753" s="8" t="str">
        <f>TEXT(Clean_Data[[#This Row],[OrderDate]], "yyyy-mm")</f>
        <v>2018-04</v>
      </c>
      <c r="P753" s="7">
        <f>Clean_Data[[#This Row],[Profit]]/Clean_Data[[#This Row],[Revenue ]]</f>
        <v>4.5977011494252873E-2</v>
      </c>
      <c r="Q753" t="str">
        <f>"Q"&amp;ROUNDUP(MONTH(Clean_Data[[#This Row],[OrderDate]])/3,0)</f>
        <v>Q2</v>
      </c>
      <c r="R753" t="str">
        <f>TEXT(Clean_Data[[#This Row],[OrderDate]], "dddd")</f>
        <v>Friday</v>
      </c>
    </row>
    <row r="754" spans="1:18" x14ac:dyDescent="0.25">
      <c r="A754" t="s">
        <v>673</v>
      </c>
      <c r="B754" s="4">
        <v>122</v>
      </c>
      <c r="C754" s="4">
        <v>15</v>
      </c>
      <c r="D754" s="3">
        <v>3</v>
      </c>
      <c r="E754" t="s">
        <v>885</v>
      </c>
      <c r="F754" t="s">
        <v>905</v>
      </c>
      <c r="G754" t="s">
        <v>890</v>
      </c>
      <c r="H754" s="6">
        <f>_xlfn.XLOOKUP(A754,Orders[OrderID],Orders[OrderDate])</f>
        <v>43101</v>
      </c>
      <c r="I754" t="str">
        <f>_xlfn.XLOOKUP(A754,Orders[OrderID],Orders[CustomerName])</f>
        <v>Smriti</v>
      </c>
      <c r="J754" t="str">
        <f>_xlfn.XLOOKUP(A754,Orders[OrderID],Orders[State])</f>
        <v>Bihar</v>
      </c>
      <c r="K754" t="str">
        <f>_xlfn.XLOOKUP(A754,Orders[OrderID],Orders[City])</f>
        <v>Patna</v>
      </c>
      <c r="L754" s="3">
        <f>YEAR(Clean_Data[[#This Row],[OrderDate]])</f>
        <v>2018</v>
      </c>
      <c r="M754" s="3">
        <f>MONTH(Clean_Data[[#This Row],[OrderDate]])</f>
        <v>1</v>
      </c>
      <c r="N754" s="8" t="str">
        <f>TEXT(Clean_Data[[#This Row],[OrderDate]],"mmm")</f>
        <v>Jan</v>
      </c>
      <c r="O754" s="8" t="str">
        <f>TEXT(Clean_Data[[#This Row],[OrderDate]], "yyyy-mm")</f>
        <v>2018-01</v>
      </c>
      <c r="P754" s="7">
        <f>Clean_Data[[#This Row],[Profit]]/Clean_Data[[#This Row],[Revenue ]]</f>
        <v>0.12295081967213115</v>
      </c>
      <c r="Q754" t="str">
        <f>"Q"&amp;ROUNDUP(MONTH(Clean_Data[[#This Row],[OrderDate]])/3,0)</f>
        <v>Q1</v>
      </c>
      <c r="R754" t="str">
        <f>TEXT(Clean_Data[[#This Row],[OrderDate]], "dddd")</f>
        <v>Monday</v>
      </c>
    </row>
    <row r="755" spans="1:18" x14ac:dyDescent="0.25">
      <c r="A755" t="s">
        <v>732</v>
      </c>
      <c r="B755" s="4">
        <v>87</v>
      </c>
      <c r="C755" s="4">
        <v>10</v>
      </c>
      <c r="D755" s="3">
        <v>3</v>
      </c>
      <c r="E755" t="s">
        <v>895</v>
      </c>
      <c r="F755" t="s">
        <v>903</v>
      </c>
      <c r="G755" t="s">
        <v>887</v>
      </c>
      <c r="H755" s="6">
        <f>_xlfn.XLOOKUP(A755,Orders[OrderID],Orders[OrderDate])</f>
        <v>43139</v>
      </c>
      <c r="I755" t="str">
        <f>_xlfn.XLOOKUP(A755,Orders[OrderID],Orders[CustomerName])</f>
        <v>Parnavi</v>
      </c>
      <c r="J755" t="str">
        <f>_xlfn.XLOOKUP(A755,Orders[OrderID],Orders[State])</f>
        <v>West Bengal</v>
      </c>
      <c r="K755" t="str">
        <f>_xlfn.XLOOKUP(A755,Orders[OrderID],Orders[City])</f>
        <v>Kolkata</v>
      </c>
      <c r="L755" s="3">
        <f>YEAR(Clean_Data[[#This Row],[OrderDate]])</f>
        <v>2018</v>
      </c>
      <c r="M755" s="3">
        <f>MONTH(Clean_Data[[#This Row],[OrderDate]])</f>
        <v>2</v>
      </c>
      <c r="N755" s="8" t="str">
        <f>TEXT(Clean_Data[[#This Row],[OrderDate]],"mmm")</f>
        <v>Feb</v>
      </c>
      <c r="O755" s="8" t="str">
        <f>TEXT(Clean_Data[[#This Row],[OrderDate]], "yyyy-mm")</f>
        <v>2018-02</v>
      </c>
      <c r="P755" s="7">
        <f>Clean_Data[[#This Row],[Profit]]/Clean_Data[[#This Row],[Revenue ]]</f>
        <v>0.11494252873563218</v>
      </c>
      <c r="Q755" t="str">
        <f>"Q"&amp;ROUNDUP(MONTH(Clean_Data[[#This Row],[OrderDate]])/3,0)</f>
        <v>Q1</v>
      </c>
      <c r="R755" t="str">
        <f>TEXT(Clean_Data[[#This Row],[OrderDate]], "dddd")</f>
        <v>Thursday</v>
      </c>
    </row>
    <row r="756" spans="1:18" x14ac:dyDescent="0.25">
      <c r="A756" t="s">
        <v>790</v>
      </c>
      <c r="B756" s="4">
        <v>53</v>
      </c>
      <c r="C756" s="4">
        <v>8</v>
      </c>
      <c r="D756" s="3">
        <v>3</v>
      </c>
      <c r="E756" t="s">
        <v>888</v>
      </c>
      <c r="F756" t="s">
        <v>908</v>
      </c>
      <c r="G756" t="s">
        <v>898</v>
      </c>
      <c r="H756" s="6">
        <f>_xlfn.XLOOKUP(A756,Orders[OrderID],Orders[OrderDate])</f>
        <v>43119</v>
      </c>
      <c r="I756" t="str">
        <f>_xlfn.XLOOKUP(A756,Orders[OrderID],Orders[CustomerName])</f>
        <v>Pratiksha</v>
      </c>
      <c r="J756" t="str">
        <f>_xlfn.XLOOKUP(A756,Orders[OrderID],Orders[State])</f>
        <v>Maharashtra</v>
      </c>
      <c r="K756" t="str">
        <f>_xlfn.XLOOKUP(A756,Orders[OrderID],Orders[City])</f>
        <v>Mumbai</v>
      </c>
      <c r="L756" s="3">
        <f>YEAR(Clean_Data[[#This Row],[OrderDate]])</f>
        <v>2018</v>
      </c>
      <c r="M756" s="3">
        <f>MONTH(Clean_Data[[#This Row],[OrderDate]])</f>
        <v>1</v>
      </c>
      <c r="N756" s="8" t="str">
        <f>TEXT(Clean_Data[[#This Row],[OrderDate]],"mmm")</f>
        <v>Jan</v>
      </c>
      <c r="O756" s="8" t="str">
        <f>TEXT(Clean_Data[[#This Row],[OrderDate]], "yyyy-mm")</f>
        <v>2018-01</v>
      </c>
      <c r="P756" s="7">
        <f>Clean_Data[[#This Row],[Profit]]/Clean_Data[[#This Row],[Revenue ]]</f>
        <v>0.15094339622641509</v>
      </c>
      <c r="Q756" t="str">
        <f>"Q"&amp;ROUNDUP(MONTH(Clean_Data[[#This Row],[OrderDate]])/3,0)</f>
        <v>Q1</v>
      </c>
      <c r="R756" t="str">
        <f>TEXT(Clean_Data[[#This Row],[OrderDate]], "dddd")</f>
        <v>Friday</v>
      </c>
    </row>
    <row r="757" spans="1:18" x14ac:dyDescent="0.25">
      <c r="A757" t="s">
        <v>219</v>
      </c>
      <c r="B757" s="4">
        <v>87</v>
      </c>
      <c r="C757" s="4">
        <v>-32</v>
      </c>
      <c r="D757" s="3">
        <v>9</v>
      </c>
      <c r="E757" t="s">
        <v>895</v>
      </c>
      <c r="F757" t="s">
        <v>901</v>
      </c>
      <c r="G757" t="s">
        <v>887</v>
      </c>
      <c r="H757" s="6">
        <f>_xlfn.XLOOKUP(A757,Orders[OrderID],Orders[OrderDate])</f>
        <v>43113</v>
      </c>
      <c r="I757" t="str">
        <f>_xlfn.XLOOKUP(A757,Orders[OrderID],Orders[CustomerName])</f>
        <v>Priyanka</v>
      </c>
      <c r="J757" t="str">
        <f>_xlfn.XLOOKUP(A757,Orders[OrderID],Orders[State])</f>
        <v>Madhya Pradesh</v>
      </c>
      <c r="K757" t="str">
        <f>_xlfn.XLOOKUP(A757,Orders[OrderID],Orders[City])</f>
        <v>Indore</v>
      </c>
      <c r="L757" s="3">
        <f>YEAR(Clean_Data[[#This Row],[OrderDate]])</f>
        <v>2018</v>
      </c>
      <c r="M757" s="3">
        <f>MONTH(Clean_Data[[#This Row],[OrderDate]])</f>
        <v>1</v>
      </c>
      <c r="N757" s="8" t="str">
        <f>TEXT(Clean_Data[[#This Row],[OrderDate]],"mmm")</f>
        <v>Jan</v>
      </c>
      <c r="O757" s="8" t="str">
        <f>TEXT(Clean_Data[[#This Row],[OrderDate]], "yyyy-mm")</f>
        <v>2018-01</v>
      </c>
      <c r="P757" s="7">
        <f>Clean_Data[[#This Row],[Profit]]/Clean_Data[[#This Row],[Revenue ]]</f>
        <v>-0.36781609195402298</v>
      </c>
      <c r="Q757" t="str">
        <f>"Q"&amp;ROUNDUP(MONTH(Clean_Data[[#This Row],[OrderDate]])/3,0)</f>
        <v>Q1</v>
      </c>
      <c r="R757" t="str">
        <f>TEXT(Clean_Data[[#This Row],[OrderDate]], "dddd")</f>
        <v>Saturday</v>
      </c>
    </row>
    <row r="758" spans="1:18" x14ac:dyDescent="0.25">
      <c r="A758" t="s">
        <v>421</v>
      </c>
      <c r="B758" s="4">
        <v>86</v>
      </c>
      <c r="C758" s="4">
        <v>-55</v>
      </c>
      <c r="D758" s="3">
        <v>6</v>
      </c>
      <c r="E758" t="s">
        <v>895</v>
      </c>
      <c r="F758" t="s">
        <v>897</v>
      </c>
      <c r="G758" t="s">
        <v>887</v>
      </c>
      <c r="H758" s="6">
        <f>_xlfn.XLOOKUP(A758,Orders[OrderID],Orders[OrderDate])</f>
        <v>43259</v>
      </c>
      <c r="I758" t="str">
        <f>_xlfn.XLOOKUP(A758,Orders[OrderID],Orders[CustomerName])</f>
        <v>Shreya</v>
      </c>
      <c r="J758" t="str">
        <f>_xlfn.XLOOKUP(A758,Orders[OrderID],Orders[State])</f>
        <v xml:space="preserve">Kerala </v>
      </c>
      <c r="K758" t="str">
        <f>_xlfn.XLOOKUP(A758,Orders[OrderID],Orders[City])</f>
        <v>Thiruvananthapuram</v>
      </c>
      <c r="L758" s="3">
        <f>YEAR(Clean_Data[[#This Row],[OrderDate]])</f>
        <v>2018</v>
      </c>
      <c r="M758" s="3">
        <f>MONTH(Clean_Data[[#This Row],[OrderDate]])</f>
        <v>6</v>
      </c>
      <c r="N758" s="8" t="str">
        <f>TEXT(Clean_Data[[#This Row],[OrderDate]],"mmm")</f>
        <v>Jun</v>
      </c>
      <c r="O758" s="8" t="str">
        <f>TEXT(Clean_Data[[#This Row],[OrderDate]], "yyyy-mm")</f>
        <v>2018-06</v>
      </c>
      <c r="P758" s="7">
        <f>Clean_Data[[#This Row],[Profit]]/Clean_Data[[#This Row],[Revenue ]]</f>
        <v>-0.63953488372093026</v>
      </c>
      <c r="Q758" t="str">
        <f>"Q"&amp;ROUNDUP(MONTH(Clean_Data[[#This Row],[OrderDate]])/3,0)</f>
        <v>Q2</v>
      </c>
      <c r="R758" t="str">
        <f>TEXT(Clean_Data[[#This Row],[OrderDate]], "dddd")</f>
        <v>Friday</v>
      </c>
    </row>
    <row r="759" spans="1:18" x14ac:dyDescent="0.25">
      <c r="A759" t="s">
        <v>409</v>
      </c>
      <c r="B759" s="4">
        <v>125</v>
      </c>
      <c r="C759" s="4">
        <v>22</v>
      </c>
      <c r="D759" s="3">
        <v>3</v>
      </c>
      <c r="E759" t="s">
        <v>895</v>
      </c>
      <c r="F759" t="s">
        <v>903</v>
      </c>
      <c r="G759" t="s">
        <v>890</v>
      </c>
      <c r="H759" s="6">
        <f>_xlfn.XLOOKUP(A759,Orders[OrderID],Orders[OrderDate])</f>
        <v>43452</v>
      </c>
      <c r="I759" t="str">
        <f>_xlfn.XLOOKUP(A759,Orders[OrderID],Orders[CustomerName])</f>
        <v>Kajal</v>
      </c>
      <c r="J759" t="str">
        <f>_xlfn.XLOOKUP(A759,Orders[OrderID],Orders[State])</f>
        <v>Delhi</v>
      </c>
      <c r="K759" t="str">
        <f>_xlfn.XLOOKUP(A759,Orders[OrderID],Orders[City])</f>
        <v>Delhi</v>
      </c>
      <c r="L759" s="3">
        <f>YEAR(Clean_Data[[#This Row],[OrderDate]])</f>
        <v>2018</v>
      </c>
      <c r="M759" s="3">
        <f>MONTH(Clean_Data[[#This Row],[OrderDate]])</f>
        <v>12</v>
      </c>
      <c r="N759" s="8" t="str">
        <f>TEXT(Clean_Data[[#This Row],[OrderDate]],"mmm")</f>
        <v>Dec</v>
      </c>
      <c r="O759" s="8" t="str">
        <f>TEXT(Clean_Data[[#This Row],[OrderDate]], "yyyy-mm")</f>
        <v>2018-12</v>
      </c>
      <c r="P759" s="7">
        <f>Clean_Data[[#This Row],[Profit]]/Clean_Data[[#This Row],[Revenue ]]</f>
        <v>0.17599999999999999</v>
      </c>
      <c r="Q759" t="str">
        <f>"Q"&amp;ROUNDUP(MONTH(Clean_Data[[#This Row],[OrderDate]])/3,0)</f>
        <v>Q4</v>
      </c>
      <c r="R759" t="str">
        <f>TEXT(Clean_Data[[#This Row],[OrderDate]], "dddd")</f>
        <v>Tuesday</v>
      </c>
    </row>
    <row r="760" spans="1:18" x14ac:dyDescent="0.25">
      <c r="A760" t="s">
        <v>369</v>
      </c>
      <c r="B760" s="4">
        <v>128</v>
      </c>
      <c r="C760" s="4">
        <v>-3</v>
      </c>
      <c r="D760" s="3">
        <v>3</v>
      </c>
      <c r="E760" t="s">
        <v>895</v>
      </c>
      <c r="F760" t="s">
        <v>897</v>
      </c>
      <c r="G760" t="s">
        <v>907</v>
      </c>
      <c r="H760" s="6">
        <f>_xlfn.XLOOKUP(A760,Orders[OrderID],Orders[OrderDate])</f>
        <v>43397</v>
      </c>
      <c r="I760" t="str">
        <f>_xlfn.XLOOKUP(A760,Orders[OrderID],Orders[CustomerName])</f>
        <v>Nikita</v>
      </c>
      <c r="J760" t="str">
        <f>_xlfn.XLOOKUP(A760,Orders[OrderID],Orders[State])</f>
        <v>Punjab</v>
      </c>
      <c r="K760" t="str">
        <f>_xlfn.XLOOKUP(A760,Orders[OrderID],Orders[City])</f>
        <v>Chandigarh</v>
      </c>
      <c r="L760" s="3">
        <f>YEAR(Clean_Data[[#This Row],[OrderDate]])</f>
        <v>2018</v>
      </c>
      <c r="M760" s="3">
        <f>MONTH(Clean_Data[[#This Row],[OrderDate]])</f>
        <v>10</v>
      </c>
      <c r="N760" s="8" t="str">
        <f>TEXT(Clean_Data[[#This Row],[OrderDate]],"mmm")</f>
        <v>Oct</v>
      </c>
      <c r="O760" s="8" t="str">
        <f>TEXT(Clean_Data[[#This Row],[OrderDate]], "yyyy-mm")</f>
        <v>2018-10</v>
      </c>
      <c r="P760" s="7">
        <f>Clean_Data[[#This Row],[Profit]]/Clean_Data[[#This Row],[Revenue ]]</f>
        <v>-2.34375E-2</v>
      </c>
      <c r="Q760" t="str">
        <f>"Q"&amp;ROUNDUP(MONTH(Clean_Data[[#This Row],[OrderDate]])/3,0)</f>
        <v>Q4</v>
      </c>
      <c r="R760" t="str">
        <f>TEXT(Clean_Data[[#This Row],[OrderDate]], "dddd")</f>
        <v>Wednesday</v>
      </c>
    </row>
    <row r="761" spans="1:18" x14ac:dyDescent="0.25">
      <c r="A761" t="s">
        <v>385</v>
      </c>
      <c r="B761" s="4">
        <v>143</v>
      </c>
      <c r="C761" s="4">
        <v>-124</v>
      </c>
      <c r="D761" s="3">
        <v>5</v>
      </c>
      <c r="E761" t="s">
        <v>895</v>
      </c>
      <c r="F761" t="s">
        <v>897</v>
      </c>
      <c r="G761" t="s">
        <v>898</v>
      </c>
      <c r="H761" s="6">
        <f>_xlfn.XLOOKUP(A761,Orders[OrderID],Orders[OrderDate])</f>
        <v>43319</v>
      </c>
      <c r="I761" t="str">
        <f>_xlfn.XLOOKUP(A761,Orders[OrderID],Orders[CustomerName])</f>
        <v>Aman</v>
      </c>
      <c r="J761" t="str">
        <f>_xlfn.XLOOKUP(A761,Orders[OrderID],Orders[State])</f>
        <v>Nagaland</v>
      </c>
      <c r="K761" t="str">
        <f>_xlfn.XLOOKUP(A761,Orders[OrderID],Orders[City])</f>
        <v>Kohima</v>
      </c>
      <c r="L761" s="3">
        <f>YEAR(Clean_Data[[#This Row],[OrderDate]])</f>
        <v>2018</v>
      </c>
      <c r="M761" s="3">
        <f>MONTH(Clean_Data[[#This Row],[OrderDate]])</f>
        <v>8</v>
      </c>
      <c r="N761" s="8" t="str">
        <f>TEXT(Clean_Data[[#This Row],[OrderDate]],"mmm")</f>
        <v>Aug</v>
      </c>
      <c r="O761" s="8" t="str">
        <f>TEXT(Clean_Data[[#This Row],[OrderDate]], "yyyy-mm")</f>
        <v>2018-08</v>
      </c>
      <c r="P761" s="7">
        <f>Clean_Data[[#This Row],[Profit]]/Clean_Data[[#This Row],[Revenue ]]</f>
        <v>-0.86713286713286708</v>
      </c>
      <c r="Q761" t="str">
        <f>"Q"&amp;ROUNDUP(MONTH(Clean_Data[[#This Row],[OrderDate]])/3,0)</f>
        <v>Q3</v>
      </c>
      <c r="R761" t="str">
        <f>TEXT(Clean_Data[[#This Row],[OrderDate]], "dddd")</f>
        <v>Tuesday</v>
      </c>
    </row>
    <row r="762" spans="1:18" x14ac:dyDescent="0.25">
      <c r="A762" t="s">
        <v>119</v>
      </c>
      <c r="B762" s="4">
        <v>86</v>
      </c>
      <c r="C762" s="4">
        <v>22</v>
      </c>
      <c r="D762" s="3">
        <v>2</v>
      </c>
      <c r="E762" t="s">
        <v>895</v>
      </c>
      <c r="F762" t="s">
        <v>897</v>
      </c>
      <c r="G762" t="s">
        <v>887</v>
      </c>
      <c r="H762" s="6">
        <f>_xlfn.XLOOKUP(A762,Orders[OrderID],Orders[OrderDate])</f>
        <v>43185</v>
      </c>
      <c r="I762" t="str">
        <f>_xlfn.XLOOKUP(A762,Orders[OrderID],Orders[CustomerName])</f>
        <v>Shrichand</v>
      </c>
      <c r="J762" t="str">
        <f>_xlfn.XLOOKUP(A762,Orders[OrderID],Orders[State])</f>
        <v>Punjab</v>
      </c>
      <c r="K762" t="str">
        <f>_xlfn.XLOOKUP(A762,Orders[OrderID],Orders[City])</f>
        <v>Chandigarh</v>
      </c>
      <c r="L762" s="3">
        <f>YEAR(Clean_Data[[#This Row],[OrderDate]])</f>
        <v>2018</v>
      </c>
      <c r="M762" s="3">
        <f>MONTH(Clean_Data[[#This Row],[OrderDate]])</f>
        <v>3</v>
      </c>
      <c r="N762" s="8" t="str">
        <f>TEXT(Clean_Data[[#This Row],[OrderDate]],"mmm")</f>
        <v>Mar</v>
      </c>
      <c r="O762" s="8" t="str">
        <f>TEXT(Clean_Data[[#This Row],[OrderDate]], "yyyy-mm")</f>
        <v>2018-03</v>
      </c>
      <c r="P762" s="7">
        <f>Clean_Data[[#This Row],[Profit]]/Clean_Data[[#This Row],[Revenue ]]</f>
        <v>0.2558139534883721</v>
      </c>
      <c r="Q762" t="str">
        <f>"Q"&amp;ROUNDUP(MONTH(Clean_Data[[#This Row],[OrderDate]])/3,0)</f>
        <v>Q1</v>
      </c>
      <c r="R762" t="str">
        <f>TEXT(Clean_Data[[#This Row],[OrderDate]], "dddd")</f>
        <v>Monday</v>
      </c>
    </row>
    <row r="763" spans="1:18" x14ac:dyDescent="0.25">
      <c r="A763" t="s">
        <v>736</v>
      </c>
      <c r="B763" s="4">
        <v>86</v>
      </c>
      <c r="C763" s="4">
        <v>9</v>
      </c>
      <c r="D763" s="3">
        <v>3</v>
      </c>
      <c r="E763" t="s">
        <v>895</v>
      </c>
      <c r="F763" t="s">
        <v>897</v>
      </c>
      <c r="G763" t="s">
        <v>887</v>
      </c>
      <c r="H763" s="6">
        <f>_xlfn.XLOOKUP(A763,Orders[OrderID],Orders[OrderDate])</f>
        <v>43423</v>
      </c>
      <c r="I763" t="str">
        <f>_xlfn.XLOOKUP(A763,Orders[OrderID],Orders[CustomerName])</f>
        <v>Parakh</v>
      </c>
      <c r="J763" t="str">
        <f>_xlfn.XLOOKUP(A763,Orders[OrderID],Orders[State])</f>
        <v>Nagaland</v>
      </c>
      <c r="K763" t="str">
        <f>_xlfn.XLOOKUP(A763,Orders[OrderID],Orders[City])</f>
        <v>Kohima</v>
      </c>
      <c r="L763" s="3">
        <f>YEAR(Clean_Data[[#This Row],[OrderDate]])</f>
        <v>2018</v>
      </c>
      <c r="M763" s="3">
        <f>MONTH(Clean_Data[[#This Row],[OrderDate]])</f>
        <v>11</v>
      </c>
      <c r="N763" s="8" t="str">
        <f>TEXT(Clean_Data[[#This Row],[OrderDate]],"mmm")</f>
        <v>Nov</v>
      </c>
      <c r="O763" s="8" t="str">
        <f>TEXT(Clean_Data[[#This Row],[OrderDate]], "yyyy-mm")</f>
        <v>2018-11</v>
      </c>
      <c r="P763" s="7">
        <f>Clean_Data[[#This Row],[Profit]]/Clean_Data[[#This Row],[Revenue ]]</f>
        <v>0.10465116279069768</v>
      </c>
      <c r="Q763" t="str">
        <f>"Q"&amp;ROUNDUP(MONTH(Clean_Data[[#This Row],[OrderDate]])/3,0)</f>
        <v>Q4</v>
      </c>
      <c r="R763" t="str">
        <f>TEXT(Clean_Data[[#This Row],[OrderDate]], "dddd")</f>
        <v>Monday</v>
      </c>
    </row>
    <row r="764" spans="1:18" x14ac:dyDescent="0.25">
      <c r="A764" t="s">
        <v>528</v>
      </c>
      <c r="B764" s="4">
        <v>85</v>
      </c>
      <c r="C764" s="4">
        <v>-9</v>
      </c>
      <c r="D764" s="3">
        <v>4</v>
      </c>
      <c r="E764" t="s">
        <v>895</v>
      </c>
      <c r="F764" t="s">
        <v>897</v>
      </c>
      <c r="G764" t="s">
        <v>887</v>
      </c>
      <c r="H764" s="6">
        <f>_xlfn.XLOOKUP(A764,Orders[OrderID],Orders[OrderDate])</f>
        <v>43349</v>
      </c>
      <c r="I764" t="str">
        <f>_xlfn.XLOOKUP(A764,Orders[OrderID],Orders[CustomerName])</f>
        <v>Shreya</v>
      </c>
      <c r="J764" t="str">
        <f>_xlfn.XLOOKUP(A764,Orders[OrderID],Orders[State])</f>
        <v xml:space="preserve">Kerala </v>
      </c>
      <c r="K764" t="str">
        <f>_xlfn.XLOOKUP(A764,Orders[OrderID],Orders[City])</f>
        <v>Thiruvananthapuram</v>
      </c>
      <c r="L764" s="3">
        <f>YEAR(Clean_Data[[#This Row],[OrderDate]])</f>
        <v>2018</v>
      </c>
      <c r="M764" s="3">
        <f>MONTH(Clean_Data[[#This Row],[OrderDate]])</f>
        <v>9</v>
      </c>
      <c r="N764" s="8" t="str">
        <f>TEXT(Clean_Data[[#This Row],[OrderDate]],"mmm")</f>
        <v>Sep</v>
      </c>
      <c r="O764" s="8" t="str">
        <f>TEXT(Clean_Data[[#This Row],[OrderDate]], "yyyy-mm")</f>
        <v>2018-09</v>
      </c>
      <c r="P764" s="7">
        <f>Clean_Data[[#This Row],[Profit]]/Clean_Data[[#This Row],[Revenue ]]</f>
        <v>-0.10588235294117647</v>
      </c>
      <c r="Q764" t="str">
        <f>"Q"&amp;ROUNDUP(MONTH(Clean_Data[[#This Row],[OrderDate]])/3,0)</f>
        <v>Q3</v>
      </c>
      <c r="R764" t="str">
        <f>TEXT(Clean_Data[[#This Row],[OrderDate]], "dddd")</f>
        <v>Thursday</v>
      </c>
    </row>
    <row r="765" spans="1:18" x14ac:dyDescent="0.25">
      <c r="A765" t="s">
        <v>661</v>
      </c>
      <c r="B765" s="4">
        <v>129</v>
      </c>
      <c r="C765" s="4">
        <v>-75</v>
      </c>
      <c r="D765" s="3">
        <v>5</v>
      </c>
      <c r="E765" t="s">
        <v>895</v>
      </c>
      <c r="F765" t="s">
        <v>909</v>
      </c>
      <c r="G765" t="s">
        <v>907</v>
      </c>
      <c r="H765" s="6">
        <f>_xlfn.XLOOKUP(A765,Orders[OrderID],Orders[OrderDate])</f>
        <v>43276</v>
      </c>
      <c r="I765" t="str">
        <f>_xlfn.XLOOKUP(A765,Orders[OrderID],Orders[CustomerName])</f>
        <v>Shubhi</v>
      </c>
      <c r="J765" t="str">
        <f>_xlfn.XLOOKUP(A765,Orders[OrderID],Orders[State])</f>
        <v>Maharashtra</v>
      </c>
      <c r="K765" t="str">
        <f>_xlfn.XLOOKUP(A765,Orders[OrderID],Orders[City])</f>
        <v>Mumbai</v>
      </c>
      <c r="L765" s="3">
        <f>YEAR(Clean_Data[[#This Row],[OrderDate]])</f>
        <v>2018</v>
      </c>
      <c r="M765" s="3">
        <f>MONTH(Clean_Data[[#This Row],[OrderDate]])</f>
        <v>6</v>
      </c>
      <c r="N765" s="8" t="str">
        <f>TEXT(Clean_Data[[#This Row],[OrderDate]],"mmm")</f>
        <v>Jun</v>
      </c>
      <c r="O765" s="8" t="str">
        <f>TEXT(Clean_Data[[#This Row],[OrderDate]], "yyyy-mm")</f>
        <v>2018-06</v>
      </c>
      <c r="P765" s="7">
        <f>Clean_Data[[#This Row],[Profit]]/Clean_Data[[#This Row],[Revenue ]]</f>
        <v>-0.58139534883720934</v>
      </c>
      <c r="Q765" t="str">
        <f>"Q"&amp;ROUNDUP(MONTH(Clean_Data[[#This Row],[OrderDate]])/3,0)</f>
        <v>Q2</v>
      </c>
      <c r="R765" t="str">
        <f>TEXT(Clean_Data[[#This Row],[OrderDate]], "dddd")</f>
        <v>Monday</v>
      </c>
    </row>
    <row r="766" spans="1:18" x14ac:dyDescent="0.25">
      <c r="A766" t="s">
        <v>591</v>
      </c>
      <c r="B766" s="4">
        <v>84</v>
      </c>
      <c r="C766" s="4">
        <v>-42</v>
      </c>
      <c r="D766" s="3">
        <v>2</v>
      </c>
      <c r="E766" t="s">
        <v>885</v>
      </c>
      <c r="F766" t="s">
        <v>905</v>
      </c>
      <c r="G766" t="s">
        <v>887</v>
      </c>
      <c r="H766" s="6">
        <f>_xlfn.XLOOKUP(A766,Orders[OrderID],Orders[OrderDate])</f>
        <v>43459</v>
      </c>
      <c r="I766" t="str">
        <f>_xlfn.XLOOKUP(A766,Orders[OrderID],Orders[CustomerName])</f>
        <v>Sandra</v>
      </c>
      <c r="J766" t="str">
        <f>_xlfn.XLOOKUP(A766,Orders[OrderID],Orders[State])</f>
        <v>Punjab</v>
      </c>
      <c r="K766" t="str">
        <f>_xlfn.XLOOKUP(A766,Orders[OrderID],Orders[City])</f>
        <v>Amritsar</v>
      </c>
      <c r="L766" s="3">
        <f>YEAR(Clean_Data[[#This Row],[OrderDate]])</f>
        <v>2018</v>
      </c>
      <c r="M766" s="3">
        <f>MONTH(Clean_Data[[#This Row],[OrderDate]])</f>
        <v>12</v>
      </c>
      <c r="N766" s="8" t="str">
        <f>TEXT(Clean_Data[[#This Row],[OrderDate]],"mmm")</f>
        <v>Dec</v>
      </c>
      <c r="O766" s="8" t="str">
        <f>TEXT(Clean_Data[[#This Row],[OrderDate]], "yyyy-mm")</f>
        <v>2018-12</v>
      </c>
      <c r="P766" s="7">
        <f>Clean_Data[[#This Row],[Profit]]/Clean_Data[[#This Row],[Revenue ]]</f>
        <v>-0.5</v>
      </c>
      <c r="Q766" t="str">
        <f>"Q"&amp;ROUNDUP(MONTH(Clean_Data[[#This Row],[OrderDate]])/3,0)</f>
        <v>Q4</v>
      </c>
      <c r="R766" t="str">
        <f>TEXT(Clean_Data[[#This Row],[OrderDate]], "dddd")</f>
        <v>Tuesday</v>
      </c>
    </row>
    <row r="767" spans="1:18" x14ac:dyDescent="0.25">
      <c r="A767" t="s">
        <v>181</v>
      </c>
      <c r="B767" s="4">
        <v>83</v>
      </c>
      <c r="C767" s="4">
        <v>-81</v>
      </c>
      <c r="D767" s="3">
        <v>3</v>
      </c>
      <c r="E767" t="s">
        <v>888</v>
      </c>
      <c r="F767" t="s">
        <v>889</v>
      </c>
      <c r="G767" t="s">
        <v>887</v>
      </c>
      <c r="H767" s="6">
        <f>_xlfn.XLOOKUP(A767,Orders[OrderID],Orders[OrderDate])</f>
        <v>43303</v>
      </c>
      <c r="I767" t="str">
        <f>_xlfn.XLOOKUP(A767,Orders[OrderID],Orders[CustomerName])</f>
        <v>Rishabh</v>
      </c>
      <c r="J767" t="str">
        <f>_xlfn.XLOOKUP(A767,Orders[OrderID],Orders[State])</f>
        <v>Rajasthan</v>
      </c>
      <c r="K767" t="str">
        <f>_xlfn.XLOOKUP(A767,Orders[OrderID],Orders[City])</f>
        <v>Jaipur</v>
      </c>
      <c r="L767" s="3">
        <f>YEAR(Clean_Data[[#This Row],[OrderDate]])</f>
        <v>2018</v>
      </c>
      <c r="M767" s="3">
        <f>MONTH(Clean_Data[[#This Row],[OrderDate]])</f>
        <v>7</v>
      </c>
      <c r="N767" s="8" t="str">
        <f>TEXT(Clean_Data[[#This Row],[OrderDate]],"mmm")</f>
        <v>Jul</v>
      </c>
      <c r="O767" s="8" t="str">
        <f>TEXT(Clean_Data[[#This Row],[OrderDate]], "yyyy-mm")</f>
        <v>2018-07</v>
      </c>
      <c r="P767" s="7">
        <f>Clean_Data[[#This Row],[Profit]]/Clean_Data[[#This Row],[Revenue ]]</f>
        <v>-0.97590361445783136</v>
      </c>
      <c r="Q767" t="str">
        <f>"Q"&amp;ROUNDUP(MONTH(Clean_Data[[#This Row],[OrderDate]])/3,0)</f>
        <v>Q3</v>
      </c>
      <c r="R767" t="str">
        <f>TEXT(Clean_Data[[#This Row],[OrderDate]], "dddd")</f>
        <v>Sunday</v>
      </c>
    </row>
    <row r="768" spans="1:18" x14ac:dyDescent="0.25">
      <c r="A768" t="s">
        <v>638</v>
      </c>
      <c r="B768" s="4">
        <v>143</v>
      </c>
      <c r="C768" s="4">
        <v>6</v>
      </c>
      <c r="D768" s="3">
        <v>2</v>
      </c>
      <c r="E768" t="s">
        <v>885</v>
      </c>
      <c r="F768" t="s">
        <v>905</v>
      </c>
      <c r="G768" t="s">
        <v>898</v>
      </c>
      <c r="H768" s="6">
        <f>_xlfn.XLOOKUP(A768,Orders[OrderID],Orders[OrderDate])</f>
        <v>43183</v>
      </c>
      <c r="I768" t="str">
        <f>_xlfn.XLOOKUP(A768,Orders[OrderID],Orders[CustomerName])</f>
        <v>Yogesh</v>
      </c>
      <c r="J768" t="str">
        <f>_xlfn.XLOOKUP(A768,Orders[OrderID],Orders[State])</f>
        <v>Bihar</v>
      </c>
      <c r="K768" t="str">
        <f>_xlfn.XLOOKUP(A768,Orders[OrderID],Orders[City])</f>
        <v>Patna</v>
      </c>
      <c r="L768" s="3">
        <f>YEAR(Clean_Data[[#This Row],[OrderDate]])</f>
        <v>2018</v>
      </c>
      <c r="M768" s="3">
        <f>MONTH(Clean_Data[[#This Row],[OrderDate]])</f>
        <v>3</v>
      </c>
      <c r="N768" s="8" t="str">
        <f>TEXT(Clean_Data[[#This Row],[OrderDate]],"mmm")</f>
        <v>Mar</v>
      </c>
      <c r="O768" s="8" t="str">
        <f>TEXT(Clean_Data[[#This Row],[OrderDate]], "yyyy-mm")</f>
        <v>2018-03</v>
      </c>
      <c r="P768" s="7">
        <f>Clean_Data[[#This Row],[Profit]]/Clean_Data[[#This Row],[Revenue ]]</f>
        <v>4.195804195804196E-2</v>
      </c>
      <c r="Q768" t="str">
        <f>"Q"&amp;ROUNDUP(MONTH(Clean_Data[[#This Row],[OrderDate]])/3,0)</f>
        <v>Q1</v>
      </c>
      <c r="R768" t="str">
        <f>TEXT(Clean_Data[[#This Row],[OrderDate]], "dddd")</f>
        <v>Saturday</v>
      </c>
    </row>
    <row r="769" spans="1:18" x14ac:dyDescent="0.25">
      <c r="A769" t="s">
        <v>468</v>
      </c>
      <c r="B769" s="4">
        <v>336</v>
      </c>
      <c r="C769" s="4">
        <v>123</v>
      </c>
      <c r="D769" s="3">
        <v>3</v>
      </c>
      <c r="E769" t="s">
        <v>885</v>
      </c>
      <c r="F769" t="s">
        <v>894</v>
      </c>
      <c r="G769" t="s">
        <v>898</v>
      </c>
      <c r="H769" s="6">
        <f>_xlfn.XLOOKUP(A769,Orders[OrderID],Orders[OrderDate])</f>
        <v>43408</v>
      </c>
      <c r="I769" t="str">
        <f>_xlfn.XLOOKUP(A769,Orders[OrderID],Orders[CustomerName])</f>
        <v>K</v>
      </c>
      <c r="J769" t="str">
        <f>_xlfn.XLOOKUP(A769,Orders[OrderID],Orders[State])</f>
        <v>Sikkim</v>
      </c>
      <c r="K769" t="str">
        <f>_xlfn.XLOOKUP(A769,Orders[OrderID],Orders[City])</f>
        <v>Gangtok</v>
      </c>
      <c r="L769" s="3">
        <f>YEAR(Clean_Data[[#This Row],[OrderDate]])</f>
        <v>2018</v>
      </c>
      <c r="M769" s="3">
        <f>MONTH(Clean_Data[[#This Row],[OrderDate]])</f>
        <v>11</v>
      </c>
      <c r="N769" s="8" t="str">
        <f>TEXT(Clean_Data[[#This Row],[OrderDate]],"mmm")</f>
        <v>Nov</v>
      </c>
      <c r="O769" s="8" t="str">
        <f>TEXT(Clean_Data[[#This Row],[OrderDate]], "yyyy-mm")</f>
        <v>2018-11</v>
      </c>
      <c r="P769" s="7">
        <f>Clean_Data[[#This Row],[Profit]]/Clean_Data[[#This Row],[Revenue ]]</f>
        <v>0.36607142857142855</v>
      </c>
      <c r="Q769" t="str">
        <f>"Q"&amp;ROUNDUP(MONTH(Clean_Data[[#This Row],[OrderDate]])/3,0)</f>
        <v>Q4</v>
      </c>
      <c r="R769" t="str">
        <f>TEXT(Clean_Data[[#This Row],[OrderDate]], "dddd")</f>
        <v>Sunday</v>
      </c>
    </row>
    <row r="770" spans="1:18" x14ac:dyDescent="0.25">
      <c r="A770" t="s">
        <v>87</v>
      </c>
      <c r="B770" s="4">
        <v>323</v>
      </c>
      <c r="C770" s="4">
        <v>122</v>
      </c>
      <c r="D770" s="3">
        <v>5</v>
      </c>
      <c r="E770" t="s">
        <v>885</v>
      </c>
      <c r="F770" t="s">
        <v>894</v>
      </c>
      <c r="G770" t="s">
        <v>898</v>
      </c>
      <c r="H770" s="6">
        <f>_xlfn.XLOOKUP(A770,Orders[OrderID],Orders[OrderDate])</f>
        <v>43447</v>
      </c>
      <c r="I770" t="str">
        <f>_xlfn.XLOOKUP(A770,Orders[OrderID],Orders[CustomerName])</f>
        <v>Sujay</v>
      </c>
      <c r="J770" t="str">
        <f>_xlfn.XLOOKUP(A770,Orders[OrderID],Orders[State])</f>
        <v>Maharashtra</v>
      </c>
      <c r="K770" t="str">
        <f>_xlfn.XLOOKUP(A770,Orders[OrderID],Orders[City])</f>
        <v>Pune</v>
      </c>
      <c r="L770" s="3">
        <f>YEAR(Clean_Data[[#This Row],[OrderDate]])</f>
        <v>2018</v>
      </c>
      <c r="M770" s="3">
        <f>MONTH(Clean_Data[[#This Row],[OrderDate]])</f>
        <v>12</v>
      </c>
      <c r="N770" s="8" t="str">
        <f>TEXT(Clean_Data[[#This Row],[OrderDate]],"mmm")</f>
        <v>Dec</v>
      </c>
      <c r="O770" s="8" t="str">
        <f>TEXT(Clean_Data[[#This Row],[OrderDate]], "yyyy-mm")</f>
        <v>2018-12</v>
      </c>
      <c r="P770" s="7">
        <f>Clean_Data[[#This Row],[Profit]]/Clean_Data[[#This Row],[Revenue ]]</f>
        <v>0.37770897832817335</v>
      </c>
      <c r="Q770" t="str">
        <f>"Q"&amp;ROUNDUP(MONTH(Clean_Data[[#This Row],[OrderDate]])/3,0)</f>
        <v>Q4</v>
      </c>
      <c r="R770" t="str">
        <f>TEXT(Clean_Data[[#This Row],[OrderDate]], "dddd")</f>
        <v>Thursday</v>
      </c>
    </row>
    <row r="771" spans="1:18" x14ac:dyDescent="0.25">
      <c r="A771" t="s">
        <v>660</v>
      </c>
      <c r="B771" s="4">
        <v>130</v>
      </c>
      <c r="C771" s="4">
        <v>61</v>
      </c>
      <c r="D771" s="3">
        <v>3</v>
      </c>
      <c r="E771" t="s">
        <v>895</v>
      </c>
      <c r="F771" t="s">
        <v>909</v>
      </c>
      <c r="G771" t="s">
        <v>907</v>
      </c>
      <c r="H771" s="6">
        <f>_xlfn.XLOOKUP(A771,Orders[OrderID],Orders[OrderDate])</f>
        <v>43155</v>
      </c>
      <c r="I771" t="str">
        <f>_xlfn.XLOOKUP(A771,Orders[OrderID],Orders[CustomerName])</f>
        <v>Pooja</v>
      </c>
      <c r="J771" t="str">
        <f>_xlfn.XLOOKUP(A771,Orders[OrderID],Orders[State])</f>
        <v>Bihar</v>
      </c>
      <c r="K771" t="str">
        <f>_xlfn.XLOOKUP(A771,Orders[OrderID],Orders[City])</f>
        <v>Patna</v>
      </c>
      <c r="L771" s="3">
        <f>YEAR(Clean_Data[[#This Row],[OrderDate]])</f>
        <v>2018</v>
      </c>
      <c r="M771" s="3">
        <f>MONTH(Clean_Data[[#This Row],[OrderDate]])</f>
        <v>2</v>
      </c>
      <c r="N771" s="8" t="str">
        <f>TEXT(Clean_Data[[#This Row],[OrderDate]],"mmm")</f>
        <v>Feb</v>
      </c>
      <c r="O771" s="8" t="str">
        <f>TEXT(Clean_Data[[#This Row],[OrderDate]], "yyyy-mm")</f>
        <v>2018-02</v>
      </c>
      <c r="P771" s="7">
        <f>Clean_Data[[#This Row],[Profit]]/Clean_Data[[#This Row],[Revenue ]]</f>
        <v>0.46923076923076923</v>
      </c>
      <c r="Q771" t="str">
        <f>"Q"&amp;ROUNDUP(MONTH(Clean_Data[[#This Row],[OrderDate]])/3,0)</f>
        <v>Q1</v>
      </c>
      <c r="R771" t="str">
        <f>TEXT(Clean_Data[[#This Row],[OrderDate]], "dddd")</f>
        <v>Saturday</v>
      </c>
    </row>
    <row r="772" spans="1:18" x14ac:dyDescent="0.25">
      <c r="A772" t="s">
        <v>269</v>
      </c>
      <c r="B772" s="4">
        <v>152</v>
      </c>
      <c r="C772" s="4">
        <v>-3</v>
      </c>
      <c r="D772" s="3">
        <v>5</v>
      </c>
      <c r="E772" t="s">
        <v>895</v>
      </c>
      <c r="F772" t="s">
        <v>897</v>
      </c>
      <c r="G772" t="s">
        <v>887</v>
      </c>
      <c r="H772" s="6">
        <f>_xlfn.XLOOKUP(A772,Orders[OrderID],Orders[OrderDate])</f>
        <v>43136</v>
      </c>
      <c r="I772" t="str">
        <f>_xlfn.XLOOKUP(A772,Orders[OrderID],Orders[CustomerName])</f>
        <v>Diwakar</v>
      </c>
      <c r="J772" t="str">
        <f>_xlfn.XLOOKUP(A772,Orders[OrderID],Orders[State])</f>
        <v>Delhi</v>
      </c>
      <c r="K772" t="str">
        <f>_xlfn.XLOOKUP(A772,Orders[OrderID],Orders[City])</f>
        <v>Delhi</v>
      </c>
      <c r="L772" s="3">
        <f>YEAR(Clean_Data[[#This Row],[OrderDate]])</f>
        <v>2018</v>
      </c>
      <c r="M772" s="3">
        <f>MONTH(Clean_Data[[#This Row],[OrderDate]])</f>
        <v>2</v>
      </c>
      <c r="N772" s="8" t="str">
        <f>TEXT(Clean_Data[[#This Row],[OrderDate]],"mmm")</f>
        <v>Feb</v>
      </c>
      <c r="O772" s="8" t="str">
        <f>TEXT(Clean_Data[[#This Row],[OrderDate]], "yyyy-mm")</f>
        <v>2018-02</v>
      </c>
      <c r="P772" s="7">
        <f>Clean_Data[[#This Row],[Profit]]/Clean_Data[[#This Row],[Revenue ]]</f>
        <v>-1.9736842105263157E-2</v>
      </c>
      <c r="Q772" t="str">
        <f>"Q"&amp;ROUNDUP(MONTH(Clean_Data[[#This Row],[OrderDate]])/3,0)</f>
        <v>Q1</v>
      </c>
      <c r="R772" t="str">
        <f>TEXT(Clean_Data[[#This Row],[OrderDate]], "dddd")</f>
        <v>Monday</v>
      </c>
    </row>
    <row r="773" spans="1:18" x14ac:dyDescent="0.25">
      <c r="A773" t="s">
        <v>673</v>
      </c>
      <c r="B773" s="4">
        <v>25</v>
      </c>
      <c r="C773" s="4">
        <v>10</v>
      </c>
      <c r="D773" s="3">
        <v>1</v>
      </c>
      <c r="E773" t="s">
        <v>888</v>
      </c>
      <c r="F773" t="s">
        <v>908</v>
      </c>
      <c r="G773" t="s">
        <v>898</v>
      </c>
      <c r="H773" s="6">
        <f>_xlfn.XLOOKUP(A773,Orders[OrderID],Orders[OrderDate])</f>
        <v>43101</v>
      </c>
      <c r="I773" t="str">
        <f>_xlfn.XLOOKUP(A773,Orders[OrderID],Orders[CustomerName])</f>
        <v>Smriti</v>
      </c>
      <c r="J773" t="str">
        <f>_xlfn.XLOOKUP(A773,Orders[OrderID],Orders[State])</f>
        <v>Bihar</v>
      </c>
      <c r="K773" t="str">
        <f>_xlfn.XLOOKUP(A773,Orders[OrderID],Orders[City])</f>
        <v>Patna</v>
      </c>
      <c r="L773" s="3">
        <f>YEAR(Clean_Data[[#This Row],[OrderDate]])</f>
        <v>2018</v>
      </c>
      <c r="M773" s="3">
        <f>MONTH(Clean_Data[[#This Row],[OrderDate]])</f>
        <v>1</v>
      </c>
      <c r="N773" s="8" t="str">
        <f>TEXT(Clean_Data[[#This Row],[OrderDate]],"mmm")</f>
        <v>Jan</v>
      </c>
      <c r="O773" s="8" t="str">
        <f>TEXT(Clean_Data[[#This Row],[OrderDate]], "yyyy-mm")</f>
        <v>2018-01</v>
      </c>
      <c r="P773" s="7">
        <f>Clean_Data[[#This Row],[Profit]]/Clean_Data[[#This Row],[Revenue ]]</f>
        <v>0.4</v>
      </c>
      <c r="Q773" t="str">
        <f>"Q"&amp;ROUNDUP(MONTH(Clean_Data[[#This Row],[OrderDate]])/3,0)</f>
        <v>Q1</v>
      </c>
      <c r="R773" t="str">
        <f>TEXT(Clean_Data[[#This Row],[OrderDate]], "dddd")</f>
        <v>Monday</v>
      </c>
    </row>
    <row r="774" spans="1:18" x14ac:dyDescent="0.25">
      <c r="A774" t="s">
        <v>288</v>
      </c>
      <c r="B774" s="4">
        <v>140</v>
      </c>
      <c r="C774" s="4">
        <v>15</v>
      </c>
      <c r="D774" s="3">
        <v>5</v>
      </c>
      <c r="E774" t="s">
        <v>895</v>
      </c>
      <c r="F774" t="s">
        <v>903</v>
      </c>
      <c r="G774" t="s">
        <v>898</v>
      </c>
      <c r="H774" s="6">
        <f>_xlfn.XLOOKUP(A774,Orders[OrderID],Orders[OrderDate])</f>
        <v>43428</v>
      </c>
      <c r="I774" t="str">
        <f>_xlfn.XLOOKUP(A774,Orders[OrderID],Orders[CustomerName])</f>
        <v>Mrinal</v>
      </c>
      <c r="J774" t="str">
        <f>_xlfn.XLOOKUP(A774,Orders[OrderID],Orders[State])</f>
        <v>Maharashtra</v>
      </c>
      <c r="K774" t="str">
        <f>_xlfn.XLOOKUP(A774,Orders[OrderID],Orders[City])</f>
        <v>Mumbai</v>
      </c>
      <c r="L774" s="3">
        <f>YEAR(Clean_Data[[#This Row],[OrderDate]])</f>
        <v>2018</v>
      </c>
      <c r="M774" s="3">
        <f>MONTH(Clean_Data[[#This Row],[OrderDate]])</f>
        <v>11</v>
      </c>
      <c r="N774" s="8" t="str">
        <f>TEXT(Clean_Data[[#This Row],[OrderDate]],"mmm")</f>
        <v>Nov</v>
      </c>
      <c r="O774" s="8" t="str">
        <f>TEXT(Clean_Data[[#This Row],[OrderDate]], "yyyy-mm")</f>
        <v>2018-11</v>
      </c>
      <c r="P774" s="7">
        <f>Clean_Data[[#This Row],[Profit]]/Clean_Data[[#This Row],[Revenue ]]</f>
        <v>0.10714285714285714</v>
      </c>
      <c r="Q774" t="str">
        <f>"Q"&amp;ROUNDUP(MONTH(Clean_Data[[#This Row],[OrderDate]])/3,0)</f>
        <v>Q4</v>
      </c>
      <c r="R774" t="str">
        <f>TEXT(Clean_Data[[#This Row],[OrderDate]], "dddd")</f>
        <v>Saturday</v>
      </c>
    </row>
    <row r="775" spans="1:18" x14ac:dyDescent="0.25">
      <c r="A775" t="s">
        <v>524</v>
      </c>
      <c r="B775" s="4">
        <v>45</v>
      </c>
      <c r="C775" s="4">
        <v>0</v>
      </c>
      <c r="D775" s="3">
        <v>2</v>
      </c>
      <c r="E775" t="s">
        <v>895</v>
      </c>
      <c r="F775" t="s">
        <v>903</v>
      </c>
      <c r="G775" t="s">
        <v>898</v>
      </c>
      <c r="H775" s="6">
        <f>_xlfn.XLOOKUP(A775,Orders[OrderID],Orders[OrderDate])</f>
        <v>43407</v>
      </c>
      <c r="I775" t="str">
        <f>_xlfn.XLOOKUP(A775,Orders[OrderID],Orders[CustomerName])</f>
        <v>Mrunal</v>
      </c>
      <c r="J775" t="str">
        <f>_xlfn.XLOOKUP(A775,Orders[OrderID],Orders[State])</f>
        <v>Maharashtra</v>
      </c>
      <c r="K775" t="str">
        <f>_xlfn.XLOOKUP(A775,Orders[OrderID],Orders[City])</f>
        <v>Mumbai</v>
      </c>
      <c r="L775" s="3">
        <f>YEAR(Clean_Data[[#This Row],[OrderDate]])</f>
        <v>2018</v>
      </c>
      <c r="M775" s="3">
        <f>MONTH(Clean_Data[[#This Row],[OrderDate]])</f>
        <v>11</v>
      </c>
      <c r="N775" s="8" t="str">
        <f>TEXT(Clean_Data[[#This Row],[OrderDate]],"mmm")</f>
        <v>Nov</v>
      </c>
      <c r="O775" s="8" t="str">
        <f>TEXT(Clean_Data[[#This Row],[OrderDate]], "yyyy-mm")</f>
        <v>2018-11</v>
      </c>
      <c r="P775" s="7">
        <f>Clean_Data[[#This Row],[Profit]]/Clean_Data[[#This Row],[Revenue ]]</f>
        <v>0</v>
      </c>
      <c r="Q775" t="str">
        <f>"Q"&amp;ROUNDUP(MONTH(Clean_Data[[#This Row],[OrderDate]])/3,0)</f>
        <v>Q4</v>
      </c>
      <c r="R775" t="str">
        <f>TEXT(Clean_Data[[#This Row],[OrderDate]], "dddd")</f>
        <v>Saturday</v>
      </c>
    </row>
    <row r="776" spans="1:18" x14ac:dyDescent="0.25">
      <c r="A776" t="s">
        <v>309</v>
      </c>
      <c r="B776" s="4">
        <v>132</v>
      </c>
      <c r="C776" s="4">
        <v>49</v>
      </c>
      <c r="D776" s="3">
        <v>3</v>
      </c>
      <c r="E776" t="s">
        <v>895</v>
      </c>
      <c r="F776" t="s">
        <v>909</v>
      </c>
      <c r="G776" t="s">
        <v>887</v>
      </c>
      <c r="H776" s="6">
        <f>_xlfn.XLOOKUP(A776,Orders[OrderID],Orders[OrderDate])</f>
        <v>43118</v>
      </c>
      <c r="I776" t="str">
        <f>_xlfn.XLOOKUP(A776,Orders[OrderID],Orders[CustomerName])</f>
        <v>Muskan</v>
      </c>
      <c r="J776" t="str">
        <f>_xlfn.XLOOKUP(A776,Orders[OrderID],Orders[State])</f>
        <v>Madhya Pradesh</v>
      </c>
      <c r="K776" t="str">
        <f>_xlfn.XLOOKUP(A776,Orders[OrderID],Orders[City])</f>
        <v>Indore</v>
      </c>
      <c r="L776" s="3">
        <f>YEAR(Clean_Data[[#This Row],[OrderDate]])</f>
        <v>2018</v>
      </c>
      <c r="M776" s="3">
        <f>MONTH(Clean_Data[[#This Row],[OrderDate]])</f>
        <v>1</v>
      </c>
      <c r="N776" s="8" t="str">
        <f>TEXT(Clean_Data[[#This Row],[OrderDate]],"mmm")</f>
        <v>Jan</v>
      </c>
      <c r="O776" s="8" t="str">
        <f>TEXT(Clean_Data[[#This Row],[OrderDate]], "yyyy-mm")</f>
        <v>2018-01</v>
      </c>
      <c r="P776" s="7">
        <f>Clean_Data[[#This Row],[Profit]]/Clean_Data[[#This Row],[Revenue ]]</f>
        <v>0.37121212121212122</v>
      </c>
      <c r="Q776" t="str">
        <f>"Q"&amp;ROUNDUP(MONTH(Clean_Data[[#This Row],[OrderDate]])/3,0)</f>
        <v>Q1</v>
      </c>
      <c r="R776" t="str">
        <f>TEXT(Clean_Data[[#This Row],[OrderDate]], "dddd")</f>
        <v>Thursday</v>
      </c>
    </row>
    <row r="777" spans="1:18" x14ac:dyDescent="0.25">
      <c r="A777" t="s">
        <v>641</v>
      </c>
      <c r="B777" s="4">
        <v>133</v>
      </c>
      <c r="C777" s="4">
        <v>12</v>
      </c>
      <c r="D777" s="3">
        <v>5</v>
      </c>
      <c r="E777" t="s">
        <v>895</v>
      </c>
      <c r="F777" t="s">
        <v>903</v>
      </c>
      <c r="G777" t="s">
        <v>907</v>
      </c>
      <c r="H777" s="6">
        <f>_xlfn.XLOOKUP(A777,Orders[OrderID],Orders[OrderDate])</f>
        <v>43214</v>
      </c>
      <c r="I777" t="str">
        <f>_xlfn.XLOOKUP(A777,Orders[OrderID],Orders[CustomerName])</f>
        <v>Sahil</v>
      </c>
      <c r="J777" t="str">
        <f>_xlfn.XLOOKUP(A777,Orders[OrderID],Orders[State])</f>
        <v>Punjab</v>
      </c>
      <c r="K777" t="str">
        <f>_xlfn.XLOOKUP(A777,Orders[OrderID],Orders[City])</f>
        <v>Chandigarh</v>
      </c>
      <c r="L777" s="3">
        <f>YEAR(Clean_Data[[#This Row],[OrderDate]])</f>
        <v>2018</v>
      </c>
      <c r="M777" s="3">
        <f>MONTH(Clean_Data[[#This Row],[OrderDate]])</f>
        <v>4</v>
      </c>
      <c r="N777" s="8" t="str">
        <f>TEXT(Clean_Data[[#This Row],[OrderDate]],"mmm")</f>
        <v>Apr</v>
      </c>
      <c r="O777" s="8" t="str">
        <f>TEXT(Clean_Data[[#This Row],[OrderDate]], "yyyy-mm")</f>
        <v>2018-04</v>
      </c>
      <c r="P777" s="7">
        <f>Clean_Data[[#This Row],[Profit]]/Clean_Data[[#This Row],[Revenue ]]</f>
        <v>9.0225563909774431E-2</v>
      </c>
      <c r="Q777" t="str">
        <f>"Q"&amp;ROUNDUP(MONTH(Clean_Data[[#This Row],[OrderDate]])/3,0)</f>
        <v>Q2</v>
      </c>
      <c r="R777" t="str">
        <f>TEXT(Clean_Data[[#This Row],[OrderDate]], "dddd")</f>
        <v>Tuesday</v>
      </c>
    </row>
    <row r="778" spans="1:18" x14ac:dyDescent="0.25">
      <c r="A778" t="s">
        <v>34</v>
      </c>
      <c r="B778" s="4">
        <v>82</v>
      </c>
      <c r="C778" s="4">
        <v>13</v>
      </c>
      <c r="D778" s="3">
        <v>2</v>
      </c>
      <c r="E778" t="s">
        <v>895</v>
      </c>
      <c r="F778" t="s">
        <v>909</v>
      </c>
      <c r="G778" t="s">
        <v>887</v>
      </c>
      <c r="H778" s="6">
        <f>_xlfn.XLOOKUP(A778,Orders[OrderID],Orders[OrderDate])</f>
        <v>43417</v>
      </c>
      <c r="I778" t="str">
        <f>_xlfn.XLOOKUP(A778,Orders[OrderID],Orders[CustomerName])</f>
        <v>Uudhav</v>
      </c>
      <c r="J778" t="str">
        <f>_xlfn.XLOOKUP(A778,Orders[OrderID],Orders[State])</f>
        <v>Maharashtra</v>
      </c>
      <c r="K778" t="str">
        <f>_xlfn.XLOOKUP(A778,Orders[OrderID],Orders[City])</f>
        <v>Mumbai</v>
      </c>
      <c r="L778" s="3">
        <f>YEAR(Clean_Data[[#This Row],[OrderDate]])</f>
        <v>2018</v>
      </c>
      <c r="M778" s="3">
        <f>MONTH(Clean_Data[[#This Row],[OrderDate]])</f>
        <v>11</v>
      </c>
      <c r="N778" s="8" t="str">
        <f>TEXT(Clean_Data[[#This Row],[OrderDate]],"mmm")</f>
        <v>Nov</v>
      </c>
      <c r="O778" s="8" t="str">
        <f>TEXT(Clean_Data[[#This Row],[OrderDate]], "yyyy-mm")</f>
        <v>2018-11</v>
      </c>
      <c r="P778" s="7">
        <f>Clean_Data[[#This Row],[Profit]]/Clean_Data[[#This Row],[Revenue ]]</f>
        <v>0.15853658536585366</v>
      </c>
      <c r="Q778" t="str">
        <f>"Q"&amp;ROUNDUP(MONTH(Clean_Data[[#This Row],[OrderDate]])/3,0)</f>
        <v>Q4</v>
      </c>
      <c r="R778" t="str">
        <f>TEXT(Clean_Data[[#This Row],[OrderDate]], "dddd")</f>
        <v>Tuesday</v>
      </c>
    </row>
    <row r="779" spans="1:18" x14ac:dyDescent="0.25">
      <c r="A779" t="s">
        <v>413</v>
      </c>
      <c r="B779" s="4">
        <v>140</v>
      </c>
      <c r="C779" s="4">
        <v>56</v>
      </c>
      <c r="D779" s="3">
        <v>4</v>
      </c>
      <c r="E779" t="s">
        <v>895</v>
      </c>
      <c r="F779" t="s">
        <v>909</v>
      </c>
      <c r="G779" t="s">
        <v>898</v>
      </c>
      <c r="H779" s="6">
        <f>_xlfn.XLOOKUP(A779,Orders[OrderID],Orders[OrderDate])</f>
        <v>43187</v>
      </c>
      <c r="I779" t="str">
        <f>_xlfn.XLOOKUP(A779,Orders[OrderID],Orders[CustomerName])</f>
        <v>Atharv</v>
      </c>
      <c r="J779" t="str">
        <f>_xlfn.XLOOKUP(A779,Orders[OrderID],Orders[State])</f>
        <v>West Bengal</v>
      </c>
      <c r="K779" t="str">
        <f>_xlfn.XLOOKUP(A779,Orders[OrderID],Orders[City])</f>
        <v>Kolkata</v>
      </c>
      <c r="L779" s="3">
        <f>YEAR(Clean_Data[[#This Row],[OrderDate]])</f>
        <v>2018</v>
      </c>
      <c r="M779" s="3">
        <f>MONTH(Clean_Data[[#This Row],[OrderDate]])</f>
        <v>3</v>
      </c>
      <c r="N779" s="8" t="str">
        <f>TEXT(Clean_Data[[#This Row],[OrderDate]],"mmm")</f>
        <v>Mar</v>
      </c>
      <c r="O779" s="8" t="str">
        <f>TEXT(Clean_Data[[#This Row],[OrderDate]], "yyyy-mm")</f>
        <v>2018-03</v>
      </c>
      <c r="P779" s="7">
        <f>Clean_Data[[#This Row],[Profit]]/Clean_Data[[#This Row],[Revenue ]]</f>
        <v>0.4</v>
      </c>
      <c r="Q779" t="str">
        <f>"Q"&amp;ROUNDUP(MONTH(Clean_Data[[#This Row],[OrderDate]])/3,0)</f>
        <v>Q1</v>
      </c>
      <c r="R779" t="str">
        <f>TEXT(Clean_Data[[#This Row],[OrderDate]], "dddd")</f>
        <v>Wednesday</v>
      </c>
    </row>
    <row r="780" spans="1:18" x14ac:dyDescent="0.25">
      <c r="A780" t="s">
        <v>216</v>
      </c>
      <c r="B780" s="4">
        <v>81</v>
      </c>
      <c r="C780" s="4">
        <v>19</v>
      </c>
      <c r="D780" s="3">
        <v>7</v>
      </c>
      <c r="E780" t="s">
        <v>895</v>
      </c>
      <c r="F780" t="s">
        <v>899</v>
      </c>
      <c r="G780" t="s">
        <v>887</v>
      </c>
      <c r="H780" s="6">
        <f>_xlfn.XLOOKUP(A780,Orders[OrderID],Orders[OrderDate])</f>
        <v>43402</v>
      </c>
      <c r="I780" t="str">
        <f>_xlfn.XLOOKUP(A780,Orders[OrderID],Orders[CustomerName])</f>
        <v>Sanjana</v>
      </c>
      <c r="J780" t="str">
        <f>_xlfn.XLOOKUP(A780,Orders[OrderID],Orders[State])</f>
        <v>Madhya Pradesh</v>
      </c>
      <c r="K780" t="str">
        <f>_xlfn.XLOOKUP(A780,Orders[OrderID],Orders[City])</f>
        <v>Indore</v>
      </c>
      <c r="L780" s="3">
        <f>YEAR(Clean_Data[[#This Row],[OrderDate]])</f>
        <v>2018</v>
      </c>
      <c r="M780" s="3">
        <f>MONTH(Clean_Data[[#This Row],[OrderDate]])</f>
        <v>10</v>
      </c>
      <c r="N780" s="8" t="str">
        <f>TEXT(Clean_Data[[#This Row],[OrderDate]],"mmm")</f>
        <v>Oct</v>
      </c>
      <c r="O780" s="8" t="str">
        <f>TEXT(Clean_Data[[#This Row],[OrderDate]], "yyyy-mm")</f>
        <v>2018-10</v>
      </c>
      <c r="P780" s="7">
        <f>Clean_Data[[#This Row],[Profit]]/Clean_Data[[#This Row],[Revenue ]]</f>
        <v>0.23456790123456789</v>
      </c>
      <c r="Q780" t="str">
        <f>"Q"&amp;ROUNDUP(MONTH(Clean_Data[[#This Row],[OrderDate]])/3,0)</f>
        <v>Q4</v>
      </c>
      <c r="R780" t="str">
        <f>TEXT(Clean_Data[[#This Row],[OrderDate]], "dddd")</f>
        <v>Monday</v>
      </c>
    </row>
    <row r="781" spans="1:18" x14ac:dyDescent="0.25">
      <c r="A781" t="s">
        <v>108</v>
      </c>
      <c r="B781" s="4">
        <v>137</v>
      </c>
      <c r="C781" s="4">
        <v>38</v>
      </c>
      <c r="D781" s="3">
        <v>5</v>
      </c>
      <c r="E781" t="s">
        <v>895</v>
      </c>
      <c r="F781" t="s">
        <v>899</v>
      </c>
      <c r="G781" t="s">
        <v>907</v>
      </c>
      <c r="H781" s="6">
        <f>_xlfn.XLOOKUP(A781,Orders[OrderID],Orders[OrderDate])</f>
        <v>43109</v>
      </c>
      <c r="I781" t="str">
        <f>_xlfn.XLOOKUP(A781,Orders[OrderID],Orders[CustomerName])</f>
        <v>Shardul</v>
      </c>
      <c r="J781" t="str">
        <f>_xlfn.XLOOKUP(A781,Orders[OrderID],Orders[State])</f>
        <v>Gujarat</v>
      </c>
      <c r="K781" t="str">
        <f>_xlfn.XLOOKUP(A781,Orders[OrderID],Orders[City])</f>
        <v>Ahmedabad</v>
      </c>
      <c r="L781" s="3">
        <f>YEAR(Clean_Data[[#This Row],[OrderDate]])</f>
        <v>2018</v>
      </c>
      <c r="M781" s="3">
        <f>MONTH(Clean_Data[[#This Row],[OrderDate]])</f>
        <v>1</v>
      </c>
      <c r="N781" s="8" t="str">
        <f>TEXT(Clean_Data[[#This Row],[OrderDate]],"mmm")</f>
        <v>Jan</v>
      </c>
      <c r="O781" s="8" t="str">
        <f>TEXT(Clean_Data[[#This Row],[OrderDate]], "yyyy-mm")</f>
        <v>2018-01</v>
      </c>
      <c r="P781" s="7">
        <f>Clean_Data[[#This Row],[Profit]]/Clean_Data[[#This Row],[Revenue ]]</f>
        <v>0.27737226277372262</v>
      </c>
      <c r="Q781" t="str">
        <f>"Q"&amp;ROUNDUP(MONTH(Clean_Data[[#This Row],[OrderDate]])/3,0)</f>
        <v>Q1</v>
      </c>
      <c r="R781" t="str">
        <f>TEXT(Clean_Data[[#This Row],[OrderDate]], "dddd")</f>
        <v>Tuesday</v>
      </c>
    </row>
    <row r="782" spans="1:18" x14ac:dyDescent="0.25">
      <c r="A782" t="s">
        <v>651</v>
      </c>
      <c r="B782" s="4">
        <v>137</v>
      </c>
      <c r="C782" s="4">
        <v>-41</v>
      </c>
      <c r="D782" s="3">
        <v>3</v>
      </c>
      <c r="E782" t="s">
        <v>885</v>
      </c>
      <c r="F782" t="s">
        <v>894</v>
      </c>
      <c r="G782" t="s">
        <v>907</v>
      </c>
      <c r="H782" s="6">
        <f>_xlfn.XLOOKUP(A782,Orders[OrderID],Orders[OrderDate])</f>
        <v>43356</v>
      </c>
      <c r="I782" t="str">
        <f>_xlfn.XLOOKUP(A782,Orders[OrderID],Orders[CustomerName])</f>
        <v>Teena</v>
      </c>
      <c r="J782" t="str">
        <f>_xlfn.XLOOKUP(A782,Orders[OrderID],Orders[State])</f>
        <v>Andhra Pradesh</v>
      </c>
      <c r="K782" t="str">
        <f>_xlfn.XLOOKUP(A782,Orders[OrderID],Orders[City])</f>
        <v>Hyderabad</v>
      </c>
      <c r="L782" s="3">
        <f>YEAR(Clean_Data[[#This Row],[OrderDate]])</f>
        <v>2018</v>
      </c>
      <c r="M782" s="3">
        <f>MONTH(Clean_Data[[#This Row],[OrderDate]])</f>
        <v>9</v>
      </c>
      <c r="N782" s="8" t="str">
        <f>TEXT(Clean_Data[[#This Row],[OrderDate]],"mmm")</f>
        <v>Sep</v>
      </c>
      <c r="O782" s="8" t="str">
        <f>TEXT(Clean_Data[[#This Row],[OrderDate]], "yyyy-mm")</f>
        <v>2018-09</v>
      </c>
      <c r="P782" s="7">
        <f>Clean_Data[[#This Row],[Profit]]/Clean_Data[[#This Row],[Revenue ]]</f>
        <v>-0.29927007299270075</v>
      </c>
      <c r="Q782" t="str">
        <f>"Q"&amp;ROUNDUP(MONTH(Clean_Data[[#This Row],[OrderDate]])/3,0)</f>
        <v>Q3</v>
      </c>
      <c r="R782" t="str">
        <f>TEXT(Clean_Data[[#This Row],[OrderDate]], "dddd")</f>
        <v>Thursday</v>
      </c>
    </row>
    <row r="783" spans="1:18" x14ac:dyDescent="0.25">
      <c r="A783" t="s">
        <v>623</v>
      </c>
      <c r="B783" s="4">
        <v>140</v>
      </c>
      <c r="C783" s="4">
        <v>57</v>
      </c>
      <c r="D783" s="3">
        <v>2</v>
      </c>
      <c r="E783" t="s">
        <v>895</v>
      </c>
      <c r="F783" t="s">
        <v>896</v>
      </c>
      <c r="G783" t="s">
        <v>907</v>
      </c>
      <c r="H783" s="6">
        <f>_xlfn.XLOOKUP(A783,Orders[OrderID],Orders[OrderDate])</f>
        <v>43113</v>
      </c>
      <c r="I783" t="str">
        <f>_xlfn.XLOOKUP(A783,Orders[OrderID],Orders[CustomerName])</f>
        <v>Shantanu</v>
      </c>
      <c r="J783" t="str">
        <f>_xlfn.XLOOKUP(A783,Orders[OrderID],Orders[State])</f>
        <v>Maharashtra</v>
      </c>
      <c r="K783" t="str">
        <f>_xlfn.XLOOKUP(A783,Orders[OrderID],Orders[City])</f>
        <v>Mumbai</v>
      </c>
      <c r="L783" s="3">
        <f>YEAR(Clean_Data[[#This Row],[OrderDate]])</f>
        <v>2018</v>
      </c>
      <c r="M783" s="3">
        <f>MONTH(Clean_Data[[#This Row],[OrderDate]])</f>
        <v>1</v>
      </c>
      <c r="N783" s="8" t="str">
        <f>TEXT(Clean_Data[[#This Row],[OrderDate]],"mmm")</f>
        <v>Jan</v>
      </c>
      <c r="O783" s="8" t="str">
        <f>TEXT(Clean_Data[[#This Row],[OrderDate]], "yyyy-mm")</f>
        <v>2018-01</v>
      </c>
      <c r="P783" s="7">
        <f>Clean_Data[[#This Row],[Profit]]/Clean_Data[[#This Row],[Revenue ]]</f>
        <v>0.40714285714285714</v>
      </c>
      <c r="Q783" t="str">
        <f>"Q"&amp;ROUNDUP(MONTH(Clean_Data[[#This Row],[OrderDate]])/3,0)</f>
        <v>Q1</v>
      </c>
      <c r="R783" t="str">
        <f>TEXT(Clean_Data[[#This Row],[OrderDate]], "dddd")</f>
        <v>Saturday</v>
      </c>
    </row>
    <row r="784" spans="1:18" x14ac:dyDescent="0.25">
      <c r="A784" t="s">
        <v>649</v>
      </c>
      <c r="B784" s="4">
        <v>139</v>
      </c>
      <c r="C784" s="4">
        <v>30</v>
      </c>
      <c r="D784" s="3">
        <v>3</v>
      </c>
      <c r="E784" t="s">
        <v>895</v>
      </c>
      <c r="F784" t="s">
        <v>909</v>
      </c>
      <c r="G784" t="s">
        <v>898</v>
      </c>
      <c r="H784" s="6">
        <f>_xlfn.XLOOKUP(A784,Orders[OrderID],Orders[OrderDate])</f>
        <v>43438</v>
      </c>
      <c r="I784" t="str">
        <f>_xlfn.XLOOKUP(A784,Orders[OrderID],Orders[CustomerName])</f>
        <v>Aditi</v>
      </c>
      <c r="J784" t="str">
        <f>_xlfn.XLOOKUP(A784,Orders[OrderID],Orders[State])</f>
        <v>Rajasthan</v>
      </c>
      <c r="K784" t="str">
        <f>_xlfn.XLOOKUP(A784,Orders[OrderID],Orders[City])</f>
        <v>Udaipur</v>
      </c>
      <c r="L784" s="3">
        <f>YEAR(Clean_Data[[#This Row],[OrderDate]])</f>
        <v>2018</v>
      </c>
      <c r="M784" s="3">
        <f>MONTH(Clean_Data[[#This Row],[OrderDate]])</f>
        <v>12</v>
      </c>
      <c r="N784" s="8" t="str">
        <f>TEXT(Clean_Data[[#This Row],[OrderDate]],"mmm")</f>
        <v>Dec</v>
      </c>
      <c r="O784" s="8" t="str">
        <f>TEXT(Clean_Data[[#This Row],[OrderDate]], "yyyy-mm")</f>
        <v>2018-12</v>
      </c>
      <c r="P784" s="7">
        <f>Clean_Data[[#This Row],[Profit]]/Clean_Data[[#This Row],[Revenue ]]</f>
        <v>0.21582733812949639</v>
      </c>
      <c r="Q784" t="str">
        <f>"Q"&amp;ROUNDUP(MONTH(Clean_Data[[#This Row],[OrderDate]])/3,0)</f>
        <v>Q4</v>
      </c>
      <c r="R784" t="str">
        <f>TEXT(Clean_Data[[#This Row],[OrderDate]], "dddd")</f>
        <v>Tuesday</v>
      </c>
    </row>
    <row r="785" spans="1:18" x14ac:dyDescent="0.25">
      <c r="A785" t="s">
        <v>358</v>
      </c>
      <c r="B785" s="4">
        <v>138</v>
      </c>
      <c r="C785" s="4">
        <v>11</v>
      </c>
      <c r="D785" s="3">
        <v>5</v>
      </c>
      <c r="E785" t="s">
        <v>895</v>
      </c>
      <c r="F785" t="s">
        <v>903</v>
      </c>
      <c r="G785" t="s">
        <v>898</v>
      </c>
      <c r="H785" s="6">
        <f>_xlfn.XLOOKUP(A785,Orders[OrderID],Orders[OrderDate])</f>
        <v>43169</v>
      </c>
      <c r="I785" t="str">
        <f>_xlfn.XLOOKUP(A785,Orders[OrderID],Orders[CustomerName])</f>
        <v>Mayank</v>
      </c>
      <c r="J785" t="str">
        <f>_xlfn.XLOOKUP(A785,Orders[OrderID],Orders[State])</f>
        <v>Maharashtra</v>
      </c>
      <c r="K785" t="str">
        <f>_xlfn.XLOOKUP(A785,Orders[OrderID],Orders[City])</f>
        <v>Mumbai</v>
      </c>
      <c r="L785" s="3">
        <f>YEAR(Clean_Data[[#This Row],[OrderDate]])</f>
        <v>2018</v>
      </c>
      <c r="M785" s="3">
        <f>MONTH(Clean_Data[[#This Row],[OrderDate]])</f>
        <v>3</v>
      </c>
      <c r="N785" s="8" t="str">
        <f>TEXT(Clean_Data[[#This Row],[OrderDate]],"mmm")</f>
        <v>Mar</v>
      </c>
      <c r="O785" s="8" t="str">
        <f>TEXT(Clean_Data[[#This Row],[OrderDate]], "yyyy-mm")</f>
        <v>2018-03</v>
      </c>
      <c r="P785" s="7">
        <f>Clean_Data[[#This Row],[Profit]]/Clean_Data[[#This Row],[Revenue ]]</f>
        <v>7.9710144927536225E-2</v>
      </c>
      <c r="Q785" t="str">
        <f>"Q"&amp;ROUNDUP(MONTH(Clean_Data[[#This Row],[OrderDate]])/3,0)</f>
        <v>Q1</v>
      </c>
      <c r="R785" t="str">
        <f>TEXT(Clean_Data[[#This Row],[OrderDate]], "dddd")</f>
        <v>Saturday</v>
      </c>
    </row>
    <row r="786" spans="1:18" x14ac:dyDescent="0.25">
      <c r="A786" t="s">
        <v>745</v>
      </c>
      <c r="B786" s="4">
        <v>79</v>
      </c>
      <c r="C786" s="4">
        <v>-124</v>
      </c>
      <c r="D786" s="3">
        <v>9</v>
      </c>
      <c r="E786" t="s">
        <v>895</v>
      </c>
      <c r="F786" t="s">
        <v>901</v>
      </c>
      <c r="G786" t="s">
        <v>887</v>
      </c>
      <c r="H786" s="6">
        <f>_xlfn.XLOOKUP(A786,Orders[OrderID],Orders[OrderDate])</f>
        <v>43131</v>
      </c>
      <c r="I786" t="str">
        <f>_xlfn.XLOOKUP(A786,Orders[OrderID],Orders[CustomerName])</f>
        <v>Nirja</v>
      </c>
      <c r="J786" t="str">
        <f>_xlfn.XLOOKUP(A786,Orders[OrderID],Orders[State])</f>
        <v>Delhi</v>
      </c>
      <c r="K786" t="str">
        <f>_xlfn.XLOOKUP(A786,Orders[OrderID],Orders[City])</f>
        <v>Delhi</v>
      </c>
      <c r="L786" s="3">
        <f>YEAR(Clean_Data[[#This Row],[OrderDate]])</f>
        <v>2018</v>
      </c>
      <c r="M786" s="3">
        <f>MONTH(Clean_Data[[#This Row],[OrderDate]])</f>
        <v>1</v>
      </c>
      <c r="N786" s="8" t="str">
        <f>TEXT(Clean_Data[[#This Row],[OrderDate]],"mmm")</f>
        <v>Jan</v>
      </c>
      <c r="O786" s="8" t="str">
        <f>TEXT(Clean_Data[[#This Row],[OrderDate]], "yyyy-mm")</f>
        <v>2018-01</v>
      </c>
      <c r="P786" s="7">
        <f>Clean_Data[[#This Row],[Profit]]/Clean_Data[[#This Row],[Revenue ]]</f>
        <v>-1.5696202531645569</v>
      </c>
      <c r="Q786" t="str">
        <f>"Q"&amp;ROUNDUP(MONTH(Clean_Data[[#This Row],[OrderDate]])/3,0)</f>
        <v>Q1</v>
      </c>
      <c r="R786" t="str">
        <f>TEXT(Clean_Data[[#This Row],[OrderDate]], "dddd")</f>
        <v>Wednesday</v>
      </c>
    </row>
    <row r="787" spans="1:18" x14ac:dyDescent="0.25">
      <c r="A787" t="s">
        <v>403</v>
      </c>
      <c r="B787" s="4">
        <v>136</v>
      </c>
      <c r="C787" s="4">
        <v>41</v>
      </c>
      <c r="D787" s="3">
        <v>3</v>
      </c>
      <c r="E787" t="s">
        <v>885</v>
      </c>
      <c r="F787" t="s">
        <v>905</v>
      </c>
      <c r="G787" t="s">
        <v>898</v>
      </c>
      <c r="H787" s="6">
        <f>_xlfn.XLOOKUP(A787,Orders[OrderID],Orders[OrderDate])</f>
        <v>43105</v>
      </c>
      <c r="I787" t="str">
        <f>_xlfn.XLOOKUP(A787,Orders[OrderID],Orders[CustomerName])</f>
        <v>Vineet</v>
      </c>
      <c r="J787" t="str">
        <f>_xlfn.XLOOKUP(A787,Orders[OrderID],Orders[State])</f>
        <v>Sikkim</v>
      </c>
      <c r="K787" t="str">
        <f>_xlfn.XLOOKUP(A787,Orders[OrderID],Orders[City])</f>
        <v>Gangtok</v>
      </c>
      <c r="L787" s="3">
        <f>YEAR(Clean_Data[[#This Row],[OrderDate]])</f>
        <v>2018</v>
      </c>
      <c r="M787" s="3">
        <f>MONTH(Clean_Data[[#This Row],[OrderDate]])</f>
        <v>1</v>
      </c>
      <c r="N787" s="8" t="str">
        <f>TEXT(Clean_Data[[#This Row],[OrderDate]],"mmm")</f>
        <v>Jan</v>
      </c>
      <c r="O787" s="8" t="str">
        <f>TEXT(Clean_Data[[#This Row],[OrderDate]], "yyyy-mm")</f>
        <v>2018-01</v>
      </c>
      <c r="P787" s="7">
        <f>Clean_Data[[#This Row],[Profit]]/Clean_Data[[#This Row],[Revenue ]]</f>
        <v>0.3014705882352941</v>
      </c>
      <c r="Q787" t="str">
        <f>"Q"&amp;ROUNDUP(MONTH(Clean_Data[[#This Row],[OrderDate]])/3,0)</f>
        <v>Q1</v>
      </c>
      <c r="R787" t="str">
        <f>TEXT(Clean_Data[[#This Row],[OrderDate]], "dddd")</f>
        <v>Friday</v>
      </c>
    </row>
    <row r="788" spans="1:18" x14ac:dyDescent="0.25">
      <c r="A788" t="s">
        <v>638</v>
      </c>
      <c r="B788" s="4">
        <v>145</v>
      </c>
      <c r="C788" s="4">
        <v>16</v>
      </c>
      <c r="D788" s="3">
        <v>3</v>
      </c>
      <c r="E788" t="s">
        <v>895</v>
      </c>
      <c r="F788" t="s">
        <v>906</v>
      </c>
      <c r="G788" t="s">
        <v>907</v>
      </c>
      <c r="H788" s="6">
        <f>_xlfn.XLOOKUP(A788,Orders[OrderID],Orders[OrderDate])</f>
        <v>43183</v>
      </c>
      <c r="I788" t="str">
        <f>_xlfn.XLOOKUP(A788,Orders[OrderID],Orders[CustomerName])</f>
        <v>Yogesh</v>
      </c>
      <c r="J788" t="str">
        <f>_xlfn.XLOOKUP(A788,Orders[OrderID],Orders[State])</f>
        <v>Bihar</v>
      </c>
      <c r="K788" t="str">
        <f>_xlfn.XLOOKUP(A788,Orders[OrderID],Orders[City])</f>
        <v>Patna</v>
      </c>
      <c r="L788" s="3">
        <f>YEAR(Clean_Data[[#This Row],[OrderDate]])</f>
        <v>2018</v>
      </c>
      <c r="M788" s="3">
        <f>MONTH(Clean_Data[[#This Row],[OrderDate]])</f>
        <v>3</v>
      </c>
      <c r="N788" s="8" t="str">
        <f>TEXT(Clean_Data[[#This Row],[OrderDate]],"mmm")</f>
        <v>Mar</v>
      </c>
      <c r="O788" s="8" t="str">
        <f>TEXT(Clean_Data[[#This Row],[OrderDate]], "yyyy-mm")</f>
        <v>2018-03</v>
      </c>
      <c r="P788" s="7">
        <f>Clean_Data[[#This Row],[Profit]]/Clean_Data[[#This Row],[Revenue ]]</f>
        <v>0.1103448275862069</v>
      </c>
      <c r="Q788" t="str">
        <f>"Q"&amp;ROUNDUP(MONTH(Clean_Data[[#This Row],[OrderDate]])/3,0)</f>
        <v>Q1</v>
      </c>
      <c r="R788" t="str">
        <f>TEXT(Clean_Data[[#This Row],[OrderDate]], "dddd")</f>
        <v>Saturday</v>
      </c>
    </row>
    <row r="789" spans="1:18" x14ac:dyDescent="0.25">
      <c r="A789" t="s">
        <v>360</v>
      </c>
      <c r="B789" s="4">
        <v>44</v>
      </c>
      <c r="C789" s="4">
        <v>20</v>
      </c>
      <c r="D789" s="3">
        <v>2</v>
      </c>
      <c r="E789" t="s">
        <v>895</v>
      </c>
      <c r="F789" t="s">
        <v>906</v>
      </c>
      <c r="G789" t="s">
        <v>898</v>
      </c>
      <c r="H789" s="6">
        <f>_xlfn.XLOOKUP(A789,Orders[OrderID],Orders[OrderDate])</f>
        <v>43181</v>
      </c>
      <c r="I789" t="str">
        <f>_xlfn.XLOOKUP(A789,Orders[OrderID],Orders[CustomerName])</f>
        <v>Kasheen</v>
      </c>
      <c r="J789" t="str">
        <f>_xlfn.XLOOKUP(A789,Orders[OrderID],Orders[State])</f>
        <v>West Bengal</v>
      </c>
      <c r="K789" t="str">
        <f>_xlfn.XLOOKUP(A789,Orders[OrderID],Orders[City])</f>
        <v>Kolkata</v>
      </c>
      <c r="L789" s="3">
        <f>YEAR(Clean_Data[[#This Row],[OrderDate]])</f>
        <v>2018</v>
      </c>
      <c r="M789" s="3">
        <f>MONTH(Clean_Data[[#This Row],[OrderDate]])</f>
        <v>3</v>
      </c>
      <c r="N789" s="8" t="str">
        <f>TEXT(Clean_Data[[#This Row],[OrderDate]],"mmm")</f>
        <v>Mar</v>
      </c>
      <c r="O789" s="8" t="str">
        <f>TEXT(Clean_Data[[#This Row],[OrderDate]], "yyyy-mm")</f>
        <v>2018-03</v>
      </c>
      <c r="P789" s="7">
        <f>Clean_Data[[#This Row],[Profit]]/Clean_Data[[#This Row],[Revenue ]]</f>
        <v>0.45454545454545453</v>
      </c>
      <c r="Q789" t="str">
        <f>"Q"&amp;ROUNDUP(MONTH(Clean_Data[[#This Row],[OrderDate]])/3,0)</f>
        <v>Q1</v>
      </c>
      <c r="R789" t="str">
        <f>TEXT(Clean_Data[[#This Row],[OrderDate]], "dddd")</f>
        <v>Thursday</v>
      </c>
    </row>
    <row r="790" spans="1:18" x14ac:dyDescent="0.25">
      <c r="A790" t="s">
        <v>75</v>
      </c>
      <c r="B790" s="4">
        <v>79</v>
      </c>
      <c r="C790" s="4">
        <v>6</v>
      </c>
      <c r="D790" s="3">
        <v>7</v>
      </c>
      <c r="E790" t="s">
        <v>895</v>
      </c>
      <c r="F790" t="s">
        <v>897</v>
      </c>
      <c r="G790" t="s">
        <v>887</v>
      </c>
      <c r="H790" s="6">
        <f>_xlfn.XLOOKUP(A790,Orders[OrderID],Orders[OrderDate])</f>
        <v>43444</v>
      </c>
      <c r="I790" t="str">
        <f>_xlfn.XLOOKUP(A790,Orders[OrderID],Orders[CustomerName])</f>
        <v>Ishpreet</v>
      </c>
      <c r="J790" t="str">
        <f>_xlfn.XLOOKUP(A790,Orders[OrderID],Orders[State])</f>
        <v>Maharashtra</v>
      </c>
      <c r="K790" t="str">
        <f>_xlfn.XLOOKUP(A790,Orders[OrderID],Orders[City])</f>
        <v>Mumbai</v>
      </c>
      <c r="L790" s="3">
        <f>YEAR(Clean_Data[[#This Row],[OrderDate]])</f>
        <v>2018</v>
      </c>
      <c r="M790" s="3">
        <f>MONTH(Clean_Data[[#This Row],[OrderDate]])</f>
        <v>12</v>
      </c>
      <c r="N790" s="8" t="str">
        <f>TEXT(Clean_Data[[#This Row],[OrderDate]],"mmm")</f>
        <v>Dec</v>
      </c>
      <c r="O790" s="8" t="str">
        <f>TEXT(Clean_Data[[#This Row],[OrderDate]], "yyyy-mm")</f>
        <v>2018-12</v>
      </c>
      <c r="P790" s="7">
        <f>Clean_Data[[#This Row],[Profit]]/Clean_Data[[#This Row],[Revenue ]]</f>
        <v>7.5949367088607597E-2</v>
      </c>
      <c r="Q790" t="str">
        <f>"Q"&amp;ROUNDUP(MONTH(Clean_Data[[#This Row],[OrderDate]])/3,0)</f>
        <v>Q4</v>
      </c>
      <c r="R790" t="str">
        <f>TEXT(Clean_Data[[#This Row],[OrderDate]], "dddd")</f>
        <v>Monday</v>
      </c>
    </row>
    <row r="791" spans="1:18" x14ac:dyDescent="0.25">
      <c r="A791" t="s">
        <v>166</v>
      </c>
      <c r="B791" s="4">
        <v>79</v>
      </c>
      <c r="C791" s="4">
        <v>36</v>
      </c>
      <c r="D791" s="3">
        <v>4</v>
      </c>
      <c r="E791" t="s">
        <v>895</v>
      </c>
      <c r="F791" t="s">
        <v>909</v>
      </c>
      <c r="G791" t="s">
        <v>887</v>
      </c>
      <c r="H791" s="6">
        <f>_xlfn.XLOOKUP(A791,Orders[OrderID],Orders[OrderDate])</f>
        <v>43252</v>
      </c>
      <c r="I791" t="str">
        <f>_xlfn.XLOOKUP(A791,Orders[OrderID],Orders[CustomerName])</f>
        <v>Chandni</v>
      </c>
      <c r="J791" t="str">
        <f>_xlfn.XLOOKUP(A791,Orders[OrderID],Orders[State])</f>
        <v>Rajasthan</v>
      </c>
      <c r="K791" t="str">
        <f>_xlfn.XLOOKUP(A791,Orders[OrderID],Orders[City])</f>
        <v>Jaipur</v>
      </c>
      <c r="L791" s="3">
        <f>YEAR(Clean_Data[[#This Row],[OrderDate]])</f>
        <v>2018</v>
      </c>
      <c r="M791" s="3">
        <f>MONTH(Clean_Data[[#This Row],[OrderDate]])</f>
        <v>6</v>
      </c>
      <c r="N791" s="8" t="str">
        <f>TEXT(Clean_Data[[#This Row],[OrderDate]],"mmm")</f>
        <v>Jun</v>
      </c>
      <c r="O791" s="8" t="str">
        <f>TEXT(Clean_Data[[#This Row],[OrderDate]], "yyyy-mm")</f>
        <v>2018-06</v>
      </c>
      <c r="P791" s="7">
        <f>Clean_Data[[#This Row],[Profit]]/Clean_Data[[#This Row],[Revenue ]]</f>
        <v>0.45569620253164556</v>
      </c>
      <c r="Q791" t="str">
        <f>"Q"&amp;ROUNDUP(MONTH(Clean_Data[[#This Row],[OrderDate]])/3,0)</f>
        <v>Q2</v>
      </c>
      <c r="R791" t="str">
        <f>TEXT(Clean_Data[[#This Row],[OrderDate]], "dddd")</f>
        <v>Friday</v>
      </c>
    </row>
    <row r="792" spans="1:18" x14ac:dyDescent="0.25">
      <c r="A792" t="s">
        <v>422</v>
      </c>
      <c r="B792" s="4">
        <v>134</v>
      </c>
      <c r="C792" s="4">
        <v>-13</v>
      </c>
      <c r="D792" s="3">
        <v>3</v>
      </c>
      <c r="E792" t="s">
        <v>885</v>
      </c>
      <c r="F792" t="s">
        <v>886</v>
      </c>
      <c r="G792" t="s">
        <v>898</v>
      </c>
      <c r="H792" s="6">
        <f>_xlfn.XLOOKUP(A792,Orders[OrderID],Orders[OrderDate])</f>
        <v>43145</v>
      </c>
      <c r="I792" t="str">
        <f>_xlfn.XLOOKUP(A792,Orders[OrderID],Orders[CustomerName])</f>
        <v>Hazel</v>
      </c>
      <c r="J792" t="str">
        <f>_xlfn.XLOOKUP(A792,Orders[OrderID],Orders[State])</f>
        <v>Karnataka</v>
      </c>
      <c r="K792" t="str">
        <f>_xlfn.XLOOKUP(A792,Orders[OrderID],Orders[City])</f>
        <v>Bangalore</v>
      </c>
      <c r="L792" s="3">
        <f>YEAR(Clean_Data[[#This Row],[OrderDate]])</f>
        <v>2018</v>
      </c>
      <c r="M792" s="3">
        <f>MONTH(Clean_Data[[#This Row],[OrderDate]])</f>
        <v>2</v>
      </c>
      <c r="N792" s="8" t="str">
        <f>TEXT(Clean_Data[[#This Row],[OrderDate]],"mmm")</f>
        <v>Feb</v>
      </c>
      <c r="O792" s="8" t="str">
        <f>TEXT(Clean_Data[[#This Row],[OrderDate]], "yyyy-mm")</f>
        <v>2018-02</v>
      </c>
      <c r="P792" s="7">
        <f>Clean_Data[[#This Row],[Profit]]/Clean_Data[[#This Row],[Revenue ]]</f>
        <v>-9.7014925373134331E-2</v>
      </c>
      <c r="Q792" t="str">
        <f>"Q"&amp;ROUNDUP(MONTH(Clean_Data[[#This Row],[OrderDate]])/3,0)</f>
        <v>Q1</v>
      </c>
      <c r="R792" t="str">
        <f>TEXT(Clean_Data[[#This Row],[OrderDate]], "dddd")</f>
        <v>Wednesday</v>
      </c>
    </row>
    <row r="793" spans="1:18" x14ac:dyDescent="0.25">
      <c r="A793" t="s">
        <v>91</v>
      </c>
      <c r="B793" s="4">
        <v>133</v>
      </c>
      <c r="C793" s="4">
        <v>5</v>
      </c>
      <c r="D793" s="3">
        <v>5</v>
      </c>
      <c r="E793" t="s">
        <v>895</v>
      </c>
      <c r="F793" t="s">
        <v>903</v>
      </c>
      <c r="G793" t="s">
        <v>898</v>
      </c>
      <c r="H793" s="6">
        <f>_xlfn.XLOOKUP(A793,Orders[OrderID],Orders[OrderDate])</f>
        <v>43113</v>
      </c>
      <c r="I793" t="str">
        <f>_xlfn.XLOOKUP(A793,Orders[OrderID],Orders[CustomerName])</f>
        <v>Shruti</v>
      </c>
      <c r="J793" t="str">
        <f>_xlfn.XLOOKUP(A793,Orders[OrderID],Orders[State])</f>
        <v>Madhya Pradesh</v>
      </c>
      <c r="K793" t="str">
        <f>_xlfn.XLOOKUP(A793,Orders[OrderID],Orders[City])</f>
        <v>Indore</v>
      </c>
      <c r="L793" s="3">
        <f>YEAR(Clean_Data[[#This Row],[OrderDate]])</f>
        <v>2018</v>
      </c>
      <c r="M793" s="3">
        <f>MONTH(Clean_Data[[#This Row],[OrderDate]])</f>
        <v>1</v>
      </c>
      <c r="N793" s="8" t="str">
        <f>TEXT(Clean_Data[[#This Row],[OrderDate]],"mmm")</f>
        <v>Jan</v>
      </c>
      <c r="O793" s="8" t="str">
        <f>TEXT(Clean_Data[[#This Row],[OrderDate]], "yyyy-mm")</f>
        <v>2018-01</v>
      </c>
      <c r="P793" s="7">
        <f>Clean_Data[[#This Row],[Profit]]/Clean_Data[[#This Row],[Revenue ]]</f>
        <v>3.7593984962406013E-2</v>
      </c>
      <c r="Q793" t="str">
        <f>"Q"&amp;ROUNDUP(MONTH(Clean_Data[[#This Row],[OrderDate]])/3,0)</f>
        <v>Q1</v>
      </c>
      <c r="R793" t="str">
        <f>TEXT(Clean_Data[[#This Row],[OrderDate]], "dddd")</f>
        <v>Saturday</v>
      </c>
    </row>
    <row r="794" spans="1:18" x14ac:dyDescent="0.25">
      <c r="A794" t="s">
        <v>425</v>
      </c>
      <c r="B794" s="4">
        <v>47</v>
      </c>
      <c r="C794" s="4">
        <v>20</v>
      </c>
      <c r="D794" s="3">
        <v>7</v>
      </c>
      <c r="E794" t="s">
        <v>895</v>
      </c>
      <c r="F794" t="s">
        <v>899</v>
      </c>
      <c r="G794" t="s">
        <v>898</v>
      </c>
      <c r="H794" s="6">
        <f>_xlfn.XLOOKUP(A794,Orders[OrderID],Orders[OrderDate])</f>
        <v>43169</v>
      </c>
      <c r="I794" t="str">
        <f>_xlfn.XLOOKUP(A794,Orders[OrderID],Orders[CustomerName])</f>
        <v>Sonal</v>
      </c>
      <c r="J794" t="str">
        <f>_xlfn.XLOOKUP(A794,Orders[OrderID],Orders[State])</f>
        <v>Bihar</v>
      </c>
      <c r="K794" t="str">
        <f>_xlfn.XLOOKUP(A794,Orders[OrderID],Orders[City])</f>
        <v>Patna</v>
      </c>
      <c r="L794" s="3">
        <f>YEAR(Clean_Data[[#This Row],[OrderDate]])</f>
        <v>2018</v>
      </c>
      <c r="M794" s="3">
        <f>MONTH(Clean_Data[[#This Row],[OrderDate]])</f>
        <v>3</v>
      </c>
      <c r="N794" s="8" t="str">
        <f>TEXT(Clean_Data[[#This Row],[OrderDate]],"mmm")</f>
        <v>Mar</v>
      </c>
      <c r="O794" s="8" t="str">
        <f>TEXT(Clean_Data[[#This Row],[OrderDate]], "yyyy-mm")</f>
        <v>2018-03</v>
      </c>
      <c r="P794" s="7">
        <f>Clean_Data[[#This Row],[Profit]]/Clean_Data[[#This Row],[Revenue ]]</f>
        <v>0.42553191489361702</v>
      </c>
      <c r="Q794" t="str">
        <f>"Q"&amp;ROUNDUP(MONTH(Clean_Data[[#This Row],[OrderDate]])/3,0)</f>
        <v>Q1</v>
      </c>
      <c r="R794" t="str">
        <f>TEXT(Clean_Data[[#This Row],[OrderDate]], "dddd")</f>
        <v>Saturday</v>
      </c>
    </row>
    <row r="795" spans="1:18" x14ac:dyDescent="0.25">
      <c r="A795" t="s">
        <v>517</v>
      </c>
      <c r="B795" s="4">
        <v>133</v>
      </c>
      <c r="C795" s="4">
        <v>-42</v>
      </c>
      <c r="D795" s="3">
        <v>1</v>
      </c>
      <c r="E795" t="s">
        <v>885</v>
      </c>
      <c r="F795" t="s">
        <v>892</v>
      </c>
      <c r="G795" t="s">
        <v>898</v>
      </c>
      <c r="H795" s="6">
        <f>_xlfn.XLOOKUP(A795,Orders[OrderID],Orders[OrderDate])</f>
        <v>43221</v>
      </c>
      <c r="I795" t="str">
        <f>_xlfn.XLOOKUP(A795,Orders[OrderID],Orders[CustomerName])</f>
        <v>Yaanvi</v>
      </c>
      <c r="J795" t="str">
        <f>_xlfn.XLOOKUP(A795,Orders[OrderID],Orders[State])</f>
        <v>Madhya Pradesh</v>
      </c>
      <c r="K795" t="str">
        <f>_xlfn.XLOOKUP(A795,Orders[OrderID],Orders[City])</f>
        <v>Indore</v>
      </c>
      <c r="L795" s="3">
        <f>YEAR(Clean_Data[[#This Row],[OrderDate]])</f>
        <v>2018</v>
      </c>
      <c r="M795" s="3">
        <f>MONTH(Clean_Data[[#This Row],[OrderDate]])</f>
        <v>5</v>
      </c>
      <c r="N795" s="8" t="str">
        <f>TEXT(Clean_Data[[#This Row],[OrderDate]],"mmm")</f>
        <v>May</v>
      </c>
      <c r="O795" s="8" t="str">
        <f>TEXT(Clean_Data[[#This Row],[OrderDate]], "yyyy-mm")</f>
        <v>2018-05</v>
      </c>
      <c r="P795" s="7">
        <f>Clean_Data[[#This Row],[Profit]]/Clean_Data[[#This Row],[Revenue ]]</f>
        <v>-0.31578947368421051</v>
      </c>
      <c r="Q795" t="str">
        <f>"Q"&amp;ROUNDUP(MONTH(Clean_Data[[#This Row],[OrderDate]])/3,0)</f>
        <v>Q2</v>
      </c>
      <c r="R795" t="str">
        <f>TEXT(Clean_Data[[#This Row],[OrderDate]], "dddd")</f>
        <v>Tuesday</v>
      </c>
    </row>
    <row r="796" spans="1:18" x14ac:dyDescent="0.25">
      <c r="A796" t="s">
        <v>747</v>
      </c>
      <c r="B796" s="4">
        <v>78</v>
      </c>
      <c r="C796" s="4">
        <v>27</v>
      </c>
      <c r="D796" s="3">
        <v>3</v>
      </c>
      <c r="E796" t="s">
        <v>895</v>
      </c>
      <c r="F796" t="s">
        <v>903</v>
      </c>
      <c r="G796" t="s">
        <v>887</v>
      </c>
      <c r="H796" s="6">
        <f>_xlfn.XLOOKUP(A796,Orders[OrderID],Orders[OrderDate])</f>
        <v>43445</v>
      </c>
      <c r="I796" t="str">
        <f>_xlfn.XLOOKUP(A796,Orders[OrderID],Orders[CustomerName])</f>
        <v>Abhijit</v>
      </c>
      <c r="J796" t="str">
        <f>_xlfn.XLOOKUP(A796,Orders[OrderID],Orders[State])</f>
        <v>Delhi</v>
      </c>
      <c r="K796" t="str">
        <f>_xlfn.XLOOKUP(A796,Orders[OrderID],Orders[City])</f>
        <v>Delhi</v>
      </c>
      <c r="L796" s="3">
        <f>YEAR(Clean_Data[[#This Row],[OrderDate]])</f>
        <v>2018</v>
      </c>
      <c r="M796" s="3">
        <f>MONTH(Clean_Data[[#This Row],[OrderDate]])</f>
        <v>12</v>
      </c>
      <c r="N796" s="8" t="str">
        <f>TEXT(Clean_Data[[#This Row],[OrderDate]],"mmm")</f>
        <v>Dec</v>
      </c>
      <c r="O796" s="8" t="str">
        <f>TEXT(Clean_Data[[#This Row],[OrderDate]], "yyyy-mm")</f>
        <v>2018-12</v>
      </c>
      <c r="P796" s="7">
        <f>Clean_Data[[#This Row],[Profit]]/Clean_Data[[#This Row],[Revenue ]]</f>
        <v>0.34615384615384615</v>
      </c>
      <c r="Q796" t="str">
        <f>"Q"&amp;ROUNDUP(MONTH(Clean_Data[[#This Row],[OrderDate]])/3,0)</f>
        <v>Q4</v>
      </c>
      <c r="R796" t="str">
        <f>TEXT(Clean_Data[[#This Row],[OrderDate]], "dddd")</f>
        <v>Tuesday</v>
      </c>
    </row>
    <row r="797" spans="1:18" x14ac:dyDescent="0.25">
      <c r="A797" t="s">
        <v>749</v>
      </c>
      <c r="B797" s="4">
        <v>78</v>
      </c>
      <c r="C797" s="4">
        <v>7</v>
      </c>
      <c r="D797" s="3">
        <v>1</v>
      </c>
      <c r="E797" t="s">
        <v>888</v>
      </c>
      <c r="F797" t="s">
        <v>889</v>
      </c>
      <c r="G797" t="s">
        <v>887</v>
      </c>
      <c r="H797" s="6">
        <f>_xlfn.XLOOKUP(A797,Orders[OrderID],Orders[OrderDate])</f>
        <v>43145</v>
      </c>
      <c r="I797" t="str">
        <f>_xlfn.XLOOKUP(A797,Orders[OrderID],Orders[CustomerName])</f>
        <v>Sonakshi</v>
      </c>
      <c r="J797" t="str">
        <f>_xlfn.XLOOKUP(A797,Orders[OrderID],Orders[State])</f>
        <v>Jammu and Kashmir</v>
      </c>
      <c r="K797" t="str">
        <f>_xlfn.XLOOKUP(A797,Orders[OrderID],Orders[City])</f>
        <v>Kashmir</v>
      </c>
      <c r="L797" s="3">
        <f>YEAR(Clean_Data[[#This Row],[OrderDate]])</f>
        <v>2018</v>
      </c>
      <c r="M797" s="3">
        <f>MONTH(Clean_Data[[#This Row],[OrderDate]])</f>
        <v>2</v>
      </c>
      <c r="N797" s="8" t="str">
        <f>TEXT(Clean_Data[[#This Row],[OrderDate]],"mmm")</f>
        <v>Feb</v>
      </c>
      <c r="O797" s="8" t="str">
        <f>TEXT(Clean_Data[[#This Row],[OrderDate]], "yyyy-mm")</f>
        <v>2018-02</v>
      </c>
      <c r="P797" s="7">
        <f>Clean_Data[[#This Row],[Profit]]/Clean_Data[[#This Row],[Revenue ]]</f>
        <v>8.9743589743589744E-2</v>
      </c>
      <c r="Q797" t="str">
        <f>"Q"&amp;ROUNDUP(MONTH(Clean_Data[[#This Row],[OrderDate]])/3,0)</f>
        <v>Q1</v>
      </c>
      <c r="R797" t="str">
        <f>TEXT(Clean_Data[[#This Row],[OrderDate]], "dddd")</f>
        <v>Wednesday</v>
      </c>
    </row>
    <row r="798" spans="1:18" x14ac:dyDescent="0.25">
      <c r="A798" t="s">
        <v>750</v>
      </c>
      <c r="B798" s="4">
        <v>76</v>
      </c>
      <c r="C798" s="4">
        <v>-92</v>
      </c>
      <c r="D798" s="3">
        <v>8</v>
      </c>
      <c r="E798" t="s">
        <v>888</v>
      </c>
      <c r="F798" t="s">
        <v>908</v>
      </c>
      <c r="G798" t="s">
        <v>887</v>
      </c>
      <c r="H798" s="6">
        <f>_xlfn.XLOOKUP(A798,Orders[OrderID],Orders[OrderDate])</f>
        <v>43220</v>
      </c>
      <c r="I798" t="str">
        <f>_xlfn.XLOOKUP(A798,Orders[OrderID],Orders[CustomerName])</f>
        <v>Mayank</v>
      </c>
      <c r="J798" t="str">
        <f>_xlfn.XLOOKUP(A798,Orders[OrderID],Orders[State])</f>
        <v>Maharashtra</v>
      </c>
      <c r="K798" t="str">
        <f>_xlfn.XLOOKUP(A798,Orders[OrderID],Orders[City])</f>
        <v>Mumbai</v>
      </c>
      <c r="L798" s="3">
        <f>YEAR(Clean_Data[[#This Row],[OrderDate]])</f>
        <v>2018</v>
      </c>
      <c r="M798" s="3">
        <f>MONTH(Clean_Data[[#This Row],[OrderDate]])</f>
        <v>4</v>
      </c>
      <c r="N798" s="8" t="str">
        <f>TEXT(Clean_Data[[#This Row],[OrderDate]],"mmm")</f>
        <v>Apr</v>
      </c>
      <c r="O798" s="8" t="str">
        <f>TEXT(Clean_Data[[#This Row],[OrderDate]], "yyyy-mm")</f>
        <v>2018-04</v>
      </c>
      <c r="P798" s="7">
        <f>Clean_Data[[#This Row],[Profit]]/Clean_Data[[#This Row],[Revenue ]]</f>
        <v>-1.2105263157894737</v>
      </c>
      <c r="Q798" t="str">
        <f>"Q"&amp;ROUNDUP(MONTH(Clean_Data[[#This Row],[OrderDate]])/3,0)</f>
        <v>Q2</v>
      </c>
      <c r="R798" t="str">
        <f>TEXT(Clean_Data[[#This Row],[OrderDate]], "dddd")</f>
        <v>Monday</v>
      </c>
    </row>
    <row r="799" spans="1:18" x14ac:dyDescent="0.25">
      <c r="A799" t="s">
        <v>751</v>
      </c>
      <c r="B799" s="4">
        <v>76</v>
      </c>
      <c r="C799" s="4">
        <v>-50</v>
      </c>
      <c r="D799" s="3">
        <v>1</v>
      </c>
      <c r="E799" t="s">
        <v>895</v>
      </c>
      <c r="F799" t="s">
        <v>897</v>
      </c>
      <c r="G799" t="s">
        <v>887</v>
      </c>
      <c r="H799" s="6">
        <f>_xlfn.XLOOKUP(A799,Orders[OrderID],Orders[OrderDate])</f>
        <v>43255</v>
      </c>
      <c r="I799" t="str">
        <f>_xlfn.XLOOKUP(A799,Orders[OrderID],Orders[CustomerName])</f>
        <v>Avni</v>
      </c>
      <c r="J799" t="str">
        <f>_xlfn.XLOOKUP(A799,Orders[OrderID],Orders[State])</f>
        <v>Maharashtra</v>
      </c>
      <c r="K799" t="str">
        <f>_xlfn.XLOOKUP(A799,Orders[OrderID],Orders[City])</f>
        <v>Mumbai</v>
      </c>
      <c r="L799" s="3">
        <f>YEAR(Clean_Data[[#This Row],[OrderDate]])</f>
        <v>2018</v>
      </c>
      <c r="M799" s="3">
        <f>MONTH(Clean_Data[[#This Row],[OrderDate]])</f>
        <v>6</v>
      </c>
      <c r="N799" s="8" t="str">
        <f>TEXT(Clean_Data[[#This Row],[OrderDate]],"mmm")</f>
        <v>Jun</v>
      </c>
      <c r="O799" s="8" t="str">
        <f>TEXT(Clean_Data[[#This Row],[OrderDate]], "yyyy-mm")</f>
        <v>2018-06</v>
      </c>
      <c r="P799" s="7">
        <f>Clean_Data[[#This Row],[Profit]]/Clean_Data[[#This Row],[Revenue ]]</f>
        <v>-0.65789473684210531</v>
      </c>
      <c r="Q799" t="str">
        <f>"Q"&amp;ROUNDUP(MONTH(Clean_Data[[#This Row],[OrderDate]])/3,0)</f>
        <v>Q2</v>
      </c>
      <c r="R799" t="str">
        <f>TEXT(Clean_Data[[#This Row],[OrderDate]], "dddd")</f>
        <v>Monday</v>
      </c>
    </row>
    <row r="800" spans="1:18" x14ac:dyDescent="0.25">
      <c r="A800" t="s">
        <v>419</v>
      </c>
      <c r="B800" s="4">
        <v>76</v>
      </c>
      <c r="C800" s="4">
        <v>19</v>
      </c>
      <c r="D800" s="3">
        <v>3</v>
      </c>
      <c r="E800" t="s">
        <v>895</v>
      </c>
      <c r="F800" t="s">
        <v>899</v>
      </c>
      <c r="G800" t="s">
        <v>887</v>
      </c>
      <c r="H800" s="6">
        <f>_xlfn.XLOOKUP(A800,Orders[OrderID],Orders[OrderDate])</f>
        <v>43412</v>
      </c>
      <c r="I800" t="str">
        <f>_xlfn.XLOOKUP(A800,Orders[OrderID],Orders[CustomerName])</f>
        <v>Shubham</v>
      </c>
      <c r="J800" t="str">
        <f>_xlfn.XLOOKUP(A800,Orders[OrderID],Orders[State])</f>
        <v>Maharashtra</v>
      </c>
      <c r="K800" t="str">
        <f>_xlfn.XLOOKUP(A800,Orders[OrderID],Orders[City])</f>
        <v>Pune</v>
      </c>
      <c r="L800" s="3">
        <f>YEAR(Clean_Data[[#This Row],[OrderDate]])</f>
        <v>2018</v>
      </c>
      <c r="M800" s="3">
        <f>MONTH(Clean_Data[[#This Row],[OrderDate]])</f>
        <v>11</v>
      </c>
      <c r="N800" s="8" t="str">
        <f>TEXT(Clean_Data[[#This Row],[OrderDate]],"mmm")</f>
        <v>Nov</v>
      </c>
      <c r="O800" s="8" t="str">
        <f>TEXT(Clean_Data[[#This Row],[OrderDate]], "yyyy-mm")</f>
        <v>2018-11</v>
      </c>
      <c r="P800" s="7">
        <f>Clean_Data[[#This Row],[Profit]]/Clean_Data[[#This Row],[Revenue ]]</f>
        <v>0.25</v>
      </c>
      <c r="Q800" t="str">
        <f>"Q"&amp;ROUNDUP(MONTH(Clean_Data[[#This Row],[OrderDate]])/3,0)</f>
        <v>Q4</v>
      </c>
      <c r="R800" t="str">
        <f>TEXT(Clean_Data[[#This Row],[OrderDate]], "dddd")</f>
        <v>Thursday</v>
      </c>
    </row>
    <row r="801" spans="1:18" x14ac:dyDescent="0.25">
      <c r="A801" t="s">
        <v>318</v>
      </c>
      <c r="B801" s="4">
        <v>74</v>
      </c>
      <c r="C801" s="4">
        <v>29</v>
      </c>
      <c r="D801" s="3">
        <v>3</v>
      </c>
      <c r="E801" t="s">
        <v>895</v>
      </c>
      <c r="F801" t="s">
        <v>903</v>
      </c>
      <c r="G801" t="s">
        <v>887</v>
      </c>
      <c r="H801" s="6">
        <f>_xlfn.XLOOKUP(A801,Orders[OrderID],Orders[OrderDate])</f>
        <v>43245</v>
      </c>
      <c r="I801" t="str">
        <f>_xlfn.XLOOKUP(A801,Orders[OrderID],Orders[CustomerName])</f>
        <v>Charika</v>
      </c>
      <c r="J801" t="str">
        <f>_xlfn.XLOOKUP(A801,Orders[OrderID],Orders[State])</f>
        <v>Goa</v>
      </c>
      <c r="K801" t="str">
        <f>_xlfn.XLOOKUP(A801,Orders[OrderID],Orders[City])</f>
        <v>Goa</v>
      </c>
      <c r="L801" s="3">
        <f>YEAR(Clean_Data[[#This Row],[OrderDate]])</f>
        <v>2018</v>
      </c>
      <c r="M801" s="3">
        <f>MONTH(Clean_Data[[#This Row],[OrderDate]])</f>
        <v>5</v>
      </c>
      <c r="N801" s="8" t="str">
        <f>TEXT(Clean_Data[[#This Row],[OrderDate]],"mmm")</f>
        <v>May</v>
      </c>
      <c r="O801" s="8" t="str">
        <f>TEXT(Clean_Data[[#This Row],[OrderDate]], "yyyy-mm")</f>
        <v>2018-05</v>
      </c>
      <c r="P801" s="7">
        <f>Clean_Data[[#This Row],[Profit]]/Clean_Data[[#This Row],[Revenue ]]</f>
        <v>0.39189189189189189</v>
      </c>
      <c r="Q801" t="str">
        <f>"Q"&amp;ROUNDUP(MONTH(Clean_Data[[#This Row],[OrderDate]])/3,0)</f>
        <v>Q2</v>
      </c>
      <c r="R801" t="str">
        <f>TEXT(Clean_Data[[#This Row],[OrderDate]], "dddd")</f>
        <v>Friday</v>
      </c>
    </row>
    <row r="802" spans="1:18" x14ac:dyDescent="0.25">
      <c r="A802" t="s">
        <v>756</v>
      </c>
      <c r="B802" s="4">
        <v>74</v>
      </c>
      <c r="C802" s="4">
        <v>-25</v>
      </c>
      <c r="D802" s="3">
        <v>3</v>
      </c>
      <c r="E802" t="s">
        <v>895</v>
      </c>
      <c r="F802" t="s">
        <v>903</v>
      </c>
      <c r="G802" t="s">
        <v>887</v>
      </c>
      <c r="H802" s="6">
        <f>_xlfn.XLOOKUP(A802,Orders[OrderID],Orders[OrderDate])</f>
        <v>43367</v>
      </c>
      <c r="I802" t="str">
        <f>_xlfn.XLOOKUP(A802,Orders[OrderID],Orders[CustomerName])</f>
        <v>Abhishek</v>
      </c>
      <c r="J802" t="str">
        <f>_xlfn.XLOOKUP(A802,Orders[OrderID],Orders[State])</f>
        <v>Maharashtra</v>
      </c>
      <c r="K802" t="str">
        <f>_xlfn.XLOOKUP(A802,Orders[OrderID],Orders[City])</f>
        <v>Mumbai</v>
      </c>
      <c r="L802" s="3">
        <f>YEAR(Clean_Data[[#This Row],[OrderDate]])</f>
        <v>2018</v>
      </c>
      <c r="M802" s="3">
        <f>MONTH(Clean_Data[[#This Row],[OrderDate]])</f>
        <v>9</v>
      </c>
      <c r="N802" s="8" t="str">
        <f>TEXT(Clean_Data[[#This Row],[OrderDate]],"mmm")</f>
        <v>Sep</v>
      </c>
      <c r="O802" s="8" t="str">
        <f>TEXT(Clean_Data[[#This Row],[OrderDate]], "yyyy-mm")</f>
        <v>2018-09</v>
      </c>
      <c r="P802" s="7">
        <f>Clean_Data[[#This Row],[Profit]]/Clean_Data[[#This Row],[Revenue ]]</f>
        <v>-0.33783783783783783</v>
      </c>
      <c r="Q802" t="str">
        <f>"Q"&amp;ROUNDUP(MONTH(Clean_Data[[#This Row],[OrderDate]])/3,0)</f>
        <v>Q3</v>
      </c>
      <c r="R802" t="str">
        <f>TEXT(Clean_Data[[#This Row],[OrderDate]], "dddd")</f>
        <v>Monday</v>
      </c>
    </row>
    <row r="803" spans="1:18" x14ac:dyDescent="0.25">
      <c r="A803" t="s">
        <v>548</v>
      </c>
      <c r="B803" s="4">
        <v>146</v>
      </c>
      <c r="C803" s="4">
        <v>-63</v>
      </c>
      <c r="D803" s="3">
        <v>3</v>
      </c>
      <c r="E803" t="s">
        <v>885</v>
      </c>
      <c r="F803" t="s">
        <v>886</v>
      </c>
      <c r="G803" t="s">
        <v>907</v>
      </c>
      <c r="H803" s="6">
        <f>_xlfn.XLOOKUP(A803,Orders[OrderID],Orders[OrderDate])</f>
        <v>43381</v>
      </c>
      <c r="I803" t="str">
        <f>_xlfn.XLOOKUP(A803,Orders[OrderID],Orders[CustomerName])</f>
        <v>Apsingekar</v>
      </c>
      <c r="J803" t="str">
        <f>_xlfn.XLOOKUP(A803,Orders[OrderID],Orders[State])</f>
        <v>Bihar</v>
      </c>
      <c r="K803" t="str">
        <f>_xlfn.XLOOKUP(A803,Orders[OrderID],Orders[City])</f>
        <v>Patna</v>
      </c>
      <c r="L803" s="3">
        <f>YEAR(Clean_Data[[#This Row],[OrderDate]])</f>
        <v>2018</v>
      </c>
      <c r="M803" s="3">
        <f>MONTH(Clean_Data[[#This Row],[OrderDate]])</f>
        <v>10</v>
      </c>
      <c r="N803" s="8" t="str">
        <f>TEXT(Clean_Data[[#This Row],[OrderDate]],"mmm")</f>
        <v>Oct</v>
      </c>
      <c r="O803" s="8" t="str">
        <f>TEXT(Clean_Data[[#This Row],[OrderDate]], "yyyy-mm")</f>
        <v>2018-10</v>
      </c>
      <c r="P803" s="7">
        <f>Clean_Data[[#This Row],[Profit]]/Clean_Data[[#This Row],[Revenue ]]</f>
        <v>-0.4315068493150685</v>
      </c>
      <c r="Q803" t="str">
        <f>"Q"&amp;ROUNDUP(MONTH(Clean_Data[[#This Row],[OrderDate]])/3,0)</f>
        <v>Q4</v>
      </c>
      <c r="R803" t="str">
        <f>TEXT(Clean_Data[[#This Row],[OrderDate]], "dddd")</f>
        <v>Monday</v>
      </c>
    </row>
    <row r="804" spans="1:18" x14ac:dyDescent="0.25">
      <c r="A804" t="s">
        <v>367</v>
      </c>
      <c r="B804" s="4">
        <v>73</v>
      </c>
      <c r="C804" s="4">
        <v>-31</v>
      </c>
      <c r="D804" s="3">
        <v>1</v>
      </c>
      <c r="E804" t="s">
        <v>888</v>
      </c>
      <c r="F804" t="s">
        <v>891</v>
      </c>
      <c r="G804" t="s">
        <v>887</v>
      </c>
      <c r="H804" s="6">
        <f>_xlfn.XLOOKUP(A804,Orders[OrderID],Orders[OrderDate])</f>
        <v>43326</v>
      </c>
      <c r="I804" t="str">
        <f>_xlfn.XLOOKUP(A804,Orders[OrderID],Orders[CustomerName])</f>
        <v>Priyanshu</v>
      </c>
      <c r="J804" t="str">
        <f>_xlfn.XLOOKUP(A804,Orders[OrderID],Orders[State])</f>
        <v>Madhya Pradesh</v>
      </c>
      <c r="K804" t="str">
        <f>_xlfn.XLOOKUP(A804,Orders[OrderID],Orders[City])</f>
        <v>Indore</v>
      </c>
      <c r="L804" s="3">
        <f>YEAR(Clean_Data[[#This Row],[OrderDate]])</f>
        <v>2018</v>
      </c>
      <c r="M804" s="3">
        <f>MONTH(Clean_Data[[#This Row],[OrderDate]])</f>
        <v>8</v>
      </c>
      <c r="N804" s="8" t="str">
        <f>TEXT(Clean_Data[[#This Row],[OrderDate]],"mmm")</f>
        <v>Aug</v>
      </c>
      <c r="O804" s="8" t="str">
        <f>TEXT(Clean_Data[[#This Row],[OrderDate]], "yyyy-mm")</f>
        <v>2018-08</v>
      </c>
      <c r="P804" s="7">
        <f>Clean_Data[[#This Row],[Profit]]/Clean_Data[[#This Row],[Revenue ]]</f>
        <v>-0.42465753424657532</v>
      </c>
      <c r="Q804" t="str">
        <f>"Q"&amp;ROUNDUP(MONTH(Clean_Data[[#This Row],[OrderDate]])/3,0)</f>
        <v>Q3</v>
      </c>
      <c r="R804" t="str">
        <f>TEXT(Clean_Data[[#This Row],[OrderDate]], "dddd")</f>
        <v>Tuesday</v>
      </c>
    </row>
    <row r="805" spans="1:18" x14ac:dyDescent="0.25">
      <c r="A805" t="s">
        <v>136</v>
      </c>
      <c r="B805" s="4">
        <v>80</v>
      </c>
      <c r="C805" s="4">
        <v>22</v>
      </c>
      <c r="D805" s="3">
        <v>3</v>
      </c>
      <c r="E805" t="s">
        <v>895</v>
      </c>
      <c r="F805" t="s">
        <v>903</v>
      </c>
      <c r="G805" t="s">
        <v>898</v>
      </c>
      <c r="H805" s="6">
        <f>_xlfn.XLOOKUP(A805,Orders[OrderID],Orders[OrderDate])</f>
        <v>43166</v>
      </c>
      <c r="I805" t="str">
        <f>_xlfn.XLOOKUP(A805,Orders[OrderID],Orders[CustomerName])</f>
        <v>Parishi</v>
      </c>
      <c r="J805" t="str">
        <f>_xlfn.XLOOKUP(A805,Orders[OrderID],Orders[State])</f>
        <v>West Bengal</v>
      </c>
      <c r="K805" t="str">
        <f>_xlfn.XLOOKUP(A805,Orders[OrderID],Orders[City])</f>
        <v>Kolkata</v>
      </c>
      <c r="L805" s="3">
        <f>YEAR(Clean_Data[[#This Row],[OrderDate]])</f>
        <v>2018</v>
      </c>
      <c r="M805" s="3">
        <f>MONTH(Clean_Data[[#This Row],[OrderDate]])</f>
        <v>3</v>
      </c>
      <c r="N805" s="8" t="str">
        <f>TEXT(Clean_Data[[#This Row],[OrderDate]],"mmm")</f>
        <v>Mar</v>
      </c>
      <c r="O805" s="8" t="str">
        <f>TEXT(Clean_Data[[#This Row],[OrderDate]], "yyyy-mm")</f>
        <v>2018-03</v>
      </c>
      <c r="P805" s="7">
        <f>Clean_Data[[#This Row],[Profit]]/Clean_Data[[#This Row],[Revenue ]]</f>
        <v>0.27500000000000002</v>
      </c>
      <c r="Q805" t="str">
        <f>"Q"&amp;ROUNDUP(MONTH(Clean_Data[[#This Row],[OrderDate]])/3,0)</f>
        <v>Q1</v>
      </c>
      <c r="R805" t="str">
        <f>TEXT(Clean_Data[[#This Row],[OrderDate]], "dddd")</f>
        <v>Wednesday</v>
      </c>
    </row>
    <row r="806" spans="1:18" x14ac:dyDescent="0.25">
      <c r="A806" t="s">
        <v>416</v>
      </c>
      <c r="B806" s="4">
        <v>133</v>
      </c>
      <c r="C806" s="4">
        <v>46</v>
      </c>
      <c r="D806" s="3">
        <v>5</v>
      </c>
      <c r="E806" t="s">
        <v>895</v>
      </c>
      <c r="F806" t="s">
        <v>909</v>
      </c>
      <c r="G806" t="s">
        <v>890</v>
      </c>
      <c r="H806" s="6">
        <f>_xlfn.XLOOKUP(A806,Orders[OrderID],Orders[OrderDate])</f>
        <v>43180</v>
      </c>
      <c r="I806" t="str">
        <f>_xlfn.XLOOKUP(A806,Orders[OrderID],Orders[CustomerName])</f>
        <v>Jahan</v>
      </c>
      <c r="J806" t="str">
        <f>_xlfn.XLOOKUP(A806,Orders[OrderID],Orders[State])</f>
        <v>Madhya Pradesh</v>
      </c>
      <c r="K806" t="str">
        <f>_xlfn.XLOOKUP(A806,Orders[OrderID],Orders[City])</f>
        <v>Bhopal</v>
      </c>
      <c r="L806" s="3">
        <f>YEAR(Clean_Data[[#This Row],[OrderDate]])</f>
        <v>2018</v>
      </c>
      <c r="M806" s="3">
        <f>MONTH(Clean_Data[[#This Row],[OrderDate]])</f>
        <v>3</v>
      </c>
      <c r="N806" s="8" t="str">
        <f>TEXT(Clean_Data[[#This Row],[OrderDate]],"mmm")</f>
        <v>Mar</v>
      </c>
      <c r="O806" s="8" t="str">
        <f>TEXT(Clean_Data[[#This Row],[OrderDate]], "yyyy-mm")</f>
        <v>2018-03</v>
      </c>
      <c r="P806" s="7">
        <f>Clean_Data[[#This Row],[Profit]]/Clean_Data[[#This Row],[Revenue ]]</f>
        <v>0.34586466165413532</v>
      </c>
      <c r="Q806" t="str">
        <f>"Q"&amp;ROUNDUP(MONTH(Clean_Data[[#This Row],[OrderDate]])/3,0)</f>
        <v>Q1</v>
      </c>
      <c r="R806" t="str">
        <f>TEXT(Clean_Data[[#This Row],[OrderDate]], "dddd")</f>
        <v>Wednesday</v>
      </c>
    </row>
    <row r="807" spans="1:18" x14ac:dyDescent="0.25">
      <c r="A807" t="s">
        <v>635</v>
      </c>
      <c r="B807" s="4">
        <v>146</v>
      </c>
      <c r="C807" s="4">
        <v>7</v>
      </c>
      <c r="D807" s="3">
        <v>2</v>
      </c>
      <c r="E807" t="s">
        <v>885</v>
      </c>
      <c r="F807" t="s">
        <v>894</v>
      </c>
      <c r="G807" t="s">
        <v>907</v>
      </c>
      <c r="H807" s="6">
        <f>_xlfn.XLOOKUP(A807,Orders[OrderID],Orders[OrderDate])</f>
        <v>43112</v>
      </c>
      <c r="I807" t="str">
        <f>_xlfn.XLOOKUP(A807,Orders[OrderID],Orders[CustomerName])</f>
        <v>Saurabh</v>
      </c>
      <c r="J807" t="str">
        <f>_xlfn.XLOOKUP(A807,Orders[OrderID],Orders[State])</f>
        <v>Andhra Pradesh</v>
      </c>
      <c r="K807" t="str">
        <f>_xlfn.XLOOKUP(A807,Orders[OrderID],Orders[City])</f>
        <v>Hyderabad</v>
      </c>
      <c r="L807" s="3">
        <f>YEAR(Clean_Data[[#This Row],[OrderDate]])</f>
        <v>2018</v>
      </c>
      <c r="M807" s="3">
        <f>MONTH(Clean_Data[[#This Row],[OrderDate]])</f>
        <v>1</v>
      </c>
      <c r="N807" s="8" t="str">
        <f>TEXT(Clean_Data[[#This Row],[OrderDate]],"mmm")</f>
        <v>Jan</v>
      </c>
      <c r="O807" s="8" t="str">
        <f>TEXT(Clean_Data[[#This Row],[OrderDate]], "yyyy-mm")</f>
        <v>2018-01</v>
      </c>
      <c r="P807" s="7">
        <f>Clean_Data[[#This Row],[Profit]]/Clean_Data[[#This Row],[Revenue ]]</f>
        <v>4.7945205479452052E-2</v>
      </c>
      <c r="Q807" t="str">
        <f>"Q"&amp;ROUNDUP(MONTH(Clean_Data[[#This Row],[OrderDate]])/3,0)</f>
        <v>Q1</v>
      </c>
      <c r="R807" t="str">
        <f>TEXT(Clean_Data[[#This Row],[OrderDate]], "dddd")</f>
        <v>Friday</v>
      </c>
    </row>
    <row r="808" spans="1:18" x14ac:dyDescent="0.25">
      <c r="A808" t="s">
        <v>659</v>
      </c>
      <c r="B808" s="4">
        <v>130</v>
      </c>
      <c r="C808" s="4">
        <v>-41</v>
      </c>
      <c r="D808" s="3">
        <v>4</v>
      </c>
      <c r="E808" t="s">
        <v>895</v>
      </c>
      <c r="F808" t="s">
        <v>897</v>
      </c>
      <c r="G808" t="s">
        <v>890</v>
      </c>
      <c r="H808" s="6">
        <f>_xlfn.XLOOKUP(A808,Orders[OrderID],Orders[OrderDate])</f>
        <v>43224</v>
      </c>
      <c r="I808" t="str">
        <f>_xlfn.XLOOKUP(A808,Orders[OrderID],Orders[CustomerName])</f>
        <v>Aditya</v>
      </c>
      <c r="J808" t="str">
        <f>_xlfn.XLOOKUP(A808,Orders[OrderID],Orders[State])</f>
        <v>Punjab</v>
      </c>
      <c r="K808" t="str">
        <f>_xlfn.XLOOKUP(A808,Orders[OrderID],Orders[City])</f>
        <v>Chandigarh</v>
      </c>
      <c r="L808" s="3">
        <f>YEAR(Clean_Data[[#This Row],[OrderDate]])</f>
        <v>2018</v>
      </c>
      <c r="M808" s="3">
        <f>MONTH(Clean_Data[[#This Row],[OrderDate]])</f>
        <v>5</v>
      </c>
      <c r="N808" s="8" t="str">
        <f>TEXT(Clean_Data[[#This Row],[OrderDate]],"mmm")</f>
        <v>May</v>
      </c>
      <c r="O808" s="8" t="str">
        <f>TEXT(Clean_Data[[#This Row],[OrderDate]], "yyyy-mm")</f>
        <v>2018-05</v>
      </c>
      <c r="P808" s="7">
        <f>Clean_Data[[#This Row],[Profit]]/Clean_Data[[#This Row],[Revenue ]]</f>
        <v>-0.31538461538461537</v>
      </c>
      <c r="Q808" t="str">
        <f>"Q"&amp;ROUNDUP(MONTH(Clean_Data[[#This Row],[OrderDate]])/3,0)</f>
        <v>Q2</v>
      </c>
      <c r="R808" t="str">
        <f>TEXT(Clean_Data[[#This Row],[OrderDate]], "dddd")</f>
        <v>Friday</v>
      </c>
    </row>
    <row r="809" spans="1:18" x14ac:dyDescent="0.25">
      <c r="A809" t="s">
        <v>646</v>
      </c>
      <c r="B809" s="4">
        <v>141</v>
      </c>
      <c r="C809" s="4">
        <v>41</v>
      </c>
      <c r="D809" s="3">
        <v>3</v>
      </c>
      <c r="E809" t="s">
        <v>895</v>
      </c>
      <c r="F809" t="s">
        <v>909</v>
      </c>
      <c r="G809" t="s">
        <v>898</v>
      </c>
      <c r="H809" s="6">
        <f>_xlfn.XLOOKUP(A809,Orders[OrderID],Orders[OrderDate])</f>
        <v>43134</v>
      </c>
      <c r="I809" t="str">
        <f>_xlfn.XLOOKUP(A809,Orders[OrderID],Orders[CustomerName])</f>
        <v>Gaurav</v>
      </c>
      <c r="J809" t="str">
        <f>_xlfn.XLOOKUP(A809,Orders[OrderID],Orders[State])</f>
        <v>Rajasthan</v>
      </c>
      <c r="K809" t="str">
        <f>_xlfn.XLOOKUP(A809,Orders[OrderID],Orders[City])</f>
        <v>Udaipur</v>
      </c>
      <c r="L809" s="3">
        <f>YEAR(Clean_Data[[#This Row],[OrderDate]])</f>
        <v>2018</v>
      </c>
      <c r="M809" s="3">
        <f>MONTH(Clean_Data[[#This Row],[OrderDate]])</f>
        <v>2</v>
      </c>
      <c r="N809" s="8" t="str">
        <f>TEXT(Clean_Data[[#This Row],[OrderDate]],"mmm")</f>
        <v>Feb</v>
      </c>
      <c r="O809" s="8" t="str">
        <f>TEXT(Clean_Data[[#This Row],[OrderDate]], "yyyy-mm")</f>
        <v>2018-02</v>
      </c>
      <c r="P809" s="7">
        <f>Clean_Data[[#This Row],[Profit]]/Clean_Data[[#This Row],[Revenue ]]</f>
        <v>0.29078014184397161</v>
      </c>
      <c r="Q809" t="str">
        <f>"Q"&amp;ROUNDUP(MONTH(Clean_Data[[#This Row],[OrderDate]])/3,0)</f>
        <v>Q1</v>
      </c>
      <c r="R809" t="str">
        <f>TEXT(Clean_Data[[#This Row],[OrderDate]], "dddd")</f>
        <v>Saturday</v>
      </c>
    </row>
    <row r="810" spans="1:18" x14ac:dyDescent="0.25">
      <c r="A810" t="s">
        <v>320</v>
      </c>
      <c r="B810" s="4">
        <v>147</v>
      </c>
      <c r="C810" s="4">
        <v>21</v>
      </c>
      <c r="D810" s="3">
        <v>3</v>
      </c>
      <c r="E810" t="s">
        <v>888</v>
      </c>
      <c r="F810" t="s">
        <v>908</v>
      </c>
      <c r="G810" t="s">
        <v>907</v>
      </c>
      <c r="H810" s="6">
        <f>_xlfn.XLOOKUP(A810,Orders[OrderID],Orders[OrderDate])</f>
        <v>43407</v>
      </c>
      <c r="I810" t="str">
        <f>_xlfn.XLOOKUP(A810,Orders[OrderID],Orders[CustomerName])</f>
        <v>Rohan</v>
      </c>
      <c r="J810" t="str">
        <f>_xlfn.XLOOKUP(A810,Orders[OrderID],Orders[State])</f>
        <v>Himachal Pradesh</v>
      </c>
      <c r="K810" t="str">
        <f>_xlfn.XLOOKUP(A810,Orders[OrderID],Orders[City])</f>
        <v>Simla</v>
      </c>
      <c r="L810" s="3">
        <f>YEAR(Clean_Data[[#This Row],[OrderDate]])</f>
        <v>2018</v>
      </c>
      <c r="M810" s="3">
        <f>MONTH(Clean_Data[[#This Row],[OrderDate]])</f>
        <v>11</v>
      </c>
      <c r="N810" s="8" t="str">
        <f>TEXT(Clean_Data[[#This Row],[OrderDate]],"mmm")</f>
        <v>Nov</v>
      </c>
      <c r="O810" s="8" t="str">
        <f>TEXT(Clean_Data[[#This Row],[OrderDate]], "yyyy-mm")</f>
        <v>2018-11</v>
      </c>
      <c r="P810" s="7">
        <f>Clean_Data[[#This Row],[Profit]]/Clean_Data[[#This Row],[Revenue ]]</f>
        <v>0.14285714285714285</v>
      </c>
      <c r="Q810" t="str">
        <f>"Q"&amp;ROUNDUP(MONTH(Clean_Data[[#This Row],[OrderDate]])/3,0)</f>
        <v>Q4</v>
      </c>
      <c r="R810" t="str">
        <f>TEXT(Clean_Data[[#This Row],[OrderDate]], "dddd")</f>
        <v>Saturday</v>
      </c>
    </row>
    <row r="811" spans="1:18" x14ac:dyDescent="0.25">
      <c r="A811" t="s">
        <v>152</v>
      </c>
      <c r="B811" s="4">
        <v>73</v>
      </c>
      <c r="C811" s="4">
        <v>-7</v>
      </c>
      <c r="D811" s="3">
        <v>1</v>
      </c>
      <c r="E811" t="s">
        <v>885</v>
      </c>
      <c r="F811" t="s">
        <v>894</v>
      </c>
      <c r="G811" t="s">
        <v>887</v>
      </c>
      <c r="H811" s="6">
        <f>_xlfn.XLOOKUP(A811,Orders[OrderID],Orders[OrderDate])</f>
        <v>43273</v>
      </c>
      <c r="I811" t="str">
        <f>_xlfn.XLOOKUP(A811,Orders[OrderID],Orders[CustomerName])</f>
        <v>Vijay</v>
      </c>
      <c r="J811" t="str">
        <f>_xlfn.XLOOKUP(A811,Orders[OrderID],Orders[State])</f>
        <v>Jammu and Kashmir</v>
      </c>
      <c r="K811" t="str">
        <f>_xlfn.XLOOKUP(A811,Orders[OrderID],Orders[City])</f>
        <v>Kashmir</v>
      </c>
      <c r="L811" s="3">
        <f>YEAR(Clean_Data[[#This Row],[OrderDate]])</f>
        <v>2018</v>
      </c>
      <c r="M811" s="3">
        <f>MONTH(Clean_Data[[#This Row],[OrderDate]])</f>
        <v>6</v>
      </c>
      <c r="N811" s="8" t="str">
        <f>TEXT(Clean_Data[[#This Row],[OrderDate]],"mmm")</f>
        <v>Jun</v>
      </c>
      <c r="O811" s="8" t="str">
        <f>TEXT(Clean_Data[[#This Row],[OrderDate]], "yyyy-mm")</f>
        <v>2018-06</v>
      </c>
      <c r="P811" s="7">
        <f>Clean_Data[[#This Row],[Profit]]/Clean_Data[[#This Row],[Revenue ]]</f>
        <v>-9.5890410958904104E-2</v>
      </c>
      <c r="Q811" t="str">
        <f>"Q"&amp;ROUNDUP(MONTH(Clean_Data[[#This Row],[OrderDate]])/3,0)</f>
        <v>Q2</v>
      </c>
      <c r="R811" t="str">
        <f>TEXT(Clean_Data[[#This Row],[OrderDate]], "dddd")</f>
        <v>Friday</v>
      </c>
    </row>
    <row r="812" spans="1:18" x14ac:dyDescent="0.25">
      <c r="A812" t="s">
        <v>629</v>
      </c>
      <c r="B812" s="4">
        <v>148</v>
      </c>
      <c r="C812" s="4">
        <v>72</v>
      </c>
      <c r="D812" s="3">
        <v>7</v>
      </c>
      <c r="E812" t="s">
        <v>895</v>
      </c>
      <c r="F812" t="s">
        <v>906</v>
      </c>
      <c r="G812" t="s">
        <v>907</v>
      </c>
      <c r="H812" s="6">
        <f>_xlfn.XLOOKUP(A812,Orders[OrderID],Orders[OrderDate])</f>
        <v>43235</v>
      </c>
      <c r="I812" t="str">
        <f>_xlfn.XLOOKUP(A812,Orders[OrderID],Orders[CustomerName])</f>
        <v>Sanskriti</v>
      </c>
      <c r="J812" t="str">
        <f>_xlfn.XLOOKUP(A812,Orders[OrderID],Orders[State])</f>
        <v>West Bengal</v>
      </c>
      <c r="K812" t="str">
        <f>_xlfn.XLOOKUP(A812,Orders[OrderID],Orders[City])</f>
        <v>Kolkata</v>
      </c>
      <c r="L812" s="3">
        <f>YEAR(Clean_Data[[#This Row],[OrderDate]])</f>
        <v>2018</v>
      </c>
      <c r="M812" s="3">
        <f>MONTH(Clean_Data[[#This Row],[OrderDate]])</f>
        <v>5</v>
      </c>
      <c r="N812" s="8" t="str">
        <f>TEXT(Clean_Data[[#This Row],[OrderDate]],"mmm")</f>
        <v>May</v>
      </c>
      <c r="O812" s="8" t="str">
        <f>TEXT(Clean_Data[[#This Row],[OrderDate]], "yyyy-mm")</f>
        <v>2018-05</v>
      </c>
      <c r="P812" s="7">
        <f>Clean_Data[[#This Row],[Profit]]/Clean_Data[[#This Row],[Revenue ]]</f>
        <v>0.48648648648648651</v>
      </c>
      <c r="Q812" t="str">
        <f>"Q"&amp;ROUNDUP(MONTH(Clean_Data[[#This Row],[OrderDate]])/3,0)</f>
        <v>Q2</v>
      </c>
      <c r="R812" t="str">
        <f>TEXT(Clean_Data[[#This Row],[OrderDate]], "dddd")</f>
        <v>Tuesday</v>
      </c>
    </row>
    <row r="813" spans="1:18" x14ac:dyDescent="0.25">
      <c r="A813" t="s">
        <v>774</v>
      </c>
      <c r="B813" s="4">
        <v>58</v>
      </c>
      <c r="C813" s="4">
        <v>0</v>
      </c>
      <c r="D813" s="3">
        <v>4</v>
      </c>
      <c r="E813" t="s">
        <v>895</v>
      </c>
      <c r="F813" t="s">
        <v>897</v>
      </c>
      <c r="G813" t="s">
        <v>898</v>
      </c>
      <c r="H813" s="6">
        <f>_xlfn.XLOOKUP(A813,Orders[OrderID],Orders[OrderDate])</f>
        <v>43292</v>
      </c>
      <c r="I813" t="str">
        <f>_xlfn.XLOOKUP(A813,Orders[OrderID],Orders[CustomerName])</f>
        <v>Surabhi</v>
      </c>
      <c r="J813" t="str">
        <f>_xlfn.XLOOKUP(A813,Orders[OrderID],Orders[State])</f>
        <v>Tamil Nadu</v>
      </c>
      <c r="K813" t="str">
        <f>_xlfn.XLOOKUP(A813,Orders[OrderID],Orders[City])</f>
        <v>Chennai</v>
      </c>
      <c r="L813" s="3">
        <f>YEAR(Clean_Data[[#This Row],[OrderDate]])</f>
        <v>2018</v>
      </c>
      <c r="M813" s="3">
        <f>MONTH(Clean_Data[[#This Row],[OrderDate]])</f>
        <v>7</v>
      </c>
      <c r="N813" s="8" t="str">
        <f>TEXT(Clean_Data[[#This Row],[OrderDate]],"mmm")</f>
        <v>Jul</v>
      </c>
      <c r="O813" s="8" t="str">
        <f>TEXT(Clean_Data[[#This Row],[OrderDate]], "yyyy-mm")</f>
        <v>2018-07</v>
      </c>
      <c r="P813" s="7">
        <f>Clean_Data[[#This Row],[Profit]]/Clean_Data[[#This Row],[Revenue ]]</f>
        <v>0</v>
      </c>
      <c r="Q813" t="str">
        <f>"Q"&amp;ROUNDUP(MONTH(Clean_Data[[#This Row],[OrderDate]])/3,0)</f>
        <v>Q3</v>
      </c>
      <c r="R813" t="str">
        <f>TEXT(Clean_Data[[#This Row],[OrderDate]], "dddd")</f>
        <v>Wednesday</v>
      </c>
    </row>
    <row r="814" spans="1:18" x14ac:dyDescent="0.25">
      <c r="A814" t="s">
        <v>553</v>
      </c>
      <c r="B814" s="4">
        <v>21</v>
      </c>
      <c r="C814" s="4">
        <v>-13</v>
      </c>
      <c r="D814" s="3">
        <v>3</v>
      </c>
      <c r="E814" t="s">
        <v>895</v>
      </c>
      <c r="F814" t="s">
        <v>904</v>
      </c>
      <c r="G814" t="s">
        <v>898</v>
      </c>
      <c r="H814" s="6">
        <f>_xlfn.XLOOKUP(A814,Orders[OrderID],Orders[OrderDate])</f>
        <v>43228</v>
      </c>
      <c r="I814" t="str">
        <f>_xlfn.XLOOKUP(A814,Orders[OrderID],Orders[CustomerName])</f>
        <v>Tushina</v>
      </c>
      <c r="J814" t="str">
        <f>_xlfn.XLOOKUP(A814,Orders[OrderID],Orders[State])</f>
        <v>Goa</v>
      </c>
      <c r="K814" t="str">
        <f>_xlfn.XLOOKUP(A814,Orders[OrderID],Orders[City])</f>
        <v>Goa</v>
      </c>
      <c r="L814" s="3">
        <f>YEAR(Clean_Data[[#This Row],[OrderDate]])</f>
        <v>2018</v>
      </c>
      <c r="M814" s="3">
        <f>MONTH(Clean_Data[[#This Row],[OrderDate]])</f>
        <v>5</v>
      </c>
      <c r="N814" s="8" t="str">
        <f>TEXT(Clean_Data[[#This Row],[OrderDate]],"mmm")</f>
        <v>May</v>
      </c>
      <c r="O814" s="8" t="str">
        <f>TEXT(Clean_Data[[#This Row],[OrderDate]], "yyyy-mm")</f>
        <v>2018-05</v>
      </c>
      <c r="P814" s="7">
        <f>Clean_Data[[#This Row],[Profit]]/Clean_Data[[#This Row],[Revenue ]]</f>
        <v>-0.61904761904761907</v>
      </c>
      <c r="Q814" t="str">
        <f>"Q"&amp;ROUNDUP(MONTH(Clean_Data[[#This Row],[OrderDate]])/3,0)</f>
        <v>Q2</v>
      </c>
      <c r="R814" t="str">
        <f>TEXT(Clean_Data[[#This Row],[OrderDate]], "dddd")</f>
        <v>Tuesday</v>
      </c>
    </row>
    <row r="815" spans="1:18" x14ac:dyDescent="0.25">
      <c r="A815" t="s">
        <v>26</v>
      </c>
      <c r="B815" s="4">
        <v>148</v>
      </c>
      <c r="C815" s="4">
        <v>25</v>
      </c>
      <c r="D815" s="3">
        <v>3</v>
      </c>
      <c r="E815" t="s">
        <v>895</v>
      </c>
      <c r="F815" t="s">
        <v>897</v>
      </c>
      <c r="G815" t="s">
        <v>907</v>
      </c>
      <c r="H815" s="6">
        <f>_xlfn.XLOOKUP(A815,Orders[OrderID],Orders[OrderDate])</f>
        <v>43186</v>
      </c>
      <c r="I815" t="str">
        <f>_xlfn.XLOOKUP(A815,Orders[OrderID],Orders[CustomerName])</f>
        <v>Sarita</v>
      </c>
      <c r="J815" t="str">
        <f>_xlfn.XLOOKUP(A815,Orders[OrderID],Orders[State])</f>
        <v>Maharashtra</v>
      </c>
      <c r="K815" t="str">
        <f>_xlfn.XLOOKUP(A815,Orders[OrderID],Orders[City])</f>
        <v>Pune</v>
      </c>
      <c r="L815" s="3">
        <f>YEAR(Clean_Data[[#This Row],[OrderDate]])</f>
        <v>2018</v>
      </c>
      <c r="M815" s="3">
        <f>MONTH(Clean_Data[[#This Row],[OrderDate]])</f>
        <v>3</v>
      </c>
      <c r="N815" s="8" t="str">
        <f>TEXT(Clean_Data[[#This Row],[OrderDate]],"mmm")</f>
        <v>Mar</v>
      </c>
      <c r="O815" s="8" t="str">
        <f>TEXT(Clean_Data[[#This Row],[OrderDate]], "yyyy-mm")</f>
        <v>2018-03</v>
      </c>
      <c r="P815" s="7">
        <f>Clean_Data[[#This Row],[Profit]]/Clean_Data[[#This Row],[Revenue ]]</f>
        <v>0.16891891891891891</v>
      </c>
      <c r="Q815" t="str">
        <f>"Q"&amp;ROUNDUP(MONTH(Clean_Data[[#This Row],[OrderDate]])/3,0)</f>
        <v>Q1</v>
      </c>
      <c r="R815" t="str">
        <f>TEXT(Clean_Data[[#This Row],[OrderDate]], "dddd")</f>
        <v>Tuesday</v>
      </c>
    </row>
    <row r="816" spans="1:18" x14ac:dyDescent="0.25">
      <c r="A816" t="s">
        <v>639</v>
      </c>
      <c r="B816" s="4">
        <v>144</v>
      </c>
      <c r="C816" s="4">
        <v>-7</v>
      </c>
      <c r="D816" s="3">
        <v>4</v>
      </c>
      <c r="E816" t="s">
        <v>885</v>
      </c>
      <c r="F816" t="s">
        <v>886</v>
      </c>
      <c r="G816" t="s">
        <v>887</v>
      </c>
      <c r="H816" s="6">
        <f>_xlfn.XLOOKUP(A816,Orders[OrderID],Orders[OrderDate])</f>
        <v>43301</v>
      </c>
      <c r="I816" t="str">
        <f>_xlfn.XLOOKUP(A816,Orders[OrderID],Orders[CustomerName])</f>
        <v>Anisha</v>
      </c>
      <c r="J816" t="str">
        <f>_xlfn.XLOOKUP(A816,Orders[OrderID],Orders[State])</f>
        <v>Nagaland</v>
      </c>
      <c r="K816" t="str">
        <f>_xlfn.XLOOKUP(A816,Orders[OrderID],Orders[City])</f>
        <v>Kohima</v>
      </c>
      <c r="L816" s="3">
        <f>YEAR(Clean_Data[[#This Row],[OrderDate]])</f>
        <v>2018</v>
      </c>
      <c r="M816" s="3">
        <f>MONTH(Clean_Data[[#This Row],[OrderDate]])</f>
        <v>7</v>
      </c>
      <c r="N816" s="8" t="str">
        <f>TEXT(Clean_Data[[#This Row],[OrderDate]],"mmm")</f>
        <v>Jul</v>
      </c>
      <c r="O816" s="8" t="str">
        <f>TEXT(Clean_Data[[#This Row],[OrderDate]], "yyyy-mm")</f>
        <v>2018-07</v>
      </c>
      <c r="P816" s="7">
        <f>Clean_Data[[#This Row],[Profit]]/Clean_Data[[#This Row],[Revenue ]]</f>
        <v>-4.8611111111111112E-2</v>
      </c>
      <c r="Q816" t="str">
        <f>"Q"&amp;ROUNDUP(MONTH(Clean_Data[[#This Row],[OrderDate]])/3,0)</f>
        <v>Q3</v>
      </c>
      <c r="R816" t="str">
        <f>TEXT(Clean_Data[[#This Row],[OrderDate]], "dddd")</f>
        <v>Friday</v>
      </c>
    </row>
    <row r="817" spans="1:18" x14ac:dyDescent="0.25">
      <c r="A817" t="s">
        <v>539</v>
      </c>
      <c r="B817" s="4">
        <v>145</v>
      </c>
      <c r="C817" s="4">
        <v>-104</v>
      </c>
      <c r="D817" s="3">
        <v>5</v>
      </c>
      <c r="E817" t="s">
        <v>888</v>
      </c>
      <c r="F817" t="s">
        <v>889</v>
      </c>
      <c r="G817" t="s">
        <v>898</v>
      </c>
      <c r="H817" s="6">
        <f>_xlfn.XLOOKUP(A817,Orders[OrderID],Orders[OrderDate])</f>
        <v>43237</v>
      </c>
      <c r="I817" t="str">
        <f>_xlfn.XLOOKUP(A817,Orders[OrderID],Orders[CustomerName])</f>
        <v>Subhashree</v>
      </c>
      <c r="J817" t="str">
        <f>_xlfn.XLOOKUP(A817,Orders[OrderID],Orders[State])</f>
        <v>Jammu and Kashmir</v>
      </c>
      <c r="K817" t="str">
        <f>_xlfn.XLOOKUP(A817,Orders[OrderID],Orders[City])</f>
        <v>Kashmir</v>
      </c>
      <c r="L817" s="3">
        <f>YEAR(Clean_Data[[#This Row],[OrderDate]])</f>
        <v>2018</v>
      </c>
      <c r="M817" s="3">
        <f>MONTH(Clean_Data[[#This Row],[OrderDate]])</f>
        <v>5</v>
      </c>
      <c r="N817" s="8" t="str">
        <f>TEXT(Clean_Data[[#This Row],[OrderDate]],"mmm")</f>
        <v>May</v>
      </c>
      <c r="O817" s="8" t="str">
        <f>TEXT(Clean_Data[[#This Row],[OrderDate]], "yyyy-mm")</f>
        <v>2018-05</v>
      </c>
      <c r="P817" s="7">
        <f>Clean_Data[[#This Row],[Profit]]/Clean_Data[[#This Row],[Revenue ]]</f>
        <v>-0.71724137931034482</v>
      </c>
      <c r="Q817" t="str">
        <f>"Q"&amp;ROUNDUP(MONTH(Clean_Data[[#This Row],[OrderDate]])/3,0)</f>
        <v>Q2</v>
      </c>
      <c r="R817" t="str">
        <f>TEXT(Clean_Data[[#This Row],[OrderDate]], "dddd")</f>
        <v>Thursday</v>
      </c>
    </row>
    <row r="818" spans="1:18" x14ac:dyDescent="0.25">
      <c r="A818" t="s">
        <v>335</v>
      </c>
      <c r="B818" s="4">
        <v>72</v>
      </c>
      <c r="C818" s="4">
        <v>-49</v>
      </c>
      <c r="D818" s="3">
        <v>1</v>
      </c>
      <c r="E818" t="s">
        <v>885</v>
      </c>
      <c r="F818" t="s">
        <v>894</v>
      </c>
      <c r="G818" t="s">
        <v>887</v>
      </c>
      <c r="H818" s="6">
        <f>_xlfn.XLOOKUP(A818,Orders[OrderID],Orders[OrderDate])</f>
        <v>43269</v>
      </c>
      <c r="I818" t="str">
        <f>_xlfn.XLOOKUP(A818,Orders[OrderID],Orders[CustomerName])</f>
        <v>Parna</v>
      </c>
      <c r="J818" t="str">
        <f>_xlfn.XLOOKUP(A818,Orders[OrderID],Orders[State])</f>
        <v>Madhya Pradesh</v>
      </c>
      <c r="K818" t="str">
        <f>_xlfn.XLOOKUP(A818,Orders[OrderID],Orders[City])</f>
        <v>Bhopal</v>
      </c>
      <c r="L818" s="3">
        <f>YEAR(Clean_Data[[#This Row],[OrderDate]])</f>
        <v>2018</v>
      </c>
      <c r="M818" s="3">
        <f>MONTH(Clean_Data[[#This Row],[OrderDate]])</f>
        <v>6</v>
      </c>
      <c r="N818" s="8" t="str">
        <f>TEXT(Clean_Data[[#This Row],[OrderDate]],"mmm")</f>
        <v>Jun</v>
      </c>
      <c r="O818" s="8" t="str">
        <f>TEXT(Clean_Data[[#This Row],[OrderDate]], "yyyy-mm")</f>
        <v>2018-06</v>
      </c>
      <c r="P818" s="7">
        <f>Clean_Data[[#This Row],[Profit]]/Clean_Data[[#This Row],[Revenue ]]</f>
        <v>-0.68055555555555558</v>
      </c>
      <c r="Q818" t="str">
        <f>"Q"&amp;ROUNDUP(MONTH(Clean_Data[[#This Row],[OrderDate]])/3,0)</f>
        <v>Q2</v>
      </c>
      <c r="R818" t="str">
        <f>TEXT(Clean_Data[[#This Row],[OrderDate]], "dddd")</f>
        <v>Monday</v>
      </c>
    </row>
    <row r="819" spans="1:18" x14ac:dyDescent="0.25">
      <c r="A819" t="s">
        <v>89</v>
      </c>
      <c r="B819" s="4">
        <v>125</v>
      </c>
      <c r="C819" s="4">
        <v>15</v>
      </c>
      <c r="D819" s="3">
        <v>5</v>
      </c>
      <c r="E819" t="s">
        <v>895</v>
      </c>
      <c r="F819" t="s">
        <v>909</v>
      </c>
      <c r="G819" t="s">
        <v>890</v>
      </c>
      <c r="H819" s="6">
        <f>_xlfn.XLOOKUP(A819,Orders[OrderID],Orders[OrderDate])</f>
        <v>43448</v>
      </c>
      <c r="I819" t="str">
        <f>_xlfn.XLOOKUP(A819,Orders[OrderID],Orders[CustomerName])</f>
        <v>Jay</v>
      </c>
      <c r="J819" t="str">
        <f>_xlfn.XLOOKUP(A819,Orders[OrderID],Orders[State])</f>
        <v>Delhi</v>
      </c>
      <c r="K819" t="str">
        <f>_xlfn.XLOOKUP(A819,Orders[OrderID],Orders[City])</f>
        <v>Delhi</v>
      </c>
      <c r="L819" s="3">
        <f>YEAR(Clean_Data[[#This Row],[OrderDate]])</f>
        <v>2018</v>
      </c>
      <c r="M819" s="3">
        <f>MONTH(Clean_Data[[#This Row],[OrderDate]])</f>
        <v>12</v>
      </c>
      <c r="N819" s="8" t="str">
        <f>TEXT(Clean_Data[[#This Row],[OrderDate]],"mmm")</f>
        <v>Dec</v>
      </c>
      <c r="O819" s="8" t="str">
        <f>TEXT(Clean_Data[[#This Row],[OrderDate]], "yyyy-mm")</f>
        <v>2018-12</v>
      </c>
      <c r="P819" s="7">
        <f>Clean_Data[[#This Row],[Profit]]/Clean_Data[[#This Row],[Revenue ]]</f>
        <v>0.12</v>
      </c>
      <c r="Q819" t="str">
        <f>"Q"&amp;ROUNDUP(MONTH(Clean_Data[[#This Row],[OrderDate]])/3,0)</f>
        <v>Q4</v>
      </c>
      <c r="R819" t="str">
        <f>TEXT(Clean_Data[[#This Row],[OrderDate]], "dddd")</f>
        <v>Friday</v>
      </c>
    </row>
    <row r="820" spans="1:18" x14ac:dyDescent="0.25">
      <c r="A820" t="s">
        <v>108</v>
      </c>
      <c r="B820" s="4">
        <v>149</v>
      </c>
      <c r="C820" s="4">
        <v>15</v>
      </c>
      <c r="D820" s="3">
        <v>3</v>
      </c>
      <c r="E820" t="s">
        <v>895</v>
      </c>
      <c r="F820" t="s">
        <v>897</v>
      </c>
      <c r="G820" t="s">
        <v>907</v>
      </c>
      <c r="H820" s="6">
        <f>_xlfn.XLOOKUP(A820,Orders[OrderID],Orders[OrderDate])</f>
        <v>43109</v>
      </c>
      <c r="I820" t="str">
        <f>_xlfn.XLOOKUP(A820,Orders[OrderID],Orders[CustomerName])</f>
        <v>Shardul</v>
      </c>
      <c r="J820" t="str">
        <f>_xlfn.XLOOKUP(A820,Orders[OrderID],Orders[State])</f>
        <v>Gujarat</v>
      </c>
      <c r="K820" t="str">
        <f>_xlfn.XLOOKUP(A820,Orders[OrderID],Orders[City])</f>
        <v>Ahmedabad</v>
      </c>
      <c r="L820" s="3">
        <f>YEAR(Clean_Data[[#This Row],[OrderDate]])</f>
        <v>2018</v>
      </c>
      <c r="M820" s="3">
        <f>MONTH(Clean_Data[[#This Row],[OrderDate]])</f>
        <v>1</v>
      </c>
      <c r="N820" s="8" t="str">
        <f>TEXT(Clean_Data[[#This Row],[OrderDate]],"mmm")</f>
        <v>Jan</v>
      </c>
      <c r="O820" s="8" t="str">
        <f>TEXT(Clean_Data[[#This Row],[OrderDate]], "yyyy-mm")</f>
        <v>2018-01</v>
      </c>
      <c r="P820" s="7">
        <f>Clean_Data[[#This Row],[Profit]]/Clean_Data[[#This Row],[Revenue ]]</f>
        <v>0.10067114093959731</v>
      </c>
      <c r="Q820" t="str">
        <f>"Q"&amp;ROUNDUP(MONTH(Clean_Data[[#This Row],[OrderDate]])/3,0)</f>
        <v>Q1</v>
      </c>
      <c r="R820" t="str">
        <f>TEXT(Clean_Data[[#This Row],[OrderDate]], "dddd")</f>
        <v>Tuesday</v>
      </c>
    </row>
    <row r="821" spans="1:18" x14ac:dyDescent="0.25">
      <c r="A821" t="s">
        <v>256</v>
      </c>
      <c r="B821" s="4">
        <v>72</v>
      </c>
      <c r="C821" s="4">
        <v>16</v>
      </c>
      <c r="D821" s="3">
        <v>2</v>
      </c>
      <c r="E821" t="s">
        <v>895</v>
      </c>
      <c r="F821" t="s">
        <v>909</v>
      </c>
      <c r="G821" t="s">
        <v>887</v>
      </c>
      <c r="H821" s="6">
        <f>_xlfn.XLOOKUP(A821,Orders[OrderID],Orders[OrderDate])</f>
        <v>43190</v>
      </c>
      <c r="I821" t="str">
        <f>_xlfn.XLOOKUP(A821,Orders[OrderID],Orders[CustomerName])</f>
        <v>Hitika</v>
      </c>
      <c r="J821" t="str">
        <f>_xlfn.XLOOKUP(A821,Orders[OrderID],Orders[State])</f>
        <v>Madhya Pradesh</v>
      </c>
      <c r="K821" t="str">
        <f>_xlfn.XLOOKUP(A821,Orders[OrderID],Orders[City])</f>
        <v>Indore</v>
      </c>
      <c r="L821" s="3">
        <f>YEAR(Clean_Data[[#This Row],[OrderDate]])</f>
        <v>2018</v>
      </c>
      <c r="M821" s="3">
        <f>MONTH(Clean_Data[[#This Row],[OrderDate]])</f>
        <v>3</v>
      </c>
      <c r="N821" s="8" t="str">
        <f>TEXT(Clean_Data[[#This Row],[OrderDate]],"mmm")</f>
        <v>Mar</v>
      </c>
      <c r="O821" s="8" t="str">
        <f>TEXT(Clean_Data[[#This Row],[OrderDate]], "yyyy-mm")</f>
        <v>2018-03</v>
      </c>
      <c r="P821" s="7">
        <f>Clean_Data[[#This Row],[Profit]]/Clean_Data[[#This Row],[Revenue ]]</f>
        <v>0.22222222222222221</v>
      </c>
      <c r="Q821" t="str">
        <f>"Q"&amp;ROUNDUP(MONTH(Clean_Data[[#This Row],[OrderDate]])/3,0)</f>
        <v>Q1</v>
      </c>
      <c r="R821" t="str">
        <f>TEXT(Clean_Data[[#This Row],[OrderDate]], "dddd")</f>
        <v>Saturday</v>
      </c>
    </row>
    <row r="822" spans="1:18" x14ac:dyDescent="0.25">
      <c r="A822" t="s">
        <v>57</v>
      </c>
      <c r="B822" s="4">
        <v>71</v>
      </c>
      <c r="C822" s="4">
        <v>0</v>
      </c>
      <c r="D822" s="3">
        <v>8</v>
      </c>
      <c r="E822" t="s">
        <v>895</v>
      </c>
      <c r="F822" t="s">
        <v>901</v>
      </c>
      <c r="G822" t="s">
        <v>887</v>
      </c>
      <c r="H822" s="6">
        <f>_xlfn.XLOOKUP(A822,Orders[OrderID],Orders[OrderDate])</f>
        <v>43399</v>
      </c>
      <c r="I822" t="str">
        <f>_xlfn.XLOOKUP(A822,Orders[OrderID],Orders[CustomerName])</f>
        <v>Aastha</v>
      </c>
      <c r="J822" t="str">
        <f>_xlfn.XLOOKUP(A822,Orders[OrderID],Orders[State])</f>
        <v>Himachal Pradesh</v>
      </c>
      <c r="K822" t="str">
        <f>_xlfn.XLOOKUP(A822,Orders[OrderID],Orders[City])</f>
        <v>Simla</v>
      </c>
      <c r="L822" s="3">
        <f>YEAR(Clean_Data[[#This Row],[OrderDate]])</f>
        <v>2018</v>
      </c>
      <c r="M822" s="3">
        <f>MONTH(Clean_Data[[#This Row],[OrderDate]])</f>
        <v>10</v>
      </c>
      <c r="N822" s="8" t="str">
        <f>TEXT(Clean_Data[[#This Row],[OrderDate]],"mmm")</f>
        <v>Oct</v>
      </c>
      <c r="O822" s="8" t="str">
        <f>TEXT(Clean_Data[[#This Row],[OrderDate]], "yyyy-mm")</f>
        <v>2018-10</v>
      </c>
      <c r="P822" s="7">
        <f>Clean_Data[[#This Row],[Profit]]/Clean_Data[[#This Row],[Revenue ]]</f>
        <v>0</v>
      </c>
      <c r="Q822" t="str">
        <f>"Q"&amp;ROUNDUP(MONTH(Clean_Data[[#This Row],[OrderDate]])/3,0)</f>
        <v>Q4</v>
      </c>
      <c r="R822" t="str">
        <f>TEXT(Clean_Data[[#This Row],[OrderDate]], "dddd")</f>
        <v>Friday</v>
      </c>
    </row>
    <row r="823" spans="1:18" x14ac:dyDescent="0.25">
      <c r="A823" t="s">
        <v>760</v>
      </c>
      <c r="B823" s="4">
        <v>71</v>
      </c>
      <c r="C823" s="4">
        <v>-14</v>
      </c>
      <c r="D823" s="3">
        <v>4</v>
      </c>
      <c r="E823" t="s">
        <v>888</v>
      </c>
      <c r="F823" t="s">
        <v>908</v>
      </c>
      <c r="G823" t="s">
        <v>887</v>
      </c>
      <c r="H823" s="6">
        <f>_xlfn.XLOOKUP(A823,Orders[OrderID],Orders[OrderDate])</f>
        <v>43104</v>
      </c>
      <c r="I823" t="str">
        <f>_xlfn.XLOOKUP(A823,Orders[OrderID],Orders[CustomerName])</f>
        <v>Bhutekar</v>
      </c>
      <c r="J823" t="str">
        <f>_xlfn.XLOOKUP(A823,Orders[OrderID],Orders[State])</f>
        <v>Madhya Pradesh</v>
      </c>
      <c r="K823" t="str">
        <f>_xlfn.XLOOKUP(A823,Orders[OrderID],Orders[City])</f>
        <v>Indore</v>
      </c>
      <c r="L823" s="3">
        <f>YEAR(Clean_Data[[#This Row],[OrderDate]])</f>
        <v>2018</v>
      </c>
      <c r="M823" s="3">
        <f>MONTH(Clean_Data[[#This Row],[OrderDate]])</f>
        <v>1</v>
      </c>
      <c r="N823" s="8" t="str">
        <f>TEXT(Clean_Data[[#This Row],[OrderDate]],"mmm")</f>
        <v>Jan</v>
      </c>
      <c r="O823" s="8" t="str">
        <f>TEXT(Clean_Data[[#This Row],[OrderDate]], "yyyy-mm")</f>
        <v>2018-01</v>
      </c>
      <c r="P823" s="7">
        <f>Clean_Data[[#This Row],[Profit]]/Clean_Data[[#This Row],[Revenue ]]</f>
        <v>-0.19718309859154928</v>
      </c>
      <c r="Q823" t="str">
        <f>"Q"&amp;ROUNDUP(MONTH(Clean_Data[[#This Row],[OrderDate]])/3,0)</f>
        <v>Q1</v>
      </c>
      <c r="R823" t="str">
        <f>TEXT(Clean_Data[[#This Row],[OrderDate]], "dddd")</f>
        <v>Thursday</v>
      </c>
    </row>
    <row r="824" spans="1:18" x14ac:dyDescent="0.25">
      <c r="A824" t="s">
        <v>148</v>
      </c>
      <c r="B824" s="4">
        <v>154</v>
      </c>
      <c r="C824" s="4">
        <v>-85</v>
      </c>
      <c r="D824" s="3">
        <v>3</v>
      </c>
      <c r="E824" t="s">
        <v>888</v>
      </c>
      <c r="F824" t="s">
        <v>889</v>
      </c>
      <c r="G824" t="s">
        <v>890</v>
      </c>
      <c r="H824" s="6">
        <f>_xlfn.XLOOKUP(A824,Orders[OrderID],Orders[OrderDate])</f>
        <v>43102</v>
      </c>
      <c r="I824" t="str">
        <f>_xlfn.XLOOKUP(A824,Orders[OrderID],Orders[CustomerName])</f>
        <v>Girase</v>
      </c>
      <c r="J824" t="str">
        <f>_xlfn.XLOOKUP(A824,Orders[OrderID],Orders[State])</f>
        <v xml:space="preserve">Kerala </v>
      </c>
      <c r="K824" t="str">
        <f>_xlfn.XLOOKUP(A824,Orders[OrderID],Orders[City])</f>
        <v>Thiruvananthapuram</v>
      </c>
      <c r="L824" s="3">
        <f>YEAR(Clean_Data[[#This Row],[OrderDate]])</f>
        <v>2018</v>
      </c>
      <c r="M824" s="3">
        <f>MONTH(Clean_Data[[#This Row],[OrderDate]])</f>
        <v>1</v>
      </c>
      <c r="N824" s="8" t="str">
        <f>TEXT(Clean_Data[[#This Row],[OrderDate]],"mmm")</f>
        <v>Jan</v>
      </c>
      <c r="O824" s="8" t="str">
        <f>TEXT(Clean_Data[[#This Row],[OrderDate]], "yyyy-mm")</f>
        <v>2018-01</v>
      </c>
      <c r="P824" s="7">
        <f>Clean_Data[[#This Row],[Profit]]/Clean_Data[[#This Row],[Revenue ]]</f>
        <v>-0.55194805194805197</v>
      </c>
      <c r="Q824" t="str">
        <f>"Q"&amp;ROUNDUP(MONTH(Clean_Data[[#This Row],[OrderDate]])/3,0)</f>
        <v>Q1</v>
      </c>
      <c r="R824" t="str">
        <f>TEXT(Clean_Data[[#This Row],[OrderDate]], "dddd")</f>
        <v>Tuesday</v>
      </c>
    </row>
    <row r="825" spans="1:18" x14ac:dyDescent="0.25">
      <c r="A825" t="s">
        <v>304</v>
      </c>
      <c r="B825" s="4">
        <v>191</v>
      </c>
      <c r="C825" s="4">
        <v>13</v>
      </c>
      <c r="D825" s="3">
        <v>8</v>
      </c>
      <c r="E825" t="s">
        <v>888</v>
      </c>
      <c r="F825" t="s">
        <v>908</v>
      </c>
      <c r="G825" t="s">
        <v>887</v>
      </c>
      <c r="H825" s="6">
        <f>_xlfn.XLOOKUP(A825,Orders[OrderID],Orders[OrderDate])</f>
        <v>43282</v>
      </c>
      <c r="I825" t="str">
        <f>_xlfn.XLOOKUP(A825,Orders[OrderID],Orders[CustomerName])</f>
        <v>Kishwar</v>
      </c>
      <c r="J825" t="str">
        <f>_xlfn.XLOOKUP(A825,Orders[OrderID],Orders[State])</f>
        <v>Madhya Pradesh</v>
      </c>
      <c r="K825" t="str">
        <f>_xlfn.XLOOKUP(A825,Orders[OrderID],Orders[City])</f>
        <v>Indore</v>
      </c>
      <c r="L825" s="3">
        <f>YEAR(Clean_Data[[#This Row],[OrderDate]])</f>
        <v>2018</v>
      </c>
      <c r="M825" s="3">
        <f>MONTH(Clean_Data[[#This Row],[OrderDate]])</f>
        <v>7</v>
      </c>
      <c r="N825" s="8" t="str">
        <f>TEXT(Clean_Data[[#This Row],[OrderDate]],"mmm")</f>
        <v>Jul</v>
      </c>
      <c r="O825" s="8" t="str">
        <f>TEXT(Clean_Data[[#This Row],[OrderDate]], "yyyy-mm")</f>
        <v>2018-07</v>
      </c>
      <c r="P825" s="7">
        <f>Clean_Data[[#This Row],[Profit]]/Clean_Data[[#This Row],[Revenue ]]</f>
        <v>6.8062827225130892E-2</v>
      </c>
      <c r="Q825" t="str">
        <f>"Q"&amp;ROUNDUP(MONTH(Clean_Data[[#This Row],[OrderDate]])/3,0)</f>
        <v>Q3</v>
      </c>
      <c r="R825" t="str">
        <f>TEXT(Clean_Data[[#This Row],[OrderDate]], "dddd")</f>
        <v>Sunday</v>
      </c>
    </row>
    <row r="826" spans="1:18" x14ac:dyDescent="0.25">
      <c r="A826" t="s">
        <v>591</v>
      </c>
      <c r="B826" s="4">
        <v>170</v>
      </c>
      <c r="C826" s="4">
        <v>19</v>
      </c>
      <c r="D826" s="3">
        <v>5</v>
      </c>
      <c r="E826" t="s">
        <v>895</v>
      </c>
      <c r="F826" t="s">
        <v>906</v>
      </c>
      <c r="G826" t="s">
        <v>898</v>
      </c>
      <c r="H826" s="6">
        <f>_xlfn.XLOOKUP(A826,Orders[OrderID],Orders[OrderDate])</f>
        <v>43459</v>
      </c>
      <c r="I826" t="str">
        <f>_xlfn.XLOOKUP(A826,Orders[OrderID],Orders[CustomerName])</f>
        <v>Sandra</v>
      </c>
      <c r="J826" t="str">
        <f>_xlfn.XLOOKUP(A826,Orders[OrderID],Orders[State])</f>
        <v>Punjab</v>
      </c>
      <c r="K826" t="str">
        <f>_xlfn.XLOOKUP(A826,Orders[OrderID],Orders[City])</f>
        <v>Amritsar</v>
      </c>
      <c r="L826" s="3">
        <f>YEAR(Clean_Data[[#This Row],[OrderDate]])</f>
        <v>2018</v>
      </c>
      <c r="M826" s="3">
        <f>MONTH(Clean_Data[[#This Row],[OrderDate]])</f>
        <v>12</v>
      </c>
      <c r="N826" s="8" t="str">
        <f>TEXT(Clean_Data[[#This Row],[OrderDate]],"mmm")</f>
        <v>Dec</v>
      </c>
      <c r="O826" s="8" t="str">
        <f>TEXT(Clean_Data[[#This Row],[OrderDate]], "yyyy-mm")</f>
        <v>2018-12</v>
      </c>
      <c r="P826" s="7">
        <f>Clean_Data[[#This Row],[Profit]]/Clean_Data[[#This Row],[Revenue ]]</f>
        <v>0.11176470588235295</v>
      </c>
      <c r="Q826" t="str">
        <f>"Q"&amp;ROUNDUP(MONTH(Clean_Data[[#This Row],[OrderDate]])/3,0)</f>
        <v>Q4</v>
      </c>
      <c r="R826" t="str">
        <f>TEXT(Clean_Data[[#This Row],[OrderDate]], "dddd")</f>
        <v>Tuesday</v>
      </c>
    </row>
    <row r="827" spans="1:18" x14ac:dyDescent="0.25">
      <c r="A827" t="s">
        <v>71</v>
      </c>
      <c r="B827" s="4">
        <v>47</v>
      </c>
      <c r="C827" s="4">
        <v>-3</v>
      </c>
      <c r="D827" s="3">
        <v>2</v>
      </c>
      <c r="E827" t="s">
        <v>895</v>
      </c>
      <c r="F827" t="s">
        <v>903</v>
      </c>
      <c r="G827" t="s">
        <v>898</v>
      </c>
      <c r="H827" s="6">
        <f>_xlfn.XLOOKUP(A827,Orders[OrderID],Orders[OrderDate])</f>
        <v>43331</v>
      </c>
      <c r="I827" t="str">
        <f>_xlfn.XLOOKUP(A827,Orders[OrderID],Orders[CustomerName])</f>
        <v>Shourya</v>
      </c>
      <c r="J827" t="str">
        <f>_xlfn.XLOOKUP(A827,Orders[OrderID],Orders[State])</f>
        <v xml:space="preserve">Kerala </v>
      </c>
      <c r="K827" t="str">
        <f>_xlfn.XLOOKUP(A827,Orders[OrderID],Orders[City])</f>
        <v>Thiruvananthapuram</v>
      </c>
      <c r="L827" s="3">
        <f>YEAR(Clean_Data[[#This Row],[OrderDate]])</f>
        <v>2018</v>
      </c>
      <c r="M827" s="3">
        <f>MONTH(Clean_Data[[#This Row],[OrderDate]])</f>
        <v>8</v>
      </c>
      <c r="N827" s="8" t="str">
        <f>TEXT(Clean_Data[[#This Row],[OrderDate]],"mmm")</f>
        <v>Aug</v>
      </c>
      <c r="O827" s="8" t="str">
        <f>TEXT(Clean_Data[[#This Row],[OrderDate]], "yyyy-mm")</f>
        <v>2018-08</v>
      </c>
      <c r="P827" s="7">
        <f>Clean_Data[[#This Row],[Profit]]/Clean_Data[[#This Row],[Revenue ]]</f>
        <v>-6.3829787234042548E-2</v>
      </c>
      <c r="Q827" t="str">
        <f>"Q"&amp;ROUNDUP(MONTH(Clean_Data[[#This Row],[OrderDate]])/3,0)</f>
        <v>Q3</v>
      </c>
      <c r="R827" t="str">
        <f>TEXT(Clean_Data[[#This Row],[OrderDate]], "dddd")</f>
        <v>Sunday</v>
      </c>
    </row>
    <row r="828" spans="1:18" x14ac:dyDescent="0.25">
      <c r="A828" t="s">
        <v>489</v>
      </c>
      <c r="B828" s="4">
        <v>122</v>
      </c>
      <c r="C828" s="4">
        <v>-47</v>
      </c>
      <c r="D828" s="3">
        <v>4</v>
      </c>
      <c r="E828" t="s">
        <v>895</v>
      </c>
      <c r="F828" t="s">
        <v>897</v>
      </c>
      <c r="G828" t="s">
        <v>890</v>
      </c>
      <c r="H828" s="6">
        <f>_xlfn.XLOOKUP(A828,Orders[OrderID],Orders[OrderDate])</f>
        <v>43217</v>
      </c>
      <c r="I828" t="str">
        <f>_xlfn.XLOOKUP(A828,Orders[OrderID],Orders[CustomerName])</f>
        <v>Paridhi</v>
      </c>
      <c r="J828" t="str">
        <f>_xlfn.XLOOKUP(A828,Orders[OrderID],Orders[State])</f>
        <v>Rajasthan</v>
      </c>
      <c r="K828" t="str">
        <f>_xlfn.XLOOKUP(A828,Orders[OrderID],Orders[City])</f>
        <v>Jaipur</v>
      </c>
      <c r="L828" s="3">
        <f>YEAR(Clean_Data[[#This Row],[OrderDate]])</f>
        <v>2018</v>
      </c>
      <c r="M828" s="3">
        <f>MONTH(Clean_Data[[#This Row],[OrderDate]])</f>
        <v>4</v>
      </c>
      <c r="N828" s="8" t="str">
        <f>TEXT(Clean_Data[[#This Row],[OrderDate]],"mmm")</f>
        <v>Apr</v>
      </c>
      <c r="O828" s="8" t="str">
        <f>TEXT(Clean_Data[[#This Row],[OrderDate]], "yyyy-mm")</f>
        <v>2018-04</v>
      </c>
      <c r="P828" s="7">
        <f>Clean_Data[[#This Row],[Profit]]/Clean_Data[[#This Row],[Revenue ]]</f>
        <v>-0.38524590163934425</v>
      </c>
      <c r="Q828" t="str">
        <f>"Q"&amp;ROUNDUP(MONTH(Clean_Data[[#This Row],[OrderDate]])/3,0)</f>
        <v>Q2</v>
      </c>
      <c r="R828" t="str">
        <f>TEXT(Clean_Data[[#This Row],[OrderDate]], "dddd")</f>
        <v>Friday</v>
      </c>
    </row>
    <row r="829" spans="1:18" x14ac:dyDescent="0.25">
      <c r="A829" t="s">
        <v>216</v>
      </c>
      <c r="B829" s="4">
        <v>70</v>
      </c>
      <c r="C829" s="4">
        <v>26</v>
      </c>
      <c r="D829" s="3">
        <v>5</v>
      </c>
      <c r="E829" t="s">
        <v>895</v>
      </c>
      <c r="F829" t="s">
        <v>899</v>
      </c>
      <c r="G829" t="s">
        <v>887</v>
      </c>
      <c r="H829" s="6">
        <f>_xlfn.XLOOKUP(A829,Orders[OrderID],Orders[OrderDate])</f>
        <v>43402</v>
      </c>
      <c r="I829" t="str">
        <f>_xlfn.XLOOKUP(A829,Orders[OrderID],Orders[CustomerName])</f>
        <v>Sanjana</v>
      </c>
      <c r="J829" t="str">
        <f>_xlfn.XLOOKUP(A829,Orders[OrderID],Orders[State])</f>
        <v>Madhya Pradesh</v>
      </c>
      <c r="K829" t="str">
        <f>_xlfn.XLOOKUP(A829,Orders[OrderID],Orders[City])</f>
        <v>Indore</v>
      </c>
      <c r="L829" s="3">
        <f>YEAR(Clean_Data[[#This Row],[OrderDate]])</f>
        <v>2018</v>
      </c>
      <c r="M829" s="3">
        <f>MONTH(Clean_Data[[#This Row],[OrderDate]])</f>
        <v>10</v>
      </c>
      <c r="N829" s="8" t="str">
        <f>TEXT(Clean_Data[[#This Row],[OrderDate]],"mmm")</f>
        <v>Oct</v>
      </c>
      <c r="O829" s="8" t="str">
        <f>TEXT(Clean_Data[[#This Row],[OrderDate]], "yyyy-mm")</f>
        <v>2018-10</v>
      </c>
      <c r="P829" s="7">
        <f>Clean_Data[[#This Row],[Profit]]/Clean_Data[[#This Row],[Revenue ]]</f>
        <v>0.37142857142857144</v>
      </c>
      <c r="Q829" t="str">
        <f>"Q"&amp;ROUNDUP(MONTH(Clean_Data[[#This Row],[OrderDate]])/3,0)</f>
        <v>Q4</v>
      </c>
      <c r="R829" t="str">
        <f>TEXT(Clean_Data[[#This Row],[OrderDate]], "dddd")</f>
        <v>Monday</v>
      </c>
    </row>
    <row r="830" spans="1:18" x14ac:dyDescent="0.25">
      <c r="A830" t="s">
        <v>614</v>
      </c>
      <c r="B830" s="4">
        <v>155</v>
      </c>
      <c r="C830" s="4">
        <v>5</v>
      </c>
      <c r="D830" s="3">
        <v>3</v>
      </c>
      <c r="E830" t="s">
        <v>895</v>
      </c>
      <c r="F830" t="s">
        <v>903</v>
      </c>
      <c r="G830" t="s">
        <v>890</v>
      </c>
      <c r="H830" s="6">
        <f>_xlfn.XLOOKUP(A830,Orders[OrderID],Orders[OrderDate])</f>
        <v>43150</v>
      </c>
      <c r="I830" t="str">
        <f>_xlfn.XLOOKUP(A830,Orders[OrderID],Orders[CustomerName])</f>
        <v>Bhavna</v>
      </c>
      <c r="J830" t="str">
        <f>_xlfn.XLOOKUP(A830,Orders[OrderID],Orders[State])</f>
        <v>Sikkim</v>
      </c>
      <c r="K830" t="str">
        <f>_xlfn.XLOOKUP(A830,Orders[OrderID],Orders[City])</f>
        <v>Gangtok</v>
      </c>
      <c r="L830" s="3">
        <f>YEAR(Clean_Data[[#This Row],[OrderDate]])</f>
        <v>2018</v>
      </c>
      <c r="M830" s="3">
        <f>MONTH(Clean_Data[[#This Row],[OrderDate]])</f>
        <v>2</v>
      </c>
      <c r="N830" s="8" t="str">
        <f>TEXT(Clean_Data[[#This Row],[OrderDate]],"mmm")</f>
        <v>Feb</v>
      </c>
      <c r="O830" s="8" t="str">
        <f>TEXT(Clean_Data[[#This Row],[OrderDate]], "yyyy-mm")</f>
        <v>2018-02</v>
      </c>
      <c r="P830" s="7">
        <f>Clean_Data[[#This Row],[Profit]]/Clean_Data[[#This Row],[Revenue ]]</f>
        <v>3.2258064516129031E-2</v>
      </c>
      <c r="Q830" t="str">
        <f>"Q"&amp;ROUNDUP(MONTH(Clean_Data[[#This Row],[OrderDate]])/3,0)</f>
        <v>Q1</v>
      </c>
      <c r="R830" t="str">
        <f>TEXT(Clean_Data[[#This Row],[OrderDate]], "dddd")</f>
        <v>Monday</v>
      </c>
    </row>
    <row r="831" spans="1:18" x14ac:dyDescent="0.25">
      <c r="A831" t="s">
        <v>490</v>
      </c>
      <c r="B831" s="4">
        <v>67</v>
      </c>
      <c r="C831" s="4">
        <v>-86</v>
      </c>
      <c r="D831" s="3">
        <v>9</v>
      </c>
      <c r="E831" t="s">
        <v>888</v>
      </c>
      <c r="F831" t="s">
        <v>908</v>
      </c>
      <c r="G831" t="s">
        <v>887</v>
      </c>
      <c r="H831" s="6">
        <f>_xlfn.XLOOKUP(A831,Orders[OrderID],Orders[OrderDate])</f>
        <v>43365</v>
      </c>
      <c r="I831" t="str">
        <f>_xlfn.XLOOKUP(A831,Orders[OrderID],Orders[CustomerName])</f>
        <v>Akshay</v>
      </c>
      <c r="J831" t="str">
        <f>_xlfn.XLOOKUP(A831,Orders[OrderID],Orders[State])</f>
        <v>Uttar Pradesh</v>
      </c>
      <c r="K831" t="str">
        <f>_xlfn.XLOOKUP(A831,Orders[OrderID],Orders[City])</f>
        <v>Lucknow</v>
      </c>
      <c r="L831" s="3">
        <f>YEAR(Clean_Data[[#This Row],[OrderDate]])</f>
        <v>2018</v>
      </c>
      <c r="M831" s="3">
        <f>MONTH(Clean_Data[[#This Row],[OrderDate]])</f>
        <v>9</v>
      </c>
      <c r="N831" s="8" t="str">
        <f>TEXT(Clean_Data[[#This Row],[OrderDate]],"mmm")</f>
        <v>Sep</v>
      </c>
      <c r="O831" s="8" t="str">
        <f>TEXT(Clean_Data[[#This Row],[OrderDate]], "yyyy-mm")</f>
        <v>2018-09</v>
      </c>
      <c r="P831" s="7">
        <f>Clean_Data[[#This Row],[Profit]]/Clean_Data[[#This Row],[Revenue ]]</f>
        <v>-1.2835820895522387</v>
      </c>
      <c r="Q831" t="str">
        <f>"Q"&amp;ROUNDUP(MONTH(Clean_Data[[#This Row],[OrderDate]])/3,0)</f>
        <v>Q3</v>
      </c>
      <c r="R831" t="str">
        <f>TEXT(Clean_Data[[#This Row],[OrderDate]], "dddd")</f>
        <v>Saturday</v>
      </c>
    </row>
    <row r="832" spans="1:18" x14ac:dyDescent="0.25">
      <c r="A832" t="s">
        <v>152</v>
      </c>
      <c r="B832" s="4">
        <v>67</v>
      </c>
      <c r="C832" s="4">
        <v>-42</v>
      </c>
      <c r="D832" s="3">
        <v>3</v>
      </c>
      <c r="E832" t="s">
        <v>895</v>
      </c>
      <c r="F832" t="s">
        <v>903</v>
      </c>
      <c r="G832" t="s">
        <v>887</v>
      </c>
      <c r="H832" s="6">
        <f>_xlfn.XLOOKUP(A832,Orders[OrderID],Orders[OrderDate])</f>
        <v>43273</v>
      </c>
      <c r="I832" t="str">
        <f>_xlfn.XLOOKUP(A832,Orders[OrderID],Orders[CustomerName])</f>
        <v>Vijay</v>
      </c>
      <c r="J832" t="str">
        <f>_xlfn.XLOOKUP(A832,Orders[OrderID],Orders[State])</f>
        <v>Jammu and Kashmir</v>
      </c>
      <c r="K832" t="str">
        <f>_xlfn.XLOOKUP(A832,Orders[OrderID],Orders[City])</f>
        <v>Kashmir</v>
      </c>
      <c r="L832" s="3">
        <f>YEAR(Clean_Data[[#This Row],[OrderDate]])</f>
        <v>2018</v>
      </c>
      <c r="M832" s="3">
        <f>MONTH(Clean_Data[[#This Row],[OrderDate]])</f>
        <v>6</v>
      </c>
      <c r="N832" s="8" t="str">
        <f>TEXT(Clean_Data[[#This Row],[OrderDate]],"mmm")</f>
        <v>Jun</v>
      </c>
      <c r="O832" s="8" t="str">
        <f>TEXT(Clean_Data[[#This Row],[OrderDate]], "yyyy-mm")</f>
        <v>2018-06</v>
      </c>
      <c r="P832" s="7">
        <f>Clean_Data[[#This Row],[Profit]]/Clean_Data[[#This Row],[Revenue ]]</f>
        <v>-0.62686567164179108</v>
      </c>
      <c r="Q832" t="str">
        <f>"Q"&amp;ROUNDUP(MONTH(Clean_Data[[#This Row],[OrderDate]])/3,0)</f>
        <v>Q2</v>
      </c>
      <c r="R832" t="str">
        <f>TEXT(Clean_Data[[#This Row],[OrderDate]], "dddd")</f>
        <v>Friday</v>
      </c>
    </row>
    <row r="833" spans="1:18" x14ac:dyDescent="0.25">
      <c r="A833" t="s">
        <v>81</v>
      </c>
      <c r="B833" s="4">
        <v>148</v>
      </c>
      <c r="C833" s="4">
        <v>-101</v>
      </c>
      <c r="D833" s="3">
        <v>2</v>
      </c>
      <c r="E833" t="s">
        <v>888</v>
      </c>
      <c r="F833" t="s">
        <v>891</v>
      </c>
      <c r="G833" t="s">
        <v>898</v>
      </c>
      <c r="H833" s="6">
        <f>_xlfn.XLOOKUP(A833,Orders[OrderID],Orders[OrderDate])</f>
        <v>43373</v>
      </c>
      <c r="I833" t="str">
        <f>_xlfn.XLOOKUP(A833,Orders[OrderID],Orders[CustomerName])</f>
        <v>Sauptik</v>
      </c>
      <c r="J833" t="str">
        <f>_xlfn.XLOOKUP(A833,Orders[OrderID],Orders[State])</f>
        <v>Madhya Pradesh</v>
      </c>
      <c r="K833" t="str">
        <f>_xlfn.XLOOKUP(A833,Orders[OrderID],Orders[City])</f>
        <v>Indore</v>
      </c>
      <c r="L833" s="3">
        <f>YEAR(Clean_Data[[#This Row],[OrderDate]])</f>
        <v>2018</v>
      </c>
      <c r="M833" s="3">
        <f>MONTH(Clean_Data[[#This Row],[OrderDate]])</f>
        <v>9</v>
      </c>
      <c r="N833" s="8" t="str">
        <f>TEXT(Clean_Data[[#This Row],[OrderDate]],"mmm")</f>
        <v>Sep</v>
      </c>
      <c r="O833" s="8" t="str">
        <f>TEXT(Clean_Data[[#This Row],[OrderDate]], "yyyy-mm")</f>
        <v>2018-09</v>
      </c>
      <c r="P833" s="7">
        <f>Clean_Data[[#This Row],[Profit]]/Clean_Data[[#This Row],[Revenue ]]</f>
        <v>-0.68243243243243246</v>
      </c>
      <c r="Q833" t="str">
        <f>"Q"&amp;ROUNDUP(MONTH(Clean_Data[[#This Row],[OrderDate]])/3,0)</f>
        <v>Q3</v>
      </c>
      <c r="R833" t="str">
        <f>TEXT(Clean_Data[[#This Row],[OrderDate]], "dddd")</f>
        <v>Sunday</v>
      </c>
    </row>
    <row r="834" spans="1:18" x14ac:dyDescent="0.25">
      <c r="A834" t="s">
        <v>676</v>
      </c>
      <c r="B834" s="4">
        <v>122</v>
      </c>
      <c r="C834" s="4">
        <v>38</v>
      </c>
      <c r="D834" s="3">
        <v>6</v>
      </c>
      <c r="E834" t="s">
        <v>895</v>
      </c>
      <c r="F834" t="s">
        <v>906</v>
      </c>
      <c r="G834" t="s">
        <v>893</v>
      </c>
      <c r="H834" s="6">
        <f>_xlfn.XLOOKUP(A834,Orders[OrderID],Orders[OrderDate])</f>
        <v>43175</v>
      </c>
      <c r="I834" t="str">
        <f>_xlfn.XLOOKUP(A834,Orders[OrderID],Orders[CustomerName])</f>
        <v>Ankita</v>
      </c>
      <c r="J834" t="str">
        <f>_xlfn.XLOOKUP(A834,Orders[OrderID],Orders[State])</f>
        <v>Maharashtra</v>
      </c>
      <c r="K834" t="str">
        <f>_xlfn.XLOOKUP(A834,Orders[OrderID],Orders[City])</f>
        <v>Mumbai</v>
      </c>
      <c r="L834" s="3">
        <f>YEAR(Clean_Data[[#This Row],[OrderDate]])</f>
        <v>2018</v>
      </c>
      <c r="M834" s="3">
        <f>MONTH(Clean_Data[[#This Row],[OrderDate]])</f>
        <v>3</v>
      </c>
      <c r="N834" s="8" t="str">
        <f>TEXT(Clean_Data[[#This Row],[OrderDate]],"mmm")</f>
        <v>Mar</v>
      </c>
      <c r="O834" s="8" t="str">
        <f>TEXT(Clean_Data[[#This Row],[OrderDate]], "yyyy-mm")</f>
        <v>2018-03</v>
      </c>
      <c r="P834" s="7">
        <f>Clean_Data[[#This Row],[Profit]]/Clean_Data[[#This Row],[Revenue ]]</f>
        <v>0.31147540983606559</v>
      </c>
      <c r="Q834" t="str">
        <f>"Q"&amp;ROUNDUP(MONTH(Clean_Data[[#This Row],[OrderDate]])/3,0)</f>
        <v>Q1</v>
      </c>
      <c r="R834" t="str">
        <f>TEXT(Clean_Data[[#This Row],[OrderDate]], "dddd")</f>
        <v>Friday</v>
      </c>
    </row>
    <row r="835" spans="1:18" x14ac:dyDescent="0.25">
      <c r="A835" t="s">
        <v>865</v>
      </c>
      <c r="B835" s="4">
        <v>16</v>
      </c>
      <c r="C835" s="4">
        <v>-5</v>
      </c>
      <c r="D835" s="3">
        <v>2</v>
      </c>
      <c r="E835" t="s">
        <v>895</v>
      </c>
      <c r="F835" t="s">
        <v>903</v>
      </c>
      <c r="G835" t="s">
        <v>898</v>
      </c>
      <c r="H835" s="6">
        <f>_xlfn.XLOOKUP(A835,Orders[OrderID],Orders[OrderDate])</f>
        <v>43308</v>
      </c>
      <c r="I835" t="str">
        <f>_xlfn.XLOOKUP(A835,Orders[OrderID],Orders[CustomerName])</f>
        <v>Anubhaw</v>
      </c>
      <c r="J835" t="str">
        <f>_xlfn.XLOOKUP(A835,Orders[OrderID],Orders[State])</f>
        <v>Karnataka</v>
      </c>
      <c r="K835" t="str">
        <f>_xlfn.XLOOKUP(A835,Orders[OrderID],Orders[City])</f>
        <v>Bangalore</v>
      </c>
      <c r="L835" s="3">
        <f>YEAR(Clean_Data[[#This Row],[OrderDate]])</f>
        <v>2018</v>
      </c>
      <c r="M835" s="3">
        <f>MONTH(Clean_Data[[#This Row],[OrderDate]])</f>
        <v>7</v>
      </c>
      <c r="N835" s="8" t="str">
        <f>TEXT(Clean_Data[[#This Row],[OrderDate]],"mmm")</f>
        <v>Jul</v>
      </c>
      <c r="O835" s="8" t="str">
        <f>TEXT(Clean_Data[[#This Row],[OrderDate]], "yyyy-mm")</f>
        <v>2018-07</v>
      </c>
      <c r="P835" s="7">
        <f>Clean_Data[[#This Row],[Profit]]/Clean_Data[[#This Row],[Revenue ]]</f>
        <v>-0.3125</v>
      </c>
      <c r="Q835" t="str">
        <f>"Q"&amp;ROUNDUP(MONTH(Clean_Data[[#This Row],[OrderDate]])/3,0)</f>
        <v>Q3</v>
      </c>
      <c r="R835" t="str">
        <f>TEXT(Clean_Data[[#This Row],[OrderDate]], "dddd")</f>
        <v>Friday</v>
      </c>
    </row>
    <row r="836" spans="1:18" x14ac:dyDescent="0.25">
      <c r="A836" t="s">
        <v>414</v>
      </c>
      <c r="B836" s="4">
        <v>121</v>
      </c>
      <c r="C836" s="4">
        <v>-17</v>
      </c>
      <c r="D836" s="3">
        <v>3</v>
      </c>
      <c r="E836" t="s">
        <v>888</v>
      </c>
      <c r="F836" t="s">
        <v>908</v>
      </c>
      <c r="G836" t="s">
        <v>893</v>
      </c>
      <c r="H836" s="6">
        <f>_xlfn.XLOOKUP(A836,Orders[OrderID],Orders[OrderDate])</f>
        <v>43230</v>
      </c>
      <c r="I836" t="str">
        <f>_xlfn.XLOOKUP(A836,Orders[OrderID],Orders[CustomerName])</f>
        <v>Sabah</v>
      </c>
      <c r="J836" t="str">
        <f>_xlfn.XLOOKUP(A836,Orders[OrderID],Orders[State])</f>
        <v>Maharashtra</v>
      </c>
      <c r="K836" t="str">
        <f>_xlfn.XLOOKUP(A836,Orders[OrderID],Orders[City])</f>
        <v>Mumbai</v>
      </c>
      <c r="L836" s="3">
        <f>YEAR(Clean_Data[[#This Row],[OrderDate]])</f>
        <v>2018</v>
      </c>
      <c r="M836" s="3">
        <f>MONTH(Clean_Data[[#This Row],[OrderDate]])</f>
        <v>5</v>
      </c>
      <c r="N836" s="8" t="str">
        <f>TEXT(Clean_Data[[#This Row],[OrderDate]],"mmm")</f>
        <v>May</v>
      </c>
      <c r="O836" s="8" t="str">
        <f>TEXT(Clean_Data[[#This Row],[OrderDate]], "yyyy-mm")</f>
        <v>2018-05</v>
      </c>
      <c r="P836" s="7">
        <f>Clean_Data[[#This Row],[Profit]]/Clean_Data[[#This Row],[Revenue ]]</f>
        <v>-0.14049586776859505</v>
      </c>
      <c r="Q836" t="str">
        <f>"Q"&amp;ROUNDUP(MONTH(Clean_Data[[#This Row],[OrderDate]])/3,0)</f>
        <v>Q2</v>
      </c>
      <c r="R836" t="str">
        <f>TEXT(Clean_Data[[#This Row],[OrderDate]], "dddd")</f>
        <v>Thursday</v>
      </c>
    </row>
    <row r="837" spans="1:18" x14ac:dyDescent="0.25">
      <c r="A837" t="s">
        <v>367</v>
      </c>
      <c r="B837" s="4">
        <v>42</v>
      </c>
      <c r="C837" s="4">
        <v>-15</v>
      </c>
      <c r="D837" s="3">
        <v>12</v>
      </c>
      <c r="E837" t="s">
        <v>895</v>
      </c>
      <c r="F837" t="s">
        <v>901</v>
      </c>
      <c r="G837" t="s">
        <v>898</v>
      </c>
      <c r="H837" s="6">
        <f>_xlfn.XLOOKUP(A837,Orders[OrderID],Orders[OrderDate])</f>
        <v>43326</v>
      </c>
      <c r="I837" t="str">
        <f>_xlfn.XLOOKUP(A837,Orders[OrderID],Orders[CustomerName])</f>
        <v>Priyanshu</v>
      </c>
      <c r="J837" t="str">
        <f>_xlfn.XLOOKUP(A837,Orders[OrderID],Orders[State])</f>
        <v>Madhya Pradesh</v>
      </c>
      <c r="K837" t="str">
        <f>_xlfn.XLOOKUP(A837,Orders[OrderID],Orders[City])</f>
        <v>Indore</v>
      </c>
      <c r="L837" s="3">
        <f>YEAR(Clean_Data[[#This Row],[OrderDate]])</f>
        <v>2018</v>
      </c>
      <c r="M837" s="3">
        <f>MONTH(Clean_Data[[#This Row],[OrderDate]])</f>
        <v>8</v>
      </c>
      <c r="N837" s="8" t="str">
        <f>TEXT(Clean_Data[[#This Row],[OrderDate]],"mmm")</f>
        <v>Aug</v>
      </c>
      <c r="O837" s="8" t="str">
        <f>TEXT(Clean_Data[[#This Row],[OrderDate]], "yyyy-mm")</f>
        <v>2018-08</v>
      </c>
      <c r="P837" s="7">
        <f>Clean_Data[[#This Row],[Profit]]/Clean_Data[[#This Row],[Revenue ]]</f>
        <v>-0.35714285714285715</v>
      </c>
      <c r="Q837" t="str">
        <f>"Q"&amp;ROUNDUP(MONTH(Clean_Data[[#This Row],[OrderDate]])/3,0)</f>
        <v>Q3</v>
      </c>
      <c r="R837" t="str">
        <f>TEXT(Clean_Data[[#This Row],[OrderDate]], "dddd")</f>
        <v>Tuesday</v>
      </c>
    </row>
    <row r="838" spans="1:18" x14ac:dyDescent="0.25">
      <c r="A838" t="s">
        <v>373</v>
      </c>
      <c r="B838" s="4">
        <v>65</v>
      </c>
      <c r="C838" s="4">
        <v>-4</v>
      </c>
      <c r="D838" s="3">
        <v>6</v>
      </c>
      <c r="E838" t="s">
        <v>895</v>
      </c>
      <c r="F838" t="s">
        <v>899</v>
      </c>
      <c r="G838" t="s">
        <v>887</v>
      </c>
      <c r="H838" s="6">
        <f>_xlfn.XLOOKUP(A838,Orders[OrderID],Orders[OrderDate])</f>
        <v>43326</v>
      </c>
      <c r="I838" t="str">
        <f>_xlfn.XLOOKUP(A838,Orders[OrderID],Orders[CustomerName])</f>
        <v>Nishant</v>
      </c>
      <c r="J838" t="str">
        <f>_xlfn.XLOOKUP(A838,Orders[OrderID],Orders[State])</f>
        <v>Maharashtra</v>
      </c>
      <c r="K838" t="str">
        <f>_xlfn.XLOOKUP(A838,Orders[OrderID],Orders[City])</f>
        <v>Mumbai</v>
      </c>
      <c r="L838" s="3">
        <f>YEAR(Clean_Data[[#This Row],[OrderDate]])</f>
        <v>2018</v>
      </c>
      <c r="M838" s="3">
        <f>MONTH(Clean_Data[[#This Row],[OrderDate]])</f>
        <v>8</v>
      </c>
      <c r="N838" s="8" t="str">
        <f>TEXT(Clean_Data[[#This Row],[OrderDate]],"mmm")</f>
        <v>Aug</v>
      </c>
      <c r="O838" s="8" t="str">
        <f>TEXT(Clean_Data[[#This Row],[OrderDate]], "yyyy-mm")</f>
        <v>2018-08</v>
      </c>
      <c r="P838" s="7">
        <f>Clean_Data[[#This Row],[Profit]]/Clean_Data[[#This Row],[Revenue ]]</f>
        <v>-6.1538461538461542E-2</v>
      </c>
      <c r="Q838" t="str">
        <f>"Q"&amp;ROUNDUP(MONTH(Clean_Data[[#This Row],[OrderDate]])/3,0)</f>
        <v>Q3</v>
      </c>
      <c r="R838" t="str">
        <f>TEXT(Clean_Data[[#This Row],[OrderDate]], "dddd")</f>
        <v>Tuesday</v>
      </c>
    </row>
    <row r="839" spans="1:18" x14ac:dyDescent="0.25">
      <c r="A839" t="s">
        <v>684</v>
      </c>
      <c r="B839" s="4">
        <v>119</v>
      </c>
      <c r="C839" s="4">
        <v>-43</v>
      </c>
      <c r="D839" s="3">
        <v>7</v>
      </c>
      <c r="E839" t="s">
        <v>895</v>
      </c>
      <c r="F839" t="s">
        <v>900</v>
      </c>
      <c r="G839" t="s">
        <v>893</v>
      </c>
      <c r="H839" s="6">
        <f>_xlfn.XLOOKUP(A839,Orders[OrderID],Orders[OrderDate])</f>
        <v>43437</v>
      </c>
      <c r="I839" t="str">
        <f>_xlfn.XLOOKUP(A839,Orders[OrderID],Orders[CustomerName])</f>
        <v>Abhishek</v>
      </c>
      <c r="J839" t="str">
        <f>_xlfn.XLOOKUP(A839,Orders[OrderID],Orders[State])</f>
        <v>Gujarat</v>
      </c>
      <c r="K839" t="str">
        <f>_xlfn.XLOOKUP(A839,Orders[OrderID],Orders[City])</f>
        <v>Surat</v>
      </c>
      <c r="L839" s="3">
        <f>YEAR(Clean_Data[[#This Row],[OrderDate]])</f>
        <v>2018</v>
      </c>
      <c r="M839" s="3">
        <f>MONTH(Clean_Data[[#This Row],[OrderDate]])</f>
        <v>12</v>
      </c>
      <c r="N839" s="8" t="str">
        <f>TEXT(Clean_Data[[#This Row],[OrderDate]],"mmm")</f>
        <v>Dec</v>
      </c>
      <c r="O839" s="8" t="str">
        <f>TEXT(Clean_Data[[#This Row],[OrderDate]], "yyyy-mm")</f>
        <v>2018-12</v>
      </c>
      <c r="P839" s="7">
        <f>Clean_Data[[#This Row],[Profit]]/Clean_Data[[#This Row],[Revenue ]]</f>
        <v>-0.36134453781512604</v>
      </c>
      <c r="Q839" t="str">
        <f>"Q"&amp;ROUNDUP(MONTH(Clean_Data[[#This Row],[OrderDate]])/3,0)</f>
        <v>Q4</v>
      </c>
      <c r="R839" t="str">
        <f>TEXT(Clean_Data[[#This Row],[OrderDate]], "dddd")</f>
        <v>Monday</v>
      </c>
    </row>
    <row r="840" spans="1:18" x14ac:dyDescent="0.25">
      <c r="A840" t="s">
        <v>421</v>
      </c>
      <c r="B840" s="4">
        <v>155</v>
      </c>
      <c r="C840" s="4">
        <v>56</v>
      </c>
      <c r="D840" s="3">
        <v>3</v>
      </c>
      <c r="E840" t="s">
        <v>888</v>
      </c>
      <c r="F840" t="s">
        <v>908</v>
      </c>
      <c r="G840" t="s">
        <v>890</v>
      </c>
      <c r="H840" s="6">
        <f>_xlfn.XLOOKUP(A840,Orders[OrderID],Orders[OrderDate])</f>
        <v>43259</v>
      </c>
      <c r="I840" t="str">
        <f>_xlfn.XLOOKUP(A840,Orders[OrderID],Orders[CustomerName])</f>
        <v>Shreya</v>
      </c>
      <c r="J840" t="str">
        <f>_xlfn.XLOOKUP(A840,Orders[OrderID],Orders[State])</f>
        <v xml:space="preserve">Kerala </v>
      </c>
      <c r="K840" t="str">
        <f>_xlfn.XLOOKUP(A840,Orders[OrderID],Orders[City])</f>
        <v>Thiruvananthapuram</v>
      </c>
      <c r="L840" s="3">
        <f>YEAR(Clean_Data[[#This Row],[OrderDate]])</f>
        <v>2018</v>
      </c>
      <c r="M840" s="3">
        <f>MONTH(Clean_Data[[#This Row],[OrderDate]])</f>
        <v>6</v>
      </c>
      <c r="N840" s="8" t="str">
        <f>TEXT(Clean_Data[[#This Row],[OrderDate]],"mmm")</f>
        <v>Jun</v>
      </c>
      <c r="O840" s="8" t="str">
        <f>TEXT(Clean_Data[[#This Row],[OrderDate]], "yyyy-mm")</f>
        <v>2018-06</v>
      </c>
      <c r="P840" s="7">
        <f>Clean_Data[[#This Row],[Profit]]/Clean_Data[[#This Row],[Revenue ]]</f>
        <v>0.36129032258064514</v>
      </c>
      <c r="Q840" t="str">
        <f>"Q"&amp;ROUNDUP(MONTH(Clean_Data[[#This Row],[OrderDate]])/3,0)</f>
        <v>Q2</v>
      </c>
      <c r="R840" t="str">
        <f>TEXT(Clean_Data[[#This Row],[OrderDate]], "dddd")</f>
        <v>Friday</v>
      </c>
    </row>
    <row r="841" spans="1:18" x14ac:dyDescent="0.25">
      <c r="A841" t="s">
        <v>32</v>
      </c>
      <c r="B841" s="4">
        <v>119</v>
      </c>
      <c r="C841" s="4">
        <v>-5</v>
      </c>
      <c r="D841" s="3">
        <v>8</v>
      </c>
      <c r="E841" t="s">
        <v>895</v>
      </c>
      <c r="F841" t="s">
        <v>897</v>
      </c>
      <c r="G841" t="s">
        <v>893</v>
      </c>
      <c r="H841" s="6">
        <f>_xlfn.XLOOKUP(A841,Orders[OrderID],Orders[OrderDate])</f>
        <v>43191</v>
      </c>
      <c r="I841" t="str">
        <f>_xlfn.XLOOKUP(A841,Orders[OrderID],Orders[CustomerName])</f>
        <v>Vrinda</v>
      </c>
      <c r="J841" t="str">
        <f>_xlfn.XLOOKUP(A841,Orders[OrderID],Orders[State])</f>
        <v>Maharashtra</v>
      </c>
      <c r="K841" t="str">
        <f>_xlfn.XLOOKUP(A841,Orders[OrderID],Orders[City])</f>
        <v>Pune</v>
      </c>
      <c r="L841" s="3">
        <f>YEAR(Clean_Data[[#This Row],[OrderDate]])</f>
        <v>2018</v>
      </c>
      <c r="M841" s="3">
        <f>MONTH(Clean_Data[[#This Row],[OrderDate]])</f>
        <v>4</v>
      </c>
      <c r="N841" s="8" t="str">
        <f>TEXT(Clean_Data[[#This Row],[OrderDate]],"mmm")</f>
        <v>Apr</v>
      </c>
      <c r="O841" s="8" t="str">
        <f>TEXT(Clean_Data[[#This Row],[OrderDate]], "yyyy-mm")</f>
        <v>2018-04</v>
      </c>
      <c r="P841" s="7">
        <f>Clean_Data[[#This Row],[Profit]]/Clean_Data[[#This Row],[Revenue ]]</f>
        <v>-4.2016806722689079E-2</v>
      </c>
      <c r="Q841" t="str">
        <f>"Q"&amp;ROUNDUP(MONTH(Clean_Data[[#This Row],[OrderDate]])/3,0)</f>
        <v>Q2</v>
      </c>
      <c r="R841" t="str">
        <f>TEXT(Clean_Data[[#This Row],[OrderDate]], "dddd")</f>
        <v>Sunday</v>
      </c>
    </row>
    <row r="842" spans="1:18" x14ac:dyDescent="0.25">
      <c r="A842" t="s">
        <v>685</v>
      </c>
      <c r="B842" s="4">
        <v>118</v>
      </c>
      <c r="C842" s="4">
        <v>25</v>
      </c>
      <c r="D842" s="3">
        <v>4</v>
      </c>
      <c r="E842" t="s">
        <v>895</v>
      </c>
      <c r="F842" t="s">
        <v>899</v>
      </c>
      <c r="G842" t="s">
        <v>893</v>
      </c>
      <c r="H842" s="6">
        <f>_xlfn.XLOOKUP(A842,Orders[OrderID],Orders[OrderDate])</f>
        <v>43425</v>
      </c>
      <c r="I842" t="str">
        <f>_xlfn.XLOOKUP(A842,Orders[OrderID],Orders[CustomerName])</f>
        <v>Gunjal</v>
      </c>
      <c r="J842" t="str">
        <f>_xlfn.XLOOKUP(A842,Orders[OrderID],Orders[State])</f>
        <v>Gujarat</v>
      </c>
      <c r="K842" t="str">
        <f>_xlfn.XLOOKUP(A842,Orders[OrderID],Orders[City])</f>
        <v>Surat</v>
      </c>
      <c r="L842" s="3">
        <f>YEAR(Clean_Data[[#This Row],[OrderDate]])</f>
        <v>2018</v>
      </c>
      <c r="M842" s="3">
        <f>MONTH(Clean_Data[[#This Row],[OrderDate]])</f>
        <v>11</v>
      </c>
      <c r="N842" s="8" t="str">
        <f>TEXT(Clean_Data[[#This Row],[OrderDate]],"mmm")</f>
        <v>Nov</v>
      </c>
      <c r="O842" s="8" t="str">
        <f>TEXT(Clean_Data[[#This Row],[OrderDate]], "yyyy-mm")</f>
        <v>2018-11</v>
      </c>
      <c r="P842" s="7">
        <f>Clean_Data[[#This Row],[Profit]]/Clean_Data[[#This Row],[Revenue ]]</f>
        <v>0.21186440677966101</v>
      </c>
      <c r="Q842" t="str">
        <f>"Q"&amp;ROUNDUP(MONTH(Clean_Data[[#This Row],[OrderDate]])/3,0)</f>
        <v>Q4</v>
      </c>
      <c r="R842" t="str">
        <f>TEXT(Clean_Data[[#This Row],[OrderDate]], "dddd")</f>
        <v>Wednesday</v>
      </c>
    </row>
    <row r="843" spans="1:18" x14ac:dyDescent="0.25">
      <c r="A843" t="s">
        <v>175</v>
      </c>
      <c r="B843" s="4">
        <v>116</v>
      </c>
      <c r="C843" s="4">
        <v>22</v>
      </c>
      <c r="D843" s="3">
        <v>1</v>
      </c>
      <c r="E843" t="s">
        <v>885</v>
      </c>
      <c r="F843" t="s">
        <v>905</v>
      </c>
      <c r="G843" t="s">
        <v>893</v>
      </c>
      <c r="H843" s="6">
        <f>_xlfn.XLOOKUP(A843,Orders[OrderID],Orders[OrderDate])</f>
        <v>43114</v>
      </c>
      <c r="I843" t="str">
        <f>_xlfn.XLOOKUP(A843,Orders[OrderID],Orders[CustomerName])</f>
        <v>Krutika</v>
      </c>
      <c r="J843" t="str">
        <f>_xlfn.XLOOKUP(A843,Orders[OrderID],Orders[State])</f>
        <v>Andhra Pradesh</v>
      </c>
      <c r="K843" t="str">
        <f>_xlfn.XLOOKUP(A843,Orders[OrderID],Orders[City])</f>
        <v>Hyderabad</v>
      </c>
      <c r="L843" s="3">
        <f>YEAR(Clean_Data[[#This Row],[OrderDate]])</f>
        <v>2018</v>
      </c>
      <c r="M843" s="3">
        <f>MONTH(Clean_Data[[#This Row],[OrderDate]])</f>
        <v>1</v>
      </c>
      <c r="N843" s="8" t="str">
        <f>TEXT(Clean_Data[[#This Row],[OrderDate]],"mmm")</f>
        <v>Jan</v>
      </c>
      <c r="O843" s="8" t="str">
        <f>TEXT(Clean_Data[[#This Row],[OrderDate]], "yyyy-mm")</f>
        <v>2018-01</v>
      </c>
      <c r="P843" s="7">
        <f>Clean_Data[[#This Row],[Profit]]/Clean_Data[[#This Row],[Revenue ]]</f>
        <v>0.18965517241379309</v>
      </c>
      <c r="Q843" t="str">
        <f>"Q"&amp;ROUNDUP(MONTH(Clean_Data[[#This Row],[OrderDate]])/3,0)</f>
        <v>Q1</v>
      </c>
      <c r="R843" t="str">
        <f>TEXT(Clean_Data[[#This Row],[OrderDate]], "dddd")</f>
        <v>Sunday</v>
      </c>
    </row>
    <row r="844" spans="1:18" x14ac:dyDescent="0.25">
      <c r="A844" t="s">
        <v>91</v>
      </c>
      <c r="B844" s="4">
        <v>158</v>
      </c>
      <c r="C844" s="4">
        <v>-29</v>
      </c>
      <c r="D844" s="3">
        <v>10</v>
      </c>
      <c r="E844" t="s">
        <v>895</v>
      </c>
      <c r="F844" t="s">
        <v>899</v>
      </c>
      <c r="G844" t="s">
        <v>890</v>
      </c>
      <c r="H844" s="6">
        <f>_xlfn.XLOOKUP(A844,Orders[OrderID],Orders[OrderDate])</f>
        <v>43113</v>
      </c>
      <c r="I844" t="str">
        <f>_xlfn.XLOOKUP(A844,Orders[OrderID],Orders[CustomerName])</f>
        <v>Shruti</v>
      </c>
      <c r="J844" t="str">
        <f>_xlfn.XLOOKUP(A844,Orders[OrderID],Orders[State])</f>
        <v>Madhya Pradesh</v>
      </c>
      <c r="K844" t="str">
        <f>_xlfn.XLOOKUP(A844,Orders[OrderID],Orders[City])</f>
        <v>Indore</v>
      </c>
      <c r="L844" s="3">
        <f>YEAR(Clean_Data[[#This Row],[OrderDate]])</f>
        <v>2018</v>
      </c>
      <c r="M844" s="3">
        <f>MONTH(Clean_Data[[#This Row],[OrderDate]])</f>
        <v>1</v>
      </c>
      <c r="N844" s="8" t="str">
        <f>TEXT(Clean_Data[[#This Row],[OrderDate]],"mmm")</f>
        <v>Jan</v>
      </c>
      <c r="O844" s="8" t="str">
        <f>TEXT(Clean_Data[[#This Row],[OrderDate]], "yyyy-mm")</f>
        <v>2018-01</v>
      </c>
      <c r="P844" s="7">
        <f>Clean_Data[[#This Row],[Profit]]/Clean_Data[[#This Row],[Revenue ]]</f>
        <v>-0.18354430379746836</v>
      </c>
      <c r="Q844" t="str">
        <f>"Q"&amp;ROUNDUP(MONTH(Clean_Data[[#This Row],[OrderDate]])/3,0)</f>
        <v>Q1</v>
      </c>
      <c r="R844" t="str">
        <f>TEXT(Clean_Data[[#This Row],[OrderDate]], "dddd")</f>
        <v>Saturday</v>
      </c>
    </row>
    <row r="845" spans="1:18" x14ac:dyDescent="0.25">
      <c r="A845" t="s">
        <v>609</v>
      </c>
      <c r="B845" s="4">
        <v>158</v>
      </c>
      <c r="C845" s="4">
        <v>69</v>
      </c>
      <c r="D845" s="3">
        <v>3</v>
      </c>
      <c r="E845" t="s">
        <v>895</v>
      </c>
      <c r="F845" t="s">
        <v>903</v>
      </c>
      <c r="G845" t="s">
        <v>890</v>
      </c>
      <c r="H845" s="6">
        <f>_xlfn.XLOOKUP(A845,Orders[OrderID],Orders[OrderDate])</f>
        <v>43186</v>
      </c>
      <c r="I845" t="str">
        <f>_xlfn.XLOOKUP(A845,Orders[OrderID],Orders[CustomerName])</f>
        <v>Manju</v>
      </c>
      <c r="J845" t="str">
        <f>_xlfn.XLOOKUP(A845,Orders[OrderID],Orders[State])</f>
        <v>Andhra Pradesh</v>
      </c>
      <c r="K845" t="str">
        <f>_xlfn.XLOOKUP(A845,Orders[OrderID],Orders[City])</f>
        <v>Hyderabad</v>
      </c>
      <c r="L845" s="3">
        <f>YEAR(Clean_Data[[#This Row],[OrderDate]])</f>
        <v>2018</v>
      </c>
      <c r="M845" s="3">
        <f>MONTH(Clean_Data[[#This Row],[OrderDate]])</f>
        <v>3</v>
      </c>
      <c r="N845" s="8" t="str">
        <f>TEXT(Clean_Data[[#This Row],[OrderDate]],"mmm")</f>
        <v>Mar</v>
      </c>
      <c r="O845" s="8" t="str">
        <f>TEXT(Clean_Data[[#This Row],[OrderDate]], "yyyy-mm")</f>
        <v>2018-03</v>
      </c>
      <c r="P845" s="7">
        <f>Clean_Data[[#This Row],[Profit]]/Clean_Data[[#This Row],[Revenue ]]</f>
        <v>0.43670886075949367</v>
      </c>
      <c r="Q845" t="str">
        <f>"Q"&amp;ROUNDUP(MONTH(Clean_Data[[#This Row],[OrderDate]])/3,0)</f>
        <v>Q1</v>
      </c>
      <c r="R845" t="str">
        <f>TEXT(Clean_Data[[#This Row],[OrderDate]], "dddd")</f>
        <v>Tuesday</v>
      </c>
    </row>
    <row r="846" spans="1:18" x14ac:dyDescent="0.25">
      <c r="A846" t="s">
        <v>212</v>
      </c>
      <c r="B846" s="4">
        <v>65</v>
      </c>
      <c r="C846" s="4">
        <v>-52</v>
      </c>
      <c r="D846" s="3">
        <v>3</v>
      </c>
      <c r="E846" t="s">
        <v>885</v>
      </c>
      <c r="F846" t="s">
        <v>905</v>
      </c>
      <c r="G846" t="s">
        <v>887</v>
      </c>
      <c r="H846" s="6">
        <f>_xlfn.XLOOKUP(A846,Orders[OrderID],Orders[OrderDate])</f>
        <v>43329</v>
      </c>
      <c r="I846" t="str">
        <f>_xlfn.XLOOKUP(A846,Orders[OrderID],Orders[CustomerName])</f>
        <v>Shivam</v>
      </c>
      <c r="J846" t="str">
        <f>_xlfn.XLOOKUP(A846,Orders[OrderID],Orders[State])</f>
        <v>Uttar Pradesh</v>
      </c>
      <c r="K846" t="str">
        <f>_xlfn.XLOOKUP(A846,Orders[OrderID],Orders[City])</f>
        <v>Lucknow</v>
      </c>
      <c r="L846" s="3">
        <f>YEAR(Clean_Data[[#This Row],[OrderDate]])</f>
        <v>2018</v>
      </c>
      <c r="M846" s="3">
        <f>MONTH(Clean_Data[[#This Row],[OrderDate]])</f>
        <v>8</v>
      </c>
      <c r="N846" s="8" t="str">
        <f>TEXT(Clean_Data[[#This Row],[OrderDate]],"mmm")</f>
        <v>Aug</v>
      </c>
      <c r="O846" s="8" t="str">
        <f>TEXT(Clean_Data[[#This Row],[OrderDate]], "yyyy-mm")</f>
        <v>2018-08</v>
      </c>
      <c r="P846" s="7">
        <f>Clean_Data[[#This Row],[Profit]]/Clean_Data[[#This Row],[Revenue ]]</f>
        <v>-0.8</v>
      </c>
      <c r="Q846" t="str">
        <f>"Q"&amp;ROUNDUP(MONTH(Clean_Data[[#This Row],[OrderDate]])/3,0)</f>
        <v>Q3</v>
      </c>
      <c r="R846" t="str">
        <f>TEXT(Clean_Data[[#This Row],[OrderDate]], "dddd")</f>
        <v>Friday</v>
      </c>
    </row>
    <row r="847" spans="1:18" x14ac:dyDescent="0.25">
      <c r="A847" t="s">
        <v>603</v>
      </c>
      <c r="B847" s="4">
        <v>160</v>
      </c>
      <c r="C847" s="4">
        <v>-59</v>
      </c>
      <c r="D847" s="3">
        <v>2</v>
      </c>
      <c r="E847" t="s">
        <v>895</v>
      </c>
      <c r="F847" t="s">
        <v>897</v>
      </c>
      <c r="G847" t="s">
        <v>890</v>
      </c>
      <c r="H847" s="6">
        <f>_xlfn.XLOOKUP(A847,Orders[OrderID],Orders[OrderDate])</f>
        <v>43201</v>
      </c>
      <c r="I847" t="str">
        <f>_xlfn.XLOOKUP(A847,Orders[OrderID],Orders[CustomerName])</f>
        <v>Anita</v>
      </c>
      <c r="J847" t="str">
        <f>_xlfn.XLOOKUP(A847,Orders[OrderID],Orders[State])</f>
        <v xml:space="preserve">Kerala </v>
      </c>
      <c r="K847" t="str">
        <f>_xlfn.XLOOKUP(A847,Orders[OrderID],Orders[City])</f>
        <v>Thiruvananthapuram</v>
      </c>
      <c r="L847" s="3">
        <f>YEAR(Clean_Data[[#This Row],[OrderDate]])</f>
        <v>2018</v>
      </c>
      <c r="M847" s="3">
        <f>MONTH(Clean_Data[[#This Row],[OrderDate]])</f>
        <v>4</v>
      </c>
      <c r="N847" s="8" t="str">
        <f>TEXT(Clean_Data[[#This Row],[OrderDate]],"mmm")</f>
        <v>Apr</v>
      </c>
      <c r="O847" s="8" t="str">
        <f>TEXT(Clean_Data[[#This Row],[OrderDate]], "yyyy-mm")</f>
        <v>2018-04</v>
      </c>
      <c r="P847" s="7">
        <f>Clean_Data[[#This Row],[Profit]]/Clean_Data[[#This Row],[Revenue ]]</f>
        <v>-0.36875000000000002</v>
      </c>
      <c r="Q847" t="str">
        <f>"Q"&amp;ROUNDUP(MONTH(Clean_Data[[#This Row],[OrderDate]])/3,0)</f>
        <v>Q2</v>
      </c>
      <c r="R847" t="str">
        <f>TEXT(Clean_Data[[#This Row],[OrderDate]], "dddd")</f>
        <v>Wednesday</v>
      </c>
    </row>
    <row r="848" spans="1:18" x14ac:dyDescent="0.25">
      <c r="A848" t="s">
        <v>77</v>
      </c>
      <c r="B848" s="4">
        <v>162</v>
      </c>
      <c r="C848" s="4">
        <v>20</v>
      </c>
      <c r="D848" s="3">
        <v>3</v>
      </c>
      <c r="E848" t="s">
        <v>888</v>
      </c>
      <c r="F848" t="s">
        <v>889</v>
      </c>
      <c r="G848" t="s">
        <v>890</v>
      </c>
      <c r="H848" s="6">
        <f>_xlfn.XLOOKUP(A848,Orders[OrderID],Orders[OrderDate])</f>
        <v>43104</v>
      </c>
      <c r="I848" t="str">
        <f>_xlfn.XLOOKUP(A848,Orders[OrderID],Orders[CustomerName])</f>
        <v>Sudhir</v>
      </c>
      <c r="J848" t="str">
        <f>_xlfn.XLOOKUP(A848,Orders[OrderID],Orders[State])</f>
        <v>Nagaland</v>
      </c>
      <c r="K848" t="str">
        <f>_xlfn.XLOOKUP(A848,Orders[OrderID],Orders[City])</f>
        <v>Kohima</v>
      </c>
      <c r="L848" s="3">
        <f>YEAR(Clean_Data[[#This Row],[OrderDate]])</f>
        <v>2018</v>
      </c>
      <c r="M848" s="3">
        <f>MONTH(Clean_Data[[#This Row],[OrderDate]])</f>
        <v>1</v>
      </c>
      <c r="N848" s="8" t="str">
        <f>TEXT(Clean_Data[[#This Row],[OrderDate]],"mmm")</f>
        <v>Jan</v>
      </c>
      <c r="O848" s="8" t="str">
        <f>TEXT(Clean_Data[[#This Row],[OrderDate]], "yyyy-mm")</f>
        <v>2018-01</v>
      </c>
      <c r="P848" s="7">
        <f>Clean_Data[[#This Row],[Profit]]/Clean_Data[[#This Row],[Revenue ]]</f>
        <v>0.12345679012345678</v>
      </c>
      <c r="Q848" t="str">
        <f>"Q"&amp;ROUNDUP(MONTH(Clean_Data[[#This Row],[OrderDate]])/3,0)</f>
        <v>Q1</v>
      </c>
      <c r="R848" t="str">
        <f>TEXT(Clean_Data[[#This Row],[OrderDate]], "dddd")</f>
        <v>Thursday</v>
      </c>
    </row>
    <row r="849" spans="1:18" x14ac:dyDescent="0.25">
      <c r="A849" t="s">
        <v>387</v>
      </c>
      <c r="B849" s="4">
        <v>63</v>
      </c>
      <c r="C849" s="4">
        <v>1</v>
      </c>
      <c r="D849" s="3">
        <v>4</v>
      </c>
      <c r="E849" t="s">
        <v>895</v>
      </c>
      <c r="F849" t="s">
        <v>906</v>
      </c>
      <c r="G849" t="s">
        <v>887</v>
      </c>
      <c r="H849" s="6">
        <f>_xlfn.XLOOKUP(A849,Orders[OrderID],Orders[OrderDate])</f>
        <v>43432</v>
      </c>
      <c r="I849" t="str">
        <f>_xlfn.XLOOKUP(A849,Orders[OrderID],Orders[CustomerName])</f>
        <v>Brijesh</v>
      </c>
      <c r="J849" t="str">
        <f>_xlfn.XLOOKUP(A849,Orders[OrderID],Orders[State])</f>
        <v>Rajasthan</v>
      </c>
      <c r="K849" t="str">
        <f>_xlfn.XLOOKUP(A849,Orders[OrderID],Orders[City])</f>
        <v>Udaipur</v>
      </c>
      <c r="L849" s="3">
        <f>YEAR(Clean_Data[[#This Row],[OrderDate]])</f>
        <v>2018</v>
      </c>
      <c r="M849" s="3">
        <f>MONTH(Clean_Data[[#This Row],[OrderDate]])</f>
        <v>11</v>
      </c>
      <c r="N849" s="8" t="str">
        <f>TEXT(Clean_Data[[#This Row],[OrderDate]],"mmm")</f>
        <v>Nov</v>
      </c>
      <c r="O849" s="8" t="str">
        <f>TEXT(Clean_Data[[#This Row],[OrderDate]], "yyyy-mm")</f>
        <v>2018-11</v>
      </c>
      <c r="P849" s="7">
        <f>Clean_Data[[#This Row],[Profit]]/Clean_Data[[#This Row],[Revenue ]]</f>
        <v>1.5873015873015872E-2</v>
      </c>
      <c r="Q849" t="str">
        <f>"Q"&amp;ROUNDUP(MONTH(Clean_Data[[#This Row],[OrderDate]])/3,0)</f>
        <v>Q4</v>
      </c>
      <c r="R849" t="str">
        <f>TEXT(Clean_Data[[#This Row],[OrderDate]], "dddd")</f>
        <v>Wednesday</v>
      </c>
    </row>
    <row r="850" spans="1:18" x14ac:dyDescent="0.25">
      <c r="A850" t="s">
        <v>768</v>
      </c>
      <c r="B850" s="4">
        <v>64</v>
      </c>
      <c r="C850" s="4">
        <v>27</v>
      </c>
      <c r="D850" s="3">
        <v>5</v>
      </c>
      <c r="E850" t="s">
        <v>895</v>
      </c>
      <c r="F850" t="s">
        <v>899</v>
      </c>
      <c r="G850" t="s">
        <v>898</v>
      </c>
      <c r="H850" s="6">
        <f>_xlfn.XLOOKUP(A850,Orders[OrderID],Orders[OrderDate])</f>
        <v>43402</v>
      </c>
      <c r="I850" t="str">
        <f>_xlfn.XLOOKUP(A850,Orders[OrderID],Orders[CustomerName])</f>
        <v>Krishna</v>
      </c>
      <c r="J850" t="str">
        <f>_xlfn.XLOOKUP(A850,Orders[OrderID],Orders[State])</f>
        <v>Madhya Pradesh</v>
      </c>
      <c r="K850" t="str">
        <f>_xlfn.XLOOKUP(A850,Orders[OrderID],Orders[City])</f>
        <v>Indore</v>
      </c>
      <c r="L850" s="3">
        <f>YEAR(Clean_Data[[#This Row],[OrderDate]])</f>
        <v>2018</v>
      </c>
      <c r="M850" s="3">
        <f>MONTH(Clean_Data[[#This Row],[OrderDate]])</f>
        <v>10</v>
      </c>
      <c r="N850" s="8" t="str">
        <f>TEXT(Clean_Data[[#This Row],[OrderDate]],"mmm")</f>
        <v>Oct</v>
      </c>
      <c r="O850" s="8" t="str">
        <f>TEXT(Clean_Data[[#This Row],[OrderDate]], "yyyy-mm")</f>
        <v>2018-10</v>
      </c>
      <c r="P850" s="7">
        <f>Clean_Data[[#This Row],[Profit]]/Clean_Data[[#This Row],[Revenue ]]</f>
        <v>0.421875</v>
      </c>
      <c r="Q850" t="str">
        <f>"Q"&amp;ROUNDUP(MONTH(Clean_Data[[#This Row],[OrderDate]])/3,0)</f>
        <v>Q4</v>
      </c>
      <c r="R850" t="str">
        <f>TEXT(Clean_Data[[#This Row],[OrderDate]], "dddd")</f>
        <v>Monday</v>
      </c>
    </row>
    <row r="851" spans="1:18" x14ac:dyDescent="0.25">
      <c r="A851" t="s">
        <v>599</v>
      </c>
      <c r="B851" s="4">
        <v>166</v>
      </c>
      <c r="C851" s="4">
        <v>-113</v>
      </c>
      <c r="D851" s="3">
        <v>4</v>
      </c>
      <c r="E851" t="s">
        <v>885</v>
      </c>
      <c r="F851" t="s">
        <v>905</v>
      </c>
      <c r="G851" t="s">
        <v>890</v>
      </c>
      <c r="H851" s="6">
        <f>_xlfn.XLOOKUP(A851,Orders[OrderID],Orders[OrderDate])</f>
        <v>43241</v>
      </c>
      <c r="I851" t="str">
        <f>_xlfn.XLOOKUP(A851,Orders[OrderID],Orders[CustomerName])</f>
        <v>Chayanika</v>
      </c>
      <c r="J851" t="str">
        <f>_xlfn.XLOOKUP(A851,Orders[OrderID],Orders[State])</f>
        <v xml:space="preserve">Kerala </v>
      </c>
      <c r="K851" t="str">
        <f>_xlfn.XLOOKUP(A851,Orders[OrderID],Orders[City])</f>
        <v>Thiruvananthapuram</v>
      </c>
      <c r="L851" s="3">
        <f>YEAR(Clean_Data[[#This Row],[OrderDate]])</f>
        <v>2018</v>
      </c>
      <c r="M851" s="3">
        <f>MONTH(Clean_Data[[#This Row],[OrderDate]])</f>
        <v>5</v>
      </c>
      <c r="N851" s="8" t="str">
        <f>TEXT(Clean_Data[[#This Row],[OrderDate]],"mmm")</f>
        <v>May</v>
      </c>
      <c r="O851" s="8" t="str">
        <f>TEXT(Clean_Data[[#This Row],[OrderDate]], "yyyy-mm")</f>
        <v>2018-05</v>
      </c>
      <c r="P851" s="7">
        <f>Clean_Data[[#This Row],[Profit]]/Clean_Data[[#This Row],[Revenue ]]</f>
        <v>-0.68072289156626509</v>
      </c>
      <c r="Q851" t="str">
        <f>"Q"&amp;ROUNDUP(MONTH(Clean_Data[[#This Row],[OrderDate]])/3,0)</f>
        <v>Q2</v>
      </c>
      <c r="R851" t="str">
        <f>TEXT(Clean_Data[[#This Row],[OrderDate]], "dddd")</f>
        <v>Monday</v>
      </c>
    </row>
    <row r="852" spans="1:18" x14ac:dyDescent="0.25">
      <c r="A852" t="s">
        <v>597</v>
      </c>
      <c r="B852" s="4">
        <v>167</v>
      </c>
      <c r="C852" s="4">
        <v>43</v>
      </c>
      <c r="D852" s="3">
        <v>7</v>
      </c>
      <c r="E852" t="s">
        <v>895</v>
      </c>
      <c r="F852" t="s">
        <v>906</v>
      </c>
      <c r="G852" t="s">
        <v>890</v>
      </c>
      <c r="H852" s="6">
        <f>_xlfn.XLOOKUP(A852,Orders[OrderID],Orders[OrderDate])</f>
        <v>43269</v>
      </c>
      <c r="I852" t="str">
        <f>_xlfn.XLOOKUP(A852,Orders[OrderID],Orders[CustomerName])</f>
        <v>Subhasmita</v>
      </c>
      <c r="J852" t="str">
        <f>_xlfn.XLOOKUP(A852,Orders[OrderID],Orders[State])</f>
        <v>Rajasthan</v>
      </c>
      <c r="K852" t="str">
        <f>_xlfn.XLOOKUP(A852,Orders[OrderID],Orders[City])</f>
        <v>Jaipur</v>
      </c>
      <c r="L852" s="3">
        <f>YEAR(Clean_Data[[#This Row],[OrderDate]])</f>
        <v>2018</v>
      </c>
      <c r="M852" s="3">
        <f>MONTH(Clean_Data[[#This Row],[OrderDate]])</f>
        <v>6</v>
      </c>
      <c r="N852" s="8" t="str">
        <f>TEXT(Clean_Data[[#This Row],[OrderDate]],"mmm")</f>
        <v>Jun</v>
      </c>
      <c r="O852" s="8" t="str">
        <f>TEXT(Clean_Data[[#This Row],[OrderDate]], "yyyy-mm")</f>
        <v>2018-06</v>
      </c>
      <c r="P852" s="7">
        <f>Clean_Data[[#This Row],[Profit]]/Clean_Data[[#This Row],[Revenue ]]</f>
        <v>0.25748502994011974</v>
      </c>
      <c r="Q852" t="str">
        <f>"Q"&amp;ROUNDUP(MONTH(Clean_Data[[#This Row],[OrderDate]])/3,0)</f>
        <v>Q2</v>
      </c>
      <c r="R852" t="str">
        <f>TEXT(Clean_Data[[#This Row],[OrderDate]], "dddd")</f>
        <v>Monday</v>
      </c>
    </row>
    <row r="853" spans="1:18" x14ac:dyDescent="0.25">
      <c r="A853" t="s">
        <v>670</v>
      </c>
      <c r="B853" s="4">
        <v>123</v>
      </c>
      <c r="C853" s="4">
        <v>17</v>
      </c>
      <c r="D853" s="3">
        <v>3</v>
      </c>
      <c r="E853" t="s">
        <v>888</v>
      </c>
      <c r="F853" t="s">
        <v>908</v>
      </c>
      <c r="G853" t="s">
        <v>887</v>
      </c>
      <c r="H853" s="6">
        <f>_xlfn.XLOOKUP(A853,Orders[OrderID],Orders[OrderDate])</f>
        <v>43244</v>
      </c>
      <c r="I853" t="str">
        <f>_xlfn.XLOOKUP(A853,Orders[OrderID],Orders[CustomerName])</f>
        <v>Rhea</v>
      </c>
      <c r="J853" t="str">
        <f>_xlfn.XLOOKUP(A853,Orders[OrderID],Orders[State])</f>
        <v>Himachal Pradesh</v>
      </c>
      <c r="K853" t="str">
        <f>_xlfn.XLOOKUP(A853,Orders[OrderID],Orders[City])</f>
        <v>Simla</v>
      </c>
      <c r="L853" s="3">
        <f>YEAR(Clean_Data[[#This Row],[OrderDate]])</f>
        <v>2018</v>
      </c>
      <c r="M853" s="3">
        <f>MONTH(Clean_Data[[#This Row],[OrderDate]])</f>
        <v>5</v>
      </c>
      <c r="N853" s="8" t="str">
        <f>TEXT(Clean_Data[[#This Row],[OrderDate]],"mmm")</f>
        <v>May</v>
      </c>
      <c r="O853" s="8" t="str">
        <f>TEXT(Clean_Data[[#This Row],[OrderDate]], "yyyy-mm")</f>
        <v>2018-05</v>
      </c>
      <c r="P853" s="7">
        <f>Clean_Data[[#This Row],[Profit]]/Clean_Data[[#This Row],[Revenue ]]</f>
        <v>0.13821138211382114</v>
      </c>
      <c r="Q853" t="str">
        <f>"Q"&amp;ROUNDUP(MONTH(Clean_Data[[#This Row],[OrderDate]])/3,0)</f>
        <v>Q2</v>
      </c>
      <c r="R853" t="str">
        <f>TEXT(Clean_Data[[#This Row],[OrderDate]], "dddd")</f>
        <v>Thursday</v>
      </c>
    </row>
    <row r="854" spans="1:18" x14ac:dyDescent="0.25">
      <c r="A854" t="s">
        <v>277</v>
      </c>
      <c r="B854" s="4">
        <v>63</v>
      </c>
      <c r="C854" s="4">
        <v>14</v>
      </c>
      <c r="D854" s="3">
        <v>2</v>
      </c>
      <c r="E854" t="s">
        <v>895</v>
      </c>
      <c r="F854" t="s">
        <v>909</v>
      </c>
      <c r="G854" t="s">
        <v>887</v>
      </c>
      <c r="H854" s="6">
        <f>_xlfn.XLOOKUP(A854,Orders[OrderID],Orders[OrderDate])</f>
        <v>43111</v>
      </c>
      <c r="I854" t="str">
        <f>_xlfn.XLOOKUP(A854,Orders[OrderID],Orders[CustomerName])</f>
        <v>Mhatre</v>
      </c>
      <c r="J854" t="str">
        <f>_xlfn.XLOOKUP(A854,Orders[OrderID],Orders[State])</f>
        <v>Madhya Pradesh</v>
      </c>
      <c r="K854" t="str">
        <f>_xlfn.XLOOKUP(A854,Orders[OrderID],Orders[City])</f>
        <v>Indore</v>
      </c>
      <c r="L854" s="3">
        <f>YEAR(Clean_Data[[#This Row],[OrderDate]])</f>
        <v>2018</v>
      </c>
      <c r="M854" s="3">
        <f>MONTH(Clean_Data[[#This Row],[OrderDate]])</f>
        <v>1</v>
      </c>
      <c r="N854" s="8" t="str">
        <f>TEXT(Clean_Data[[#This Row],[OrderDate]],"mmm")</f>
        <v>Jan</v>
      </c>
      <c r="O854" s="8" t="str">
        <f>TEXT(Clean_Data[[#This Row],[OrderDate]], "yyyy-mm")</f>
        <v>2018-01</v>
      </c>
      <c r="P854" s="7">
        <f>Clean_Data[[#This Row],[Profit]]/Clean_Data[[#This Row],[Revenue ]]</f>
        <v>0.22222222222222221</v>
      </c>
      <c r="Q854" t="str">
        <f>"Q"&amp;ROUNDUP(MONTH(Clean_Data[[#This Row],[OrderDate]])/3,0)</f>
        <v>Q1</v>
      </c>
      <c r="R854" t="str">
        <f>TEXT(Clean_Data[[#This Row],[OrderDate]], "dddd")</f>
        <v>Thursday</v>
      </c>
    </row>
    <row r="855" spans="1:18" x14ac:dyDescent="0.25">
      <c r="A855" t="s">
        <v>235</v>
      </c>
      <c r="B855" s="4">
        <v>891</v>
      </c>
      <c r="C855" s="4">
        <v>0</v>
      </c>
      <c r="D855" s="3">
        <v>5</v>
      </c>
      <c r="E855" t="s">
        <v>895</v>
      </c>
      <c r="F855" t="s">
        <v>897</v>
      </c>
      <c r="G855" t="s">
        <v>887</v>
      </c>
      <c r="H855" s="6">
        <f>_xlfn.XLOOKUP(A855,Orders[OrderID],Orders[OrderDate])</f>
        <v>43114</v>
      </c>
      <c r="I855" t="str">
        <f>_xlfn.XLOOKUP(A855,Orders[OrderID],Orders[CustomerName])</f>
        <v>Trupti</v>
      </c>
      <c r="J855" t="str">
        <f>_xlfn.XLOOKUP(A855,Orders[OrderID],Orders[State])</f>
        <v>Gujarat</v>
      </c>
      <c r="K855" t="str">
        <f>_xlfn.XLOOKUP(A855,Orders[OrderID],Orders[City])</f>
        <v>Ahmedabad</v>
      </c>
      <c r="L855" s="3">
        <f>YEAR(Clean_Data[[#This Row],[OrderDate]])</f>
        <v>2018</v>
      </c>
      <c r="M855" s="3">
        <f>MONTH(Clean_Data[[#This Row],[OrderDate]])</f>
        <v>1</v>
      </c>
      <c r="N855" s="8" t="str">
        <f>TEXT(Clean_Data[[#This Row],[OrderDate]],"mmm")</f>
        <v>Jan</v>
      </c>
      <c r="O855" s="8" t="str">
        <f>TEXT(Clean_Data[[#This Row],[OrderDate]], "yyyy-mm")</f>
        <v>2018-01</v>
      </c>
      <c r="P855" s="7">
        <f>Clean_Data[[#This Row],[Profit]]/Clean_Data[[#This Row],[Revenue ]]</f>
        <v>0</v>
      </c>
      <c r="Q855" t="str">
        <f>"Q"&amp;ROUNDUP(MONTH(Clean_Data[[#This Row],[OrderDate]])/3,0)</f>
        <v>Q1</v>
      </c>
      <c r="R855" t="str">
        <f>TEXT(Clean_Data[[#This Row],[OrderDate]], "dddd")</f>
        <v>Sunday</v>
      </c>
    </row>
    <row r="856" spans="1:18" x14ac:dyDescent="0.25">
      <c r="A856" t="s">
        <v>724</v>
      </c>
      <c r="B856" s="4">
        <v>75</v>
      </c>
      <c r="C856" s="4">
        <v>28</v>
      </c>
      <c r="D856" s="3">
        <v>9</v>
      </c>
      <c r="E856" t="s">
        <v>895</v>
      </c>
      <c r="F856" t="s">
        <v>899</v>
      </c>
      <c r="G856" t="s">
        <v>898</v>
      </c>
      <c r="H856" s="6">
        <f>_xlfn.XLOOKUP(A856,Orders[OrderID],Orders[OrderDate])</f>
        <v>43387</v>
      </c>
      <c r="I856" t="str">
        <f>_xlfn.XLOOKUP(A856,Orders[OrderID],Orders[CustomerName])</f>
        <v>Sandeep</v>
      </c>
      <c r="J856" t="str">
        <f>_xlfn.XLOOKUP(A856,Orders[OrderID],Orders[State])</f>
        <v>Madhya Pradesh</v>
      </c>
      <c r="K856" t="str">
        <f>_xlfn.XLOOKUP(A856,Orders[OrderID],Orders[City])</f>
        <v>Indore</v>
      </c>
      <c r="L856" s="3">
        <f>YEAR(Clean_Data[[#This Row],[OrderDate]])</f>
        <v>2018</v>
      </c>
      <c r="M856" s="3">
        <f>MONTH(Clean_Data[[#This Row],[OrderDate]])</f>
        <v>10</v>
      </c>
      <c r="N856" s="8" t="str">
        <f>TEXT(Clean_Data[[#This Row],[OrderDate]],"mmm")</f>
        <v>Oct</v>
      </c>
      <c r="O856" s="8" t="str">
        <f>TEXT(Clean_Data[[#This Row],[OrderDate]], "yyyy-mm")</f>
        <v>2018-10</v>
      </c>
      <c r="P856" s="7">
        <f>Clean_Data[[#This Row],[Profit]]/Clean_Data[[#This Row],[Revenue ]]</f>
        <v>0.37333333333333335</v>
      </c>
      <c r="Q856" t="str">
        <f>"Q"&amp;ROUNDUP(MONTH(Clean_Data[[#This Row],[OrderDate]])/3,0)</f>
        <v>Q4</v>
      </c>
      <c r="R856" t="str">
        <f>TEXT(Clean_Data[[#This Row],[OrderDate]], "dddd")</f>
        <v>Sunday</v>
      </c>
    </row>
    <row r="857" spans="1:18" x14ac:dyDescent="0.25">
      <c r="A857" t="s">
        <v>544</v>
      </c>
      <c r="B857" s="4">
        <v>62</v>
      </c>
      <c r="C857" s="4">
        <v>6</v>
      </c>
      <c r="D857" s="3">
        <v>5</v>
      </c>
      <c r="E857" t="s">
        <v>895</v>
      </c>
      <c r="F857" t="s">
        <v>899</v>
      </c>
      <c r="G857" t="s">
        <v>887</v>
      </c>
      <c r="H857" s="6">
        <f>_xlfn.XLOOKUP(A857,Orders[OrderID],Orders[OrderDate])</f>
        <v>43419</v>
      </c>
      <c r="I857" t="str">
        <f>_xlfn.XLOOKUP(A857,Orders[OrderID],Orders[CustomerName])</f>
        <v>Aayush</v>
      </c>
      <c r="J857" t="str">
        <f>_xlfn.XLOOKUP(A857,Orders[OrderID],Orders[State])</f>
        <v>Uttar Pradesh</v>
      </c>
      <c r="K857" t="str">
        <f>_xlfn.XLOOKUP(A857,Orders[OrderID],Orders[City])</f>
        <v>Lucknow</v>
      </c>
      <c r="L857" s="3">
        <f>YEAR(Clean_Data[[#This Row],[OrderDate]])</f>
        <v>2018</v>
      </c>
      <c r="M857" s="3">
        <f>MONTH(Clean_Data[[#This Row],[OrderDate]])</f>
        <v>11</v>
      </c>
      <c r="N857" s="8" t="str">
        <f>TEXT(Clean_Data[[#This Row],[OrderDate]],"mmm")</f>
        <v>Nov</v>
      </c>
      <c r="O857" s="8" t="str">
        <f>TEXT(Clean_Data[[#This Row],[OrderDate]], "yyyy-mm")</f>
        <v>2018-11</v>
      </c>
      <c r="P857" s="7">
        <f>Clean_Data[[#This Row],[Profit]]/Clean_Data[[#This Row],[Revenue ]]</f>
        <v>9.6774193548387094E-2</v>
      </c>
      <c r="Q857" t="str">
        <f>"Q"&amp;ROUNDUP(MONTH(Clean_Data[[#This Row],[OrderDate]])/3,0)</f>
        <v>Q4</v>
      </c>
      <c r="R857" t="str">
        <f>TEXT(Clean_Data[[#This Row],[OrderDate]], "dddd")</f>
        <v>Thursday</v>
      </c>
    </row>
    <row r="858" spans="1:18" x14ac:dyDescent="0.25">
      <c r="A858" t="s">
        <v>571</v>
      </c>
      <c r="B858" s="4">
        <v>29</v>
      </c>
      <c r="C858" s="4">
        <v>-18</v>
      </c>
      <c r="D858" s="3">
        <v>7</v>
      </c>
      <c r="E858" t="s">
        <v>895</v>
      </c>
      <c r="F858" t="s">
        <v>901</v>
      </c>
      <c r="G858" t="s">
        <v>898</v>
      </c>
      <c r="H858" s="6">
        <f>_xlfn.XLOOKUP(A858,Orders[OrderID],Orders[OrderDate])</f>
        <v>43297</v>
      </c>
      <c r="I858" t="str">
        <f>_xlfn.XLOOKUP(A858,Orders[OrderID],Orders[CustomerName])</f>
        <v>Anchal</v>
      </c>
      <c r="J858" t="str">
        <f>_xlfn.XLOOKUP(A858,Orders[OrderID],Orders[State])</f>
        <v>Haryana</v>
      </c>
      <c r="K858" t="str">
        <f>_xlfn.XLOOKUP(A858,Orders[OrderID],Orders[City])</f>
        <v>Chandigarh</v>
      </c>
      <c r="L858" s="3">
        <f>YEAR(Clean_Data[[#This Row],[OrderDate]])</f>
        <v>2018</v>
      </c>
      <c r="M858" s="3">
        <f>MONTH(Clean_Data[[#This Row],[OrderDate]])</f>
        <v>7</v>
      </c>
      <c r="N858" s="8" t="str">
        <f>TEXT(Clean_Data[[#This Row],[OrderDate]],"mmm")</f>
        <v>Jul</v>
      </c>
      <c r="O858" s="8" t="str">
        <f>TEXT(Clean_Data[[#This Row],[OrderDate]], "yyyy-mm")</f>
        <v>2018-07</v>
      </c>
      <c r="P858" s="7">
        <f>Clean_Data[[#This Row],[Profit]]/Clean_Data[[#This Row],[Revenue ]]</f>
        <v>-0.62068965517241381</v>
      </c>
      <c r="Q858" t="str">
        <f>"Q"&amp;ROUNDUP(MONTH(Clean_Data[[#This Row],[OrderDate]])/3,0)</f>
        <v>Q3</v>
      </c>
      <c r="R858" t="str">
        <f>TEXT(Clean_Data[[#This Row],[OrderDate]], "dddd")</f>
        <v>Monday</v>
      </c>
    </row>
    <row r="859" spans="1:18" x14ac:dyDescent="0.25">
      <c r="A859" t="s">
        <v>596</v>
      </c>
      <c r="B859" s="4">
        <v>168</v>
      </c>
      <c r="C859" s="4">
        <v>18</v>
      </c>
      <c r="D859" s="3">
        <v>6</v>
      </c>
      <c r="E859" t="s">
        <v>895</v>
      </c>
      <c r="F859" t="s">
        <v>903</v>
      </c>
      <c r="G859" t="s">
        <v>907</v>
      </c>
      <c r="H859" s="6">
        <f>_xlfn.XLOOKUP(A859,Orders[OrderID],Orders[OrderDate])</f>
        <v>43150</v>
      </c>
      <c r="I859" t="str">
        <f>_xlfn.XLOOKUP(A859,Orders[OrderID],Orders[CustomerName])</f>
        <v>Vandana</v>
      </c>
      <c r="J859" t="str">
        <f>_xlfn.XLOOKUP(A859,Orders[OrderID],Orders[State])</f>
        <v>Himachal Pradesh</v>
      </c>
      <c r="K859" t="str">
        <f>_xlfn.XLOOKUP(A859,Orders[OrderID],Orders[City])</f>
        <v>Simla</v>
      </c>
      <c r="L859" s="3">
        <f>YEAR(Clean_Data[[#This Row],[OrderDate]])</f>
        <v>2018</v>
      </c>
      <c r="M859" s="3">
        <f>MONTH(Clean_Data[[#This Row],[OrderDate]])</f>
        <v>2</v>
      </c>
      <c r="N859" s="8" t="str">
        <f>TEXT(Clean_Data[[#This Row],[OrderDate]],"mmm")</f>
        <v>Feb</v>
      </c>
      <c r="O859" s="8" t="str">
        <f>TEXT(Clean_Data[[#This Row],[OrderDate]], "yyyy-mm")</f>
        <v>2018-02</v>
      </c>
      <c r="P859" s="7">
        <f>Clean_Data[[#This Row],[Profit]]/Clean_Data[[#This Row],[Revenue ]]</f>
        <v>0.10714285714285714</v>
      </c>
      <c r="Q859" t="str">
        <f>"Q"&amp;ROUNDUP(MONTH(Clean_Data[[#This Row],[OrderDate]])/3,0)</f>
        <v>Q1</v>
      </c>
      <c r="R859" t="str">
        <f>TEXT(Clean_Data[[#This Row],[OrderDate]], "dddd")</f>
        <v>Monday</v>
      </c>
    </row>
    <row r="860" spans="1:18" x14ac:dyDescent="0.25">
      <c r="A860" t="s">
        <v>425</v>
      </c>
      <c r="B860" s="4">
        <v>70</v>
      </c>
      <c r="C860" s="4">
        <v>24</v>
      </c>
      <c r="D860" s="3">
        <v>3</v>
      </c>
      <c r="E860" t="s">
        <v>895</v>
      </c>
      <c r="F860" t="s">
        <v>903</v>
      </c>
      <c r="G860" t="s">
        <v>898</v>
      </c>
      <c r="H860" s="6">
        <f>_xlfn.XLOOKUP(A860,Orders[OrderID],Orders[OrderDate])</f>
        <v>43169</v>
      </c>
      <c r="I860" t="str">
        <f>_xlfn.XLOOKUP(A860,Orders[OrderID],Orders[CustomerName])</f>
        <v>Sonal</v>
      </c>
      <c r="J860" t="str">
        <f>_xlfn.XLOOKUP(A860,Orders[OrderID],Orders[State])</f>
        <v>Bihar</v>
      </c>
      <c r="K860" t="str">
        <f>_xlfn.XLOOKUP(A860,Orders[OrderID],Orders[City])</f>
        <v>Patna</v>
      </c>
      <c r="L860" s="3">
        <f>YEAR(Clean_Data[[#This Row],[OrderDate]])</f>
        <v>2018</v>
      </c>
      <c r="M860" s="3">
        <f>MONTH(Clean_Data[[#This Row],[OrderDate]])</f>
        <v>3</v>
      </c>
      <c r="N860" s="8" t="str">
        <f>TEXT(Clean_Data[[#This Row],[OrderDate]],"mmm")</f>
        <v>Mar</v>
      </c>
      <c r="O860" s="8" t="str">
        <f>TEXT(Clean_Data[[#This Row],[OrderDate]], "yyyy-mm")</f>
        <v>2018-03</v>
      </c>
      <c r="P860" s="7">
        <f>Clean_Data[[#This Row],[Profit]]/Clean_Data[[#This Row],[Revenue ]]</f>
        <v>0.34285714285714286</v>
      </c>
      <c r="Q860" t="str">
        <f>"Q"&amp;ROUNDUP(MONTH(Clean_Data[[#This Row],[OrderDate]])/3,0)</f>
        <v>Q1</v>
      </c>
      <c r="R860" t="str">
        <f>TEXT(Clean_Data[[#This Row],[OrderDate]], "dddd")</f>
        <v>Saturday</v>
      </c>
    </row>
    <row r="861" spans="1:18" x14ac:dyDescent="0.25">
      <c r="A861" t="s">
        <v>395</v>
      </c>
      <c r="B861" s="4">
        <v>169</v>
      </c>
      <c r="C861" s="4">
        <v>55</v>
      </c>
      <c r="D861" s="3">
        <v>4</v>
      </c>
      <c r="E861" t="s">
        <v>895</v>
      </c>
      <c r="F861" t="s">
        <v>897</v>
      </c>
      <c r="G861" t="s">
        <v>907</v>
      </c>
      <c r="H861" s="6">
        <f>_xlfn.XLOOKUP(A861,Orders[OrderID],Orders[OrderDate])</f>
        <v>43165</v>
      </c>
      <c r="I861" t="str">
        <f>_xlfn.XLOOKUP(A861,Orders[OrderID],Orders[CustomerName])</f>
        <v>Paridhi</v>
      </c>
      <c r="J861" t="str">
        <f>_xlfn.XLOOKUP(A861,Orders[OrderID],Orders[State])</f>
        <v>Rajasthan</v>
      </c>
      <c r="K861" t="str">
        <f>_xlfn.XLOOKUP(A861,Orders[OrderID],Orders[City])</f>
        <v>Jaipur</v>
      </c>
      <c r="L861" s="3">
        <f>YEAR(Clean_Data[[#This Row],[OrderDate]])</f>
        <v>2018</v>
      </c>
      <c r="M861" s="3">
        <f>MONTH(Clean_Data[[#This Row],[OrderDate]])</f>
        <v>3</v>
      </c>
      <c r="N861" s="8" t="str">
        <f>TEXT(Clean_Data[[#This Row],[OrderDate]],"mmm")</f>
        <v>Mar</v>
      </c>
      <c r="O861" s="8" t="str">
        <f>TEXT(Clean_Data[[#This Row],[OrderDate]], "yyyy-mm")</f>
        <v>2018-03</v>
      </c>
      <c r="P861" s="7">
        <f>Clean_Data[[#This Row],[Profit]]/Clean_Data[[#This Row],[Revenue ]]</f>
        <v>0.32544378698224852</v>
      </c>
      <c r="Q861" t="str">
        <f>"Q"&amp;ROUNDUP(MONTH(Clean_Data[[#This Row],[OrderDate]])/3,0)</f>
        <v>Q1</v>
      </c>
      <c r="R861" t="str">
        <f>TEXT(Clean_Data[[#This Row],[OrderDate]], "dddd")</f>
        <v>Tuesday</v>
      </c>
    </row>
    <row r="862" spans="1:18" x14ac:dyDescent="0.25">
      <c r="A862" t="s">
        <v>304</v>
      </c>
      <c r="B862" s="4">
        <v>32</v>
      </c>
      <c r="C862" s="4">
        <v>-8</v>
      </c>
      <c r="D862" s="3">
        <v>2</v>
      </c>
      <c r="E862" t="s">
        <v>895</v>
      </c>
      <c r="F862" t="s">
        <v>903</v>
      </c>
      <c r="G862" t="s">
        <v>887</v>
      </c>
      <c r="H862" s="6">
        <f>_xlfn.XLOOKUP(A862,Orders[OrderID],Orders[OrderDate])</f>
        <v>43282</v>
      </c>
      <c r="I862" t="str">
        <f>_xlfn.XLOOKUP(A862,Orders[OrderID],Orders[CustomerName])</f>
        <v>Kishwar</v>
      </c>
      <c r="J862" t="str">
        <f>_xlfn.XLOOKUP(A862,Orders[OrderID],Orders[State])</f>
        <v>Madhya Pradesh</v>
      </c>
      <c r="K862" t="str">
        <f>_xlfn.XLOOKUP(A862,Orders[OrderID],Orders[City])</f>
        <v>Indore</v>
      </c>
      <c r="L862" s="3">
        <f>YEAR(Clean_Data[[#This Row],[OrderDate]])</f>
        <v>2018</v>
      </c>
      <c r="M862" s="3">
        <f>MONTH(Clean_Data[[#This Row],[OrderDate]])</f>
        <v>7</v>
      </c>
      <c r="N862" s="8" t="str">
        <f>TEXT(Clean_Data[[#This Row],[OrderDate]],"mmm")</f>
        <v>Jul</v>
      </c>
      <c r="O862" s="8" t="str">
        <f>TEXT(Clean_Data[[#This Row],[OrderDate]], "yyyy-mm")</f>
        <v>2018-07</v>
      </c>
      <c r="P862" s="7">
        <f>Clean_Data[[#This Row],[Profit]]/Clean_Data[[#This Row],[Revenue ]]</f>
        <v>-0.25</v>
      </c>
      <c r="Q862" t="str">
        <f>"Q"&amp;ROUNDUP(MONTH(Clean_Data[[#This Row],[OrderDate]])/3,0)</f>
        <v>Q3</v>
      </c>
      <c r="R862" t="str">
        <f>TEXT(Clean_Data[[#This Row],[OrderDate]], "dddd")</f>
        <v>Sunday</v>
      </c>
    </row>
    <row r="863" spans="1:18" x14ac:dyDescent="0.25">
      <c r="A863" t="s">
        <v>258</v>
      </c>
      <c r="B863" s="4">
        <v>44</v>
      </c>
      <c r="C863" s="4">
        <v>-8</v>
      </c>
      <c r="D863" s="3">
        <v>3</v>
      </c>
      <c r="E863" t="s">
        <v>895</v>
      </c>
      <c r="F863" t="s">
        <v>903</v>
      </c>
      <c r="G863" t="s">
        <v>898</v>
      </c>
      <c r="H863" s="6">
        <f>_xlfn.XLOOKUP(A863,Orders[OrderID],Orders[OrderDate])</f>
        <v>43227</v>
      </c>
      <c r="I863" t="str">
        <f>_xlfn.XLOOKUP(A863,Orders[OrderID],Orders[CustomerName])</f>
        <v>Anurag</v>
      </c>
      <c r="J863" t="str">
        <f>_xlfn.XLOOKUP(A863,Orders[OrderID],Orders[State])</f>
        <v>Madhya Pradesh</v>
      </c>
      <c r="K863" t="str">
        <f>_xlfn.XLOOKUP(A863,Orders[OrderID],Orders[City])</f>
        <v>Indore</v>
      </c>
      <c r="L863" s="3">
        <f>YEAR(Clean_Data[[#This Row],[OrderDate]])</f>
        <v>2018</v>
      </c>
      <c r="M863" s="3">
        <f>MONTH(Clean_Data[[#This Row],[OrderDate]])</f>
        <v>5</v>
      </c>
      <c r="N863" s="8" t="str">
        <f>TEXT(Clean_Data[[#This Row],[OrderDate]],"mmm")</f>
        <v>May</v>
      </c>
      <c r="O863" s="8" t="str">
        <f>TEXT(Clean_Data[[#This Row],[OrderDate]], "yyyy-mm")</f>
        <v>2018-05</v>
      </c>
      <c r="P863" s="7">
        <f>Clean_Data[[#This Row],[Profit]]/Clean_Data[[#This Row],[Revenue ]]</f>
        <v>-0.18181818181818182</v>
      </c>
      <c r="Q863" t="str">
        <f>"Q"&amp;ROUNDUP(MONTH(Clean_Data[[#This Row],[OrderDate]])/3,0)</f>
        <v>Q2</v>
      </c>
      <c r="R863" t="str">
        <f>TEXT(Clean_Data[[#This Row],[OrderDate]], "dddd")</f>
        <v>Monday</v>
      </c>
    </row>
    <row r="864" spans="1:18" x14ac:dyDescent="0.25">
      <c r="A864" t="s">
        <v>689</v>
      </c>
      <c r="B864" s="4">
        <v>116</v>
      </c>
      <c r="C864" s="4">
        <v>-56</v>
      </c>
      <c r="D864" s="3">
        <v>5</v>
      </c>
      <c r="E864" t="s">
        <v>895</v>
      </c>
      <c r="F864" t="s">
        <v>903</v>
      </c>
      <c r="G864" t="s">
        <v>893</v>
      </c>
      <c r="H864" s="6">
        <f>_xlfn.XLOOKUP(A864,Orders[OrderID],Orders[OrderDate])</f>
        <v>43205</v>
      </c>
      <c r="I864" t="str">
        <f>_xlfn.XLOOKUP(A864,Orders[OrderID],Orders[CustomerName])</f>
        <v>Kanak</v>
      </c>
      <c r="J864" t="str">
        <f>_xlfn.XLOOKUP(A864,Orders[OrderID],Orders[State])</f>
        <v>Goa</v>
      </c>
      <c r="K864" t="str">
        <f>_xlfn.XLOOKUP(A864,Orders[OrderID],Orders[City])</f>
        <v>Goa</v>
      </c>
      <c r="L864" s="3">
        <f>YEAR(Clean_Data[[#This Row],[OrderDate]])</f>
        <v>2018</v>
      </c>
      <c r="M864" s="3">
        <f>MONTH(Clean_Data[[#This Row],[OrderDate]])</f>
        <v>4</v>
      </c>
      <c r="N864" s="8" t="str">
        <f>TEXT(Clean_Data[[#This Row],[OrderDate]],"mmm")</f>
        <v>Apr</v>
      </c>
      <c r="O864" s="8" t="str">
        <f>TEXT(Clean_Data[[#This Row],[OrderDate]], "yyyy-mm")</f>
        <v>2018-04</v>
      </c>
      <c r="P864" s="7">
        <f>Clean_Data[[#This Row],[Profit]]/Clean_Data[[#This Row],[Revenue ]]</f>
        <v>-0.48275862068965519</v>
      </c>
      <c r="Q864" t="str">
        <f>"Q"&amp;ROUNDUP(MONTH(Clean_Data[[#This Row],[OrderDate]])/3,0)</f>
        <v>Q2</v>
      </c>
      <c r="R864" t="str">
        <f>TEXT(Clean_Data[[#This Row],[OrderDate]], "dddd")</f>
        <v>Sunday</v>
      </c>
    </row>
    <row r="865" spans="1:18" x14ac:dyDescent="0.25">
      <c r="A865" t="s">
        <v>611</v>
      </c>
      <c r="B865" s="4">
        <v>156</v>
      </c>
      <c r="C865" s="4">
        <v>21</v>
      </c>
      <c r="D865" s="3">
        <v>3</v>
      </c>
      <c r="E865" t="s">
        <v>888</v>
      </c>
      <c r="F865" t="s">
        <v>889</v>
      </c>
      <c r="G865" t="s">
        <v>887</v>
      </c>
      <c r="H865" s="6">
        <f>_xlfn.XLOOKUP(A865,Orders[OrderID],Orders[OrderDate])</f>
        <v>43396</v>
      </c>
      <c r="I865" t="str">
        <f>_xlfn.XLOOKUP(A865,Orders[OrderID],Orders[CustomerName])</f>
        <v>Sheetal</v>
      </c>
      <c r="J865" t="str">
        <f>_xlfn.XLOOKUP(A865,Orders[OrderID],Orders[State])</f>
        <v>Madhya Pradesh</v>
      </c>
      <c r="K865" t="str">
        <f>_xlfn.XLOOKUP(A865,Orders[OrderID],Orders[City])</f>
        <v>Indore</v>
      </c>
      <c r="L865" s="3">
        <f>YEAR(Clean_Data[[#This Row],[OrderDate]])</f>
        <v>2018</v>
      </c>
      <c r="M865" s="3">
        <f>MONTH(Clean_Data[[#This Row],[OrderDate]])</f>
        <v>10</v>
      </c>
      <c r="N865" s="8" t="str">
        <f>TEXT(Clean_Data[[#This Row],[OrderDate]],"mmm")</f>
        <v>Oct</v>
      </c>
      <c r="O865" s="8" t="str">
        <f>TEXT(Clean_Data[[#This Row],[OrderDate]], "yyyy-mm")</f>
        <v>2018-10</v>
      </c>
      <c r="P865" s="7">
        <f>Clean_Data[[#This Row],[Profit]]/Clean_Data[[#This Row],[Revenue ]]</f>
        <v>0.13461538461538461</v>
      </c>
      <c r="Q865" t="str">
        <f>"Q"&amp;ROUNDUP(MONTH(Clean_Data[[#This Row],[OrderDate]])/3,0)</f>
        <v>Q4</v>
      </c>
      <c r="R865" t="str">
        <f>TEXT(Clean_Data[[#This Row],[OrderDate]], "dddd")</f>
        <v>Tuesday</v>
      </c>
    </row>
    <row r="866" spans="1:18" x14ac:dyDescent="0.25">
      <c r="A866" t="s">
        <v>476</v>
      </c>
      <c r="B866" s="4">
        <v>62</v>
      </c>
      <c r="C866" s="4">
        <v>6</v>
      </c>
      <c r="D866" s="3">
        <v>6</v>
      </c>
      <c r="E866" t="s">
        <v>895</v>
      </c>
      <c r="F866" t="s">
        <v>901</v>
      </c>
      <c r="G866" t="s">
        <v>887</v>
      </c>
      <c r="H866" s="6">
        <f>_xlfn.XLOOKUP(A866,Orders[OrderID],Orders[OrderDate])</f>
        <v>43135</v>
      </c>
      <c r="I866" t="str">
        <f>_xlfn.XLOOKUP(A866,Orders[OrderID],Orders[CustomerName])</f>
        <v>Prashant</v>
      </c>
      <c r="J866" t="str">
        <f>_xlfn.XLOOKUP(A866,Orders[OrderID],Orders[State])</f>
        <v>Delhi</v>
      </c>
      <c r="K866" t="str">
        <f>_xlfn.XLOOKUP(A866,Orders[OrderID],Orders[City])</f>
        <v>Delhi</v>
      </c>
      <c r="L866" s="3">
        <f>YEAR(Clean_Data[[#This Row],[OrderDate]])</f>
        <v>2018</v>
      </c>
      <c r="M866" s="3">
        <f>MONTH(Clean_Data[[#This Row],[OrderDate]])</f>
        <v>2</v>
      </c>
      <c r="N866" s="8" t="str">
        <f>TEXT(Clean_Data[[#This Row],[OrderDate]],"mmm")</f>
        <v>Feb</v>
      </c>
      <c r="O866" s="8" t="str">
        <f>TEXT(Clean_Data[[#This Row],[OrderDate]], "yyyy-mm")</f>
        <v>2018-02</v>
      </c>
      <c r="P866" s="7">
        <f>Clean_Data[[#This Row],[Profit]]/Clean_Data[[#This Row],[Revenue ]]</f>
        <v>9.6774193548387094E-2</v>
      </c>
      <c r="Q866" t="str">
        <f>"Q"&amp;ROUNDUP(MONTH(Clean_Data[[#This Row],[OrderDate]])/3,0)</f>
        <v>Q1</v>
      </c>
      <c r="R866" t="str">
        <f>TEXT(Clean_Data[[#This Row],[OrderDate]], "dddd")</f>
        <v>Sunday</v>
      </c>
    </row>
    <row r="867" spans="1:18" x14ac:dyDescent="0.25">
      <c r="A867" t="s">
        <v>57</v>
      </c>
      <c r="B867" s="4">
        <v>54</v>
      </c>
      <c r="C867" s="4">
        <v>1</v>
      </c>
      <c r="D867" s="3">
        <v>2</v>
      </c>
      <c r="E867" t="s">
        <v>895</v>
      </c>
      <c r="F867" t="s">
        <v>897</v>
      </c>
      <c r="G867" t="s">
        <v>898</v>
      </c>
      <c r="H867" s="6">
        <f>_xlfn.XLOOKUP(A867,Orders[OrderID],Orders[OrderDate])</f>
        <v>43399</v>
      </c>
      <c r="I867" t="str">
        <f>_xlfn.XLOOKUP(A867,Orders[OrderID],Orders[CustomerName])</f>
        <v>Aastha</v>
      </c>
      <c r="J867" t="str">
        <f>_xlfn.XLOOKUP(A867,Orders[OrderID],Orders[State])</f>
        <v>Himachal Pradesh</v>
      </c>
      <c r="K867" t="str">
        <f>_xlfn.XLOOKUP(A867,Orders[OrderID],Orders[City])</f>
        <v>Simla</v>
      </c>
      <c r="L867" s="3">
        <f>YEAR(Clean_Data[[#This Row],[OrderDate]])</f>
        <v>2018</v>
      </c>
      <c r="M867" s="3">
        <f>MONTH(Clean_Data[[#This Row],[OrderDate]])</f>
        <v>10</v>
      </c>
      <c r="N867" s="8" t="str">
        <f>TEXT(Clean_Data[[#This Row],[OrderDate]],"mmm")</f>
        <v>Oct</v>
      </c>
      <c r="O867" s="8" t="str">
        <f>TEXT(Clean_Data[[#This Row],[OrderDate]], "yyyy-mm")</f>
        <v>2018-10</v>
      </c>
      <c r="P867" s="7">
        <f>Clean_Data[[#This Row],[Profit]]/Clean_Data[[#This Row],[Revenue ]]</f>
        <v>1.8518518518518517E-2</v>
      </c>
      <c r="Q867" t="str">
        <f>"Q"&amp;ROUNDUP(MONTH(Clean_Data[[#This Row],[OrderDate]])/3,0)</f>
        <v>Q4</v>
      </c>
      <c r="R867" t="str">
        <f>TEXT(Clean_Data[[#This Row],[OrderDate]], "dddd")</f>
        <v>Friday</v>
      </c>
    </row>
    <row r="868" spans="1:18" x14ac:dyDescent="0.25">
      <c r="A868" t="s">
        <v>284</v>
      </c>
      <c r="B868" s="4">
        <v>111</v>
      </c>
      <c r="C868" s="4">
        <v>11</v>
      </c>
      <c r="D868" s="3">
        <v>9</v>
      </c>
      <c r="E868" t="s">
        <v>895</v>
      </c>
      <c r="F868" t="s">
        <v>899</v>
      </c>
      <c r="G868" t="s">
        <v>893</v>
      </c>
      <c r="H868" s="6">
        <f>_xlfn.XLOOKUP(A868,Orders[OrderID],Orders[OrderDate])</f>
        <v>43113</v>
      </c>
      <c r="I868" t="str">
        <f>_xlfn.XLOOKUP(A868,Orders[OrderID],Orders[CustomerName])</f>
        <v>Jesal</v>
      </c>
      <c r="J868" t="str">
        <f>_xlfn.XLOOKUP(A868,Orders[OrderID],Orders[State])</f>
        <v>West Bengal</v>
      </c>
      <c r="K868" t="str">
        <f>_xlfn.XLOOKUP(A868,Orders[OrderID],Orders[City])</f>
        <v>Kolkata</v>
      </c>
      <c r="L868" s="3">
        <f>YEAR(Clean_Data[[#This Row],[OrderDate]])</f>
        <v>2018</v>
      </c>
      <c r="M868" s="3">
        <f>MONTH(Clean_Data[[#This Row],[OrderDate]])</f>
        <v>1</v>
      </c>
      <c r="N868" s="8" t="str">
        <f>TEXT(Clean_Data[[#This Row],[OrderDate]],"mmm")</f>
        <v>Jan</v>
      </c>
      <c r="O868" s="8" t="str">
        <f>TEXT(Clean_Data[[#This Row],[OrderDate]], "yyyy-mm")</f>
        <v>2018-01</v>
      </c>
      <c r="P868" s="7">
        <f>Clean_Data[[#This Row],[Profit]]/Clean_Data[[#This Row],[Revenue ]]</f>
        <v>9.90990990990991E-2</v>
      </c>
      <c r="Q868" t="str">
        <f>"Q"&amp;ROUNDUP(MONTH(Clean_Data[[#This Row],[OrderDate]])/3,0)</f>
        <v>Q1</v>
      </c>
      <c r="R868" t="str">
        <f>TEXT(Clean_Data[[#This Row],[OrderDate]], "dddd")</f>
        <v>Saturday</v>
      </c>
    </row>
    <row r="869" spans="1:18" x14ac:dyDescent="0.25">
      <c r="A869" t="s">
        <v>607</v>
      </c>
      <c r="B869" s="4">
        <v>158</v>
      </c>
      <c r="C869" s="4">
        <v>-63</v>
      </c>
      <c r="D869" s="3">
        <v>4</v>
      </c>
      <c r="E869" t="s">
        <v>888</v>
      </c>
      <c r="F869" t="s">
        <v>889</v>
      </c>
      <c r="G869" t="s">
        <v>898</v>
      </c>
      <c r="H869" s="6">
        <f>_xlfn.XLOOKUP(A869,Orders[OrderID],Orders[OrderDate])</f>
        <v>43289</v>
      </c>
      <c r="I869" t="str">
        <f>_xlfn.XLOOKUP(A869,Orders[OrderID],Orders[CustomerName])</f>
        <v>Raksha</v>
      </c>
      <c r="J869" t="str">
        <f>_xlfn.XLOOKUP(A869,Orders[OrderID],Orders[State])</f>
        <v>West Bengal</v>
      </c>
      <c r="K869" t="str">
        <f>_xlfn.XLOOKUP(A869,Orders[OrderID],Orders[City])</f>
        <v>Kolkata</v>
      </c>
      <c r="L869" s="3">
        <f>YEAR(Clean_Data[[#This Row],[OrderDate]])</f>
        <v>2018</v>
      </c>
      <c r="M869" s="3">
        <f>MONTH(Clean_Data[[#This Row],[OrderDate]])</f>
        <v>7</v>
      </c>
      <c r="N869" s="8" t="str">
        <f>TEXT(Clean_Data[[#This Row],[OrderDate]],"mmm")</f>
        <v>Jul</v>
      </c>
      <c r="O869" s="8" t="str">
        <f>TEXT(Clean_Data[[#This Row],[OrderDate]], "yyyy-mm")</f>
        <v>2018-07</v>
      </c>
      <c r="P869" s="7">
        <f>Clean_Data[[#This Row],[Profit]]/Clean_Data[[#This Row],[Revenue ]]</f>
        <v>-0.39873417721518989</v>
      </c>
      <c r="Q869" t="str">
        <f>"Q"&amp;ROUNDUP(MONTH(Clean_Data[[#This Row],[OrderDate]])/3,0)</f>
        <v>Q3</v>
      </c>
      <c r="R869" t="str">
        <f>TEXT(Clean_Data[[#This Row],[OrderDate]], "dddd")</f>
        <v>Sunday</v>
      </c>
    </row>
    <row r="870" spans="1:18" x14ac:dyDescent="0.25">
      <c r="A870" t="s">
        <v>478</v>
      </c>
      <c r="B870" s="4">
        <v>7</v>
      </c>
      <c r="C870" s="4">
        <v>-3</v>
      </c>
      <c r="D870" s="3">
        <v>2</v>
      </c>
      <c r="E870" t="s">
        <v>895</v>
      </c>
      <c r="F870" t="s">
        <v>901</v>
      </c>
      <c r="G870" t="s">
        <v>898</v>
      </c>
      <c r="H870" s="6">
        <f>_xlfn.XLOOKUP(A870,Orders[OrderID],Orders[OrderDate])</f>
        <v>43254</v>
      </c>
      <c r="I870" t="str">
        <f>_xlfn.XLOOKUP(A870,Orders[OrderID],Orders[CustomerName])</f>
        <v>Bathina</v>
      </c>
      <c r="J870" t="str">
        <f>_xlfn.XLOOKUP(A870,Orders[OrderID],Orders[State])</f>
        <v>Karnataka</v>
      </c>
      <c r="K870" t="str">
        <f>_xlfn.XLOOKUP(A870,Orders[OrderID],Orders[City])</f>
        <v>Bangalore</v>
      </c>
      <c r="L870" s="3">
        <f>YEAR(Clean_Data[[#This Row],[OrderDate]])</f>
        <v>2018</v>
      </c>
      <c r="M870" s="3">
        <f>MONTH(Clean_Data[[#This Row],[OrderDate]])</f>
        <v>6</v>
      </c>
      <c r="N870" s="8" t="str">
        <f>TEXT(Clean_Data[[#This Row],[OrderDate]],"mmm")</f>
        <v>Jun</v>
      </c>
      <c r="O870" s="8" t="str">
        <f>TEXT(Clean_Data[[#This Row],[OrderDate]], "yyyy-mm")</f>
        <v>2018-06</v>
      </c>
      <c r="P870" s="7">
        <f>Clean_Data[[#This Row],[Profit]]/Clean_Data[[#This Row],[Revenue ]]</f>
        <v>-0.42857142857142855</v>
      </c>
      <c r="Q870" t="str">
        <f>"Q"&amp;ROUNDUP(MONTH(Clean_Data[[#This Row],[OrderDate]])/3,0)</f>
        <v>Q2</v>
      </c>
      <c r="R870" t="str">
        <f>TEXT(Clean_Data[[#This Row],[OrderDate]], "dddd")</f>
        <v>Sunday</v>
      </c>
    </row>
    <row r="871" spans="1:18" x14ac:dyDescent="0.25">
      <c r="A871" t="s">
        <v>604</v>
      </c>
      <c r="B871" s="4">
        <v>61</v>
      </c>
      <c r="C871" s="4">
        <v>28</v>
      </c>
      <c r="D871" s="3">
        <v>2</v>
      </c>
      <c r="E871" t="s">
        <v>895</v>
      </c>
      <c r="F871" t="s">
        <v>899</v>
      </c>
      <c r="G871" t="s">
        <v>898</v>
      </c>
      <c r="H871" s="6">
        <f>_xlfn.XLOOKUP(A871,Orders[OrderID],Orders[OrderDate])</f>
        <v>43444</v>
      </c>
      <c r="I871" t="str">
        <f>_xlfn.XLOOKUP(A871,Orders[OrderID],Orders[CustomerName])</f>
        <v>Suraj</v>
      </c>
      <c r="J871" t="str">
        <f>_xlfn.XLOOKUP(A871,Orders[OrderID],Orders[State])</f>
        <v>Gujarat</v>
      </c>
      <c r="K871" t="str">
        <f>_xlfn.XLOOKUP(A871,Orders[OrderID],Orders[City])</f>
        <v>Surat</v>
      </c>
      <c r="L871" s="3">
        <f>YEAR(Clean_Data[[#This Row],[OrderDate]])</f>
        <v>2018</v>
      </c>
      <c r="M871" s="3">
        <f>MONTH(Clean_Data[[#This Row],[OrderDate]])</f>
        <v>12</v>
      </c>
      <c r="N871" s="8" t="str">
        <f>TEXT(Clean_Data[[#This Row],[OrderDate]],"mmm")</f>
        <v>Dec</v>
      </c>
      <c r="O871" s="8" t="str">
        <f>TEXT(Clean_Data[[#This Row],[OrderDate]], "yyyy-mm")</f>
        <v>2018-12</v>
      </c>
      <c r="P871" s="7">
        <f>Clean_Data[[#This Row],[Profit]]/Clean_Data[[#This Row],[Revenue ]]</f>
        <v>0.45901639344262296</v>
      </c>
      <c r="Q871" t="str">
        <f>"Q"&amp;ROUNDUP(MONTH(Clean_Data[[#This Row],[OrderDate]])/3,0)</f>
        <v>Q4</v>
      </c>
      <c r="R871" t="str">
        <f>TEXT(Clean_Data[[#This Row],[OrderDate]], "dddd")</f>
        <v>Monday</v>
      </c>
    </row>
    <row r="872" spans="1:18" x14ac:dyDescent="0.25">
      <c r="A872" t="s">
        <v>28</v>
      </c>
      <c r="B872" s="4">
        <v>61</v>
      </c>
      <c r="C872" s="4">
        <v>-50</v>
      </c>
      <c r="D872" s="3">
        <v>4</v>
      </c>
      <c r="E872" t="s">
        <v>895</v>
      </c>
      <c r="F872" t="s">
        <v>899</v>
      </c>
      <c r="G872" t="s">
        <v>887</v>
      </c>
      <c r="H872" s="6">
        <f>_xlfn.XLOOKUP(A872,Orders[OrderID],Orders[OrderDate])</f>
        <v>43374</v>
      </c>
      <c r="I872" t="str">
        <f>_xlfn.XLOOKUP(A872,Orders[OrderID],Orders[CustomerName])</f>
        <v>Shishu</v>
      </c>
      <c r="J872" t="str">
        <f>_xlfn.XLOOKUP(A872,Orders[OrderID],Orders[State])</f>
        <v>Andhra Pradesh</v>
      </c>
      <c r="K872" t="str">
        <f>_xlfn.XLOOKUP(A872,Orders[OrderID],Orders[City])</f>
        <v>Hyderabad</v>
      </c>
      <c r="L872" s="3">
        <f>YEAR(Clean_Data[[#This Row],[OrderDate]])</f>
        <v>2018</v>
      </c>
      <c r="M872" s="3">
        <f>MONTH(Clean_Data[[#This Row],[OrderDate]])</f>
        <v>10</v>
      </c>
      <c r="N872" s="8" t="str">
        <f>TEXT(Clean_Data[[#This Row],[OrderDate]],"mmm")</f>
        <v>Oct</v>
      </c>
      <c r="O872" s="8" t="str">
        <f>TEXT(Clean_Data[[#This Row],[OrderDate]], "yyyy-mm")</f>
        <v>2018-10</v>
      </c>
      <c r="P872" s="7">
        <f>Clean_Data[[#This Row],[Profit]]/Clean_Data[[#This Row],[Revenue ]]</f>
        <v>-0.81967213114754101</v>
      </c>
      <c r="Q872" t="str">
        <f>"Q"&amp;ROUNDUP(MONTH(Clean_Data[[#This Row],[OrderDate]])/3,0)</f>
        <v>Q4</v>
      </c>
      <c r="R872" t="str">
        <f>TEXT(Clean_Data[[#This Row],[OrderDate]], "dddd")</f>
        <v>Monday</v>
      </c>
    </row>
    <row r="873" spans="1:18" x14ac:dyDescent="0.25">
      <c r="A873" t="s">
        <v>75</v>
      </c>
      <c r="B873" s="4">
        <v>154</v>
      </c>
      <c r="C873" s="4">
        <v>26</v>
      </c>
      <c r="D873" s="3">
        <v>4</v>
      </c>
      <c r="E873" t="s">
        <v>885</v>
      </c>
      <c r="F873" t="s">
        <v>905</v>
      </c>
      <c r="G873" t="s">
        <v>887</v>
      </c>
      <c r="H873" s="6">
        <f>_xlfn.XLOOKUP(A873,Orders[OrderID],Orders[OrderDate])</f>
        <v>43444</v>
      </c>
      <c r="I873" t="str">
        <f>_xlfn.XLOOKUP(A873,Orders[OrderID],Orders[CustomerName])</f>
        <v>Ishpreet</v>
      </c>
      <c r="J873" t="str">
        <f>_xlfn.XLOOKUP(A873,Orders[OrderID],Orders[State])</f>
        <v>Maharashtra</v>
      </c>
      <c r="K873" t="str">
        <f>_xlfn.XLOOKUP(A873,Orders[OrderID],Orders[City])</f>
        <v>Mumbai</v>
      </c>
      <c r="L873" s="3">
        <f>YEAR(Clean_Data[[#This Row],[OrderDate]])</f>
        <v>2018</v>
      </c>
      <c r="M873" s="3">
        <f>MONTH(Clean_Data[[#This Row],[OrderDate]])</f>
        <v>12</v>
      </c>
      <c r="N873" s="8" t="str">
        <f>TEXT(Clean_Data[[#This Row],[OrderDate]],"mmm")</f>
        <v>Dec</v>
      </c>
      <c r="O873" s="8" t="str">
        <f>TEXT(Clean_Data[[#This Row],[OrderDate]], "yyyy-mm")</f>
        <v>2018-12</v>
      </c>
      <c r="P873" s="7">
        <f>Clean_Data[[#This Row],[Profit]]/Clean_Data[[#This Row],[Revenue ]]</f>
        <v>0.16883116883116883</v>
      </c>
      <c r="Q873" t="str">
        <f>"Q"&amp;ROUNDUP(MONTH(Clean_Data[[#This Row],[OrderDate]])/3,0)</f>
        <v>Q4</v>
      </c>
      <c r="R873" t="str">
        <f>TEXT(Clean_Data[[#This Row],[OrderDate]], "dddd")</f>
        <v>Monday</v>
      </c>
    </row>
    <row r="874" spans="1:18" x14ac:dyDescent="0.25">
      <c r="A874" t="s">
        <v>470</v>
      </c>
      <c r="B874" s="4">
        <v>62</v>
      </c>
      <c r="C874" s="4">
        <v>1</v>
      </c>
      <c r="D874" s="3">
        <v>3</v>
      </c>
      <c r="E874" t="s">
        <v>895</v>
      </c>
      <c r="F874" t="s">
        <v>897</v>
      </c>
      <c r="G874" t="s">
        <v>887</v>
      </c>
      <c r="H874" s="6">
        <f>_xlfn.XLOOKUP(A874,Orders[OrderID],Orders[OrderDate])</f>
        <v>43410</v>
      </c>
      <c r="I874" t="str">
        <f>_xlfn.XLOOKUP(A874,Orders[OrderID],Orders[CustomerName])</f>
        <v>Kushal</v>
      </c>
      <c r="J874" t="str">
        <f>_xlfn.XLOOKUP(A874,Orders[OrderID],Orders[State])</f>
        <v>Nagaland</v>
      </c>
      <c r="K874" t="str">
        <f>_xlfn.XLOOKUP(A874,Orders[OrderID],Orders[City])</f>
        <v>Kohima</v>
      </c>
      <c r="L874" s="3">
        <f>YEAR(Clean_Data[[#This Row],[OrderDate]])</f>
        <v>2018</v>
      </c>
      <c r="M874" s="3">
        <f>MONTH(Clean_Data[[#This Row],[OrderDate]])</f>
        <v>11</v>
      </c>
      <c r="N874" s="8" t="str">
        <f>TEXT(Clean_Data[[#This Row],[OrderDate]],"mmm")</f>
        <v>Nov</v>
      </c>
      <c r="O874" s="8" t="str">
        <f>TEXT(Clean_Data[[#This Row],[OrderDate]], "yyyy-mm")</f>
        <v>2018-11</v>
      </c>
      <c r="P874" s="7">
        <f>Clean_Data[[#This Row],[Profit]]/Clean_Data[[#This Row],[Revenue ]]</f>
        <v>1.6129032258064516E-2</v>
      </c>
      <c r="Q874" t="str">
        <f>"Q"&amp;ROUNDUP(MONTH(Clean_Data[[#This Row],[OrderDate]])/3,0)</f>
        <v>Q4</v>
      </c>
      <c r="R874" t="str">
        <f>TEXT(Clean_Data[[#This Row],[OrderDate]], "dddd")</f>
        <v>Tuesday</v>
      </c>
    </row>
    <row r="875" spans="1:18" x14ac:dyDescent="0.25">
      <c r="A875" t="s">
        <v>593</v>
      </c>
      <c r="B875" s="4">
        <v>169</v>
      </c>
      <c r="C875" s="4">
        <v>38</v>
      </c>
      <c r="D875" s="3">
        <v>3</v>
      </c>
      <c r="E875" t="s">
        <v>895</v>
      </c>
      <c r="F875" t="s">
        <v>897</v>
      </c>
      <c r="G875" t="s">
        <v>907</v>
      </c>
      <c r="H875" s="6">
        <f>_xlfn.XLOOKUP(A875,Orders[OrderID],Orders[OrderDate])</f>
        <v>43110</v>
      </c>
      <c r="I875" t="str">
        <f>_xlfn.XLOOKUP(A875,Orders[OrderID],Orders[CustomerName])</f>
        <v>Syed</v>
      </c>
      <c r="J875" t="str">
        <f>_xlfn.XLOOKUP(A875,Orders[OrderID],Orders[State])</f>
        <v>Maharashtra</v>
      </c>
      <c r="K875" t="str">
        <f>_xlfn.XLOOKUP(A875,Orders[OrderID],Orders[City])</f>
        <v>Pune</v>
      </c>
      <c r="L875" s="3">
        <f>YEAR(Clean_Data[[#This Row],[OrderDate]])</f>
        <v>2018</v>
      </c>
      <c r="M875" s="3">
        <f>MONTH(Clean_Data[[#This Row],[OrderDate]])</f>
        <v>1</v>
      </c>
      <c r="N875" s="8" t="str">
        <f>TEXT(Clean_Data[[#This Row],[OrderDate]],"mmm")</f>
        <v>Jan</v>
      </c>
      <c r="O875" s="8" t="str">
        <f>TEXT(Clean_Data[[#This Row],[OrderDate]], "yyyy-mm")</f>
        <v>2018-01</v>
      </c>
      <c r="P875" s="7">
        <f>Clean_Data[[#This Row],[Profit]]/Clean_Data[[#This Row],[Revenue ]]</f>
        <v>0.22485207100591717</v>
      </c>
      <c r="Q875" t="str">
        <f>"Q"&amp;ROUNDUP(MONTH(Clean_Data[[#This Row],[OrderDate]])/3,0)</f>
        <v>Q1</v>
      </c>
      <c r="R875" t="str">
        <f>TEXT(Clean_Data[[#This Row],[OrderDate]], "dddd")</f>
        <v>Wednesday</v>
      </c>
    </row>
    <row r="876" spans="1:18" x14ac:dyDescent="0.25">
      <c r="A876" t="s">
        <v>403</v>
      </c>
      <c r="B876" s="4">
        <v>61</v>
      </c>
      <c r="C876" s="4">
        <v>18</v>
      </c>
      <c r="D876" s="3">
        <v>2</v>
      </c>
      <c r="E876" t="s">
        <v>885</v>
      </c>
      <c r="F876" t="s">
        <v>905</v>
      </c>
      <c r="G876" t="s">
        <v>887</v>
      </c>
      <c r="H876" s="6">
        <f>_xlfn.XLOOKUP(A876,Orders[OrderID],Orders[OrderDate])</f>
        <v>43105</v>
      </c>
      <c r="I876" t="str">
        <f>_xlfn.XLOOKUP(A876,Orders[OrderID],Orders[CustomerName])</f>
        <v>Vineet</v>
      </c>
      <c r="J876" t="str">
        <f>_xlfn.XLOOKUP(A876,Orders[OrderID],Orders[State])</f>
        <v>Sikkim</v>
      </c>
      <c r="K876" t="str">
        <f>_xlfn.XLOOKUP(A876,Orders[OrderID],Orders[City])</f>
        <v>Gangtok</v>
      </c>
      <c r="L876" s="3">
        <f>YEAR(Clean_Data[[#This Row],[OrderDate]])</f>
        <v>2018</v>
      </c>
      <c r="M876" s="3">
        <f>MONTH(Clean_Data[[#This Row],[OrderDate]])</f>
        <v>1</v>
      </c>
      <c r="N876" s="8" t="str">
        <f>TEXT(Clean_Data[[#This Row],[OrderDate]],"mmm")</f>
        <v>Jan</v>
      </c>
      <c r="O876" s="8" t="str">
        <f>TEXT(Clean_Data[[#This Row],[OrderDate]], "yyyy-mm")</f>
        <v>2018-01</v>
      </c>
      <c r="P876" s="7">
        <f>Clean_Data[[#This Row],[Profit]]/Clean_Data[[#This Row],[Revenue ]]</f>
        <v>0.29508196721311475</v>
      </c>
      <c r="Q876" t="str">
        <f>"Q"&amp;ROUNDUP(MONTH(Clean_Data[[#This Row],[OrderDate]])/3,0)</f>
        <v>Q1</v>
      </c>
      <c r="R876" t="str">
        <f>TEXT(Clean_Data[[#This Row],[OrderDate]], "dddd")</f>
        <v>Friday</v>
      </c>
    </row>
    <row r="877" spans="1:18" x14ac:dyDescent="0.25">
      <c r="A877" t="s">
        <v>124</v>
      </c>
      <c r="B877" s="4">
        <v>61</v>
      </c>
      <c r="C877" s="4">
        <v>-23</v>
      </c>
      <c r="D877" s="3">
        <v>2</v>
      </c>
      <c r="E877" t="s">
        <v>895</v>
      </c>
      <c r="F877" t="s">
        <v>897</v>
      </c>
      <c r="G877" t="s">
        <v>887</v>
      </c>
      <c r="H877" s="6">
        <f>_xlfn.XLOOKUP(A877,Orders[OrderID],Orders[OrderDate])</f>
        <v>43231</v>
      </c>
      <c r="I877" t="str">
        <f>_xlfn.XLOOKUP(A877,Orders[OrderID],Orders[CustomerName])</f>
        <v>Priyanka</v>
      </c>
      <c r="J877" t="str">
        <f>_xlfn.XLOOKUP(A877,Orders[OrderID],Orders[State])</f>
        <v>Maharashtra</v>
      </c>
      <c r="K877" t="str">
        <f>_xlfn.XLOOKUP(A877,Orders[OrderID],Orders[City])</f>
        <v>Pune</v>
      </c>
      <c r="L877" s="3">
        <f>YEAR(Clean_Data[[#This Row],[OrderDate]])</f>
        <v>2018</v>
      </c>
      <c r="M877" s="3">
        <f>MONTH(Clean_Data[[#This Row],[OrderDate]])</f>
        <v>5</v>
      </c>
      <c r="N877" s="8" t="str">
        <f>TEXT(Clean_Data[[#This Row],[OrderDate]],"mmm")</f>
        <v>May</v>
      </c>
      <c r="O877" s="8" t="str">
        <f>TEXT(Clean_Data[[#This Row],[OrderDate]], "yyyy-mm")</f>
        <v>2018-05</v>
      </c>
      <c r="P877" s="7">
        <f>Clean_Data[[#This Row],[Profit]]/Clean_Data[[#This Row],[Revenue ]]</f>
        <v>-0.37704918032786883</v>
      </c>
      <c r="Q877" t="str">
        <f>"Q"&amp;ROUNDUP(MONTH(Clean_Data[[#This Row],[OrderDate]])/3,0)</f>
        <v>Q2</v>
      </c>
      <c r="R877" t="str">
        <f>TEXT(Clean_Data[[#This Row],[OrderDate]], "dddd")</f>
        <v>Friday</v>
      </c>
    </row>
    <row r="878" spans="1:18" x14ac:dyDescent="0.25">
      <c r="A878" t="s">
        <v>587</v>
      </c>
      <c r="B878" s="4">
        <v>171</v>
      </c>
      <c r="C878" s="4">
        <v>14</v>
      </c>
      <c r="D878" s="3">
        <v>9</v>
      </c>
      <c r="E878" t="s">
        <v>895</v>
      </c>
      <c r="F878" t="s">
        <v>909</v>
      </c>
      <c r="G878" t="s">
        <v>907</v>
      </c>
      <c r="H878" s="6">
        <f>_xlfn.XLOOKUP(A878,Orders[OrderID],Orders[OrderDate])</f>
        <v>43269</v>
      </c>
      <c r="I878" t="str">
        <f>_xlfn.XLOOKUP(A878,Orders[OrderID],Orders[CustomerName])</f>
        <v>Suhani</v>
      </c>
      <c r="J878" t="str">
        <f>_xlfn.XLOOKUP(A878,Orders[OrderID],Orders[State])</f>
        <v>West Bengal</v>
      </c>
      <c r="K878" t="str">
        <f>_xlfn.XLOOKUP(A878,Orders[OrderID],Orders[City])</f>
        <v>Kolkata</v>
      </c>
      <c r="L878" s="3">
        <f>YEAR(Clean_Data[[#This Row],[OrderDate]])</f>
        <v>2018</v>
      </c>
      <c r="M878" s="3">
        <f>MONTH(Clean_Data[[#This Row],[OrderDate]])</f>
        <v>6</v>
      </c>
      <c r="N878" s="8" t="str">
        <f>TEXT(Clean_Data[[#This Row],[OrderDate]],"mmm")</f>
        <v>Jun</v>
      </c>
      <c r="O878" s="8" t="str">
        <f>TEXT(Clean_Data[[#This Row],[OrderDate]], "yyyy-mm")</f>
        <v>2018-06</v>
      </c>
      <c r="P878" s="7">
        <f>Clean_Data[[#This Row],[Profit]]/Clean_Data[[#This Row],[Revenue ]]</f>
        <v>8.1871345029239762E-2</v>
      </c>
      <c r="Q878" t="str">
        <f>"Q"&amp;ROUNDUP(MONTH(Clean_Data[[#This Row],[OrderDate]])/3,0)</f>
        <v>Q2</v>
      </c>
      <c r="R878" t="str">
        <f>TEXT(Clean_Data[[#This Row],[OrderDate]], "dddd")</f>
        <v>Monday</v>
      </c>
    </row>
    <row r="879" spans="1:18" x14ac:dyDescent="0.25">
      <c r="A879" t="s">
        <v>271</v>
      </c>
      <c r="B879" s="4">
        <v>60</v>
      </c>
      <c r="C879" s="4">
        <v>-49</v>
      </c>
      <c r="D879" s="3">
        <v>8</v>
      </c>
      <c r="E879" t="s">
        <v>895</v>
      </c>
      <c r="F879" t="s">
        <v>899</v>
      </c>
      <c r="G879" t="s">
        <v>887</v>
      </c>
      <c r="H879" s="6">
        <f>_xlfn.XLOOKUP(A879,Orders[OrderID],Orders[OrderDate])</f>
        <v>43357</v>
      </c>
      <c r="I879" t="str">
        <f>_xlfn.XLOOKUP(A879,Orders[OrderID],Orders[CustomerName])</f>
        <v>Rutuja</v>
      </c>
      <c r="J879" t="str">
        <f>_xlfn.XLOOKUP(A879,Orders[OrderID],Orders[State])</f>
        <v>Gujarat</v>
      </c>
      <c r="K879" t="str">
        <f>_xlfn.XLOOKUP(A879,Orders[OrderID],Orders[City])</f>
        <v>Ahmedabad</v>
      </c>
      <c r="L879" s="3">
        <f>YEAR(Clean_Data[[#This Row],[OrderDate]])</f>
        <v>2018</v>
      </c>
      <c r="M879" s="3">
        <f>MONTH(Clean_Data[[#This Row],[OrderDate]])</f>
        <v>9</v>
      </c>
      <c r="N879" s="8" t="str">
        <f>TEXT(Clean_Data[[#This Row],[OrderDate]],"mmm")</f>
        <v>Sep</v>
      </c>
      <c r="O879" s="8" t="str">
        <f>TEXT(Clean_Data[[#This Row],[OrderDate]], "yyyy-mm")</f>
        <v>2018-09</v>
      </c>
      <c r="P879" s="7">
        <f>Clean_Data[[#This Row],[Profit]]/Clean_Data[[#This Row],[Revenue ]]</f>
        <v>-0.81666666666666665</v>
      </c>
      <c r="Q879" t="str">
        <f>"Q"&amp;ROUNDUP(MONTH(Clean_Data[[#This Row],[OrderDate]])/3,0)</f>
        <v>Q3</v>
      </c>
      <c r="R879" t="str">
        <f>TEXT(Clean_Data[[#This Row],[OrderDate]], "dddd")</f>
        <v>Friday</v>
      </c>
    </row>
    <row r="880" spans="1:18" x14ac:dyDescent="0.25">
      <c r="A880" t="s">
        <v>826</v>
      </c>
      <c r="B880" s="4">
        <v>25</v>
      </c>
      <c r="C880" s="4">
        <v>-11</v>
      </c>
      <c r="D880" s="3">
        <v>1</v>
      </c>
      <c r="E880" t="s">
        <v>895</v>
      </c>
      <c r="F880" t="s">
        <v>903</v>
      </c>
      <c r="G880" t="s">
        <v>898</v>
      </c>
      <c r="H880" s="6">
        <f>_xlfn.XLOOKUP(A880,Orders[OrderID],Orders[OrderDate])</f>
        <v>43358</v>
      </c>
      <c r="I880" t="str">
        <f>_xlfn.XLOOKUP(A880,Orders[OrderID],Orders[CustomerName])</f>
        <v>Shivangi</v>
      </c>
      <c r="J880" t="str">
        <f>_xlfn.XLOOKUP(A880,Orders[OrderID],Orders[State])</f>
        <v>Madhya Pradesh</v>
      </c>
      <c r="K880" t="str">
        <f>_xlfn.XLOOKUP(A880,Orders[OrderID],Orders[City])</f>
        <v>Indore</v>
      </c>
      <c r="L880" s="3">
        <f>YEAR(Clean_Data[[#This Row],[OrderDate]])</f>
        <v>2018</v>
      </c>
      <c r="M880" s="3">
        <f>MONTH(Clean_Data[[#This Row],[OrderDate]])</f>
        <v>9</v>
      </c>
      <c r="N880" s="8" t="str">
        <f>TEXT(Clean_Data[[#This Row],[OrderDate]],"mmm")</f>
        <v>Sep</v>
      </c>
      <c r="O880" s="8" t="str">
        <f>TEXT(Clean_Data[[#This Row],[OrderDate]], "yyyy-mm")</f>
        <v>2018-09</v>
      </c>
      <c r="P880" s="7">
        <f>Clean_Data[[#This Row],[Profit]]/Clean_Data[[#This Row],[Revenue ]]</f>
        <v>-0.44</v>
      </c>
      <c r="Q880" t="str">
        <f>"Q"&amp;ROUNDUP(MONTH(Clean_Data[[#This Row],[OrderDate]])/3,0)</f>
        <v>Q3</v>
      </c>
      <c r="R880" t="str">
        <f>TEXT(Clean_Data[[#This Row],[OrderDate]], "dddd")</f>
        <v>Saturday</v>
      </c>
    </row>
    <row r="881" spans="1:18" x14ac:dyDescent="0.25">
      <c r="A881" t="s">
        <v>536</v>
      </c>
      <c r="B881" s="4">
        <v>163</v>
      </c>
      <c r="C881" s="4">
        <v>26</v>
      </c>
      <c r="D881" s="3">
        <v>4</v>
      </c>
      <c r="E881" t="s">
        <v>895</v>
      </c>
      <c r="F881" t="s">
        <v>909</v>
      </c>
      <c r="G881" t="s">
        <v>887</v>
      </c>
      <c r="H881" s="6">
        <f>_xlfn.XLOOKUP(A881,Orders[OrderID],Orders[OrderDate])</f>
        <v>43421</v>
      </c>
      <c r="I881" t="str">
        <f>_xlfn.XLOOKUP(A881,Orders[OrderID],Orders[CustomerName])</f>
        <v>Ankit</v>
      </c>
      <c r="J881" t="str">
        <f>_xlfn.XLOOKUP(A881,Orders[OrderID],Orders[State])</f>
        <v>Sikkim</v>
      </c>
      <c r="K881" t="str">
        <f>_xlfn.XLOOKUP(A881,Orders[OrderID],Orders[City])</f>
        <v>Gangtok</v>
      </c>
      <c r="L881" s="3">
        <f>YEAR(Clean_Data[[#This Row],[OrderDate]])</f>
        <v>2018</v>
      </c>
      <c r="M881" s="3">
        <f>MONTH(Clean_Data[[#This Row],[OrderDate]])</f>
        <v>11</v>
      </c>
      <c r="N881" s="8" t="str">
        <f>TEXT(Clean_Data[[#This Row],[OrderDate]],"mmm")</f>
        <v>Nov</v>
      </c>
      <c r="O881" s="8" t="str">
        <f>TEXT(Clean_Data[[#This Row],[OrderDate]], "yyyy-mm")</f>
        <v>2018-11</v>
      </c>
      <c r="P881" s="7">
        <f>Clean_Data[[#This Row],[Profit]]/Clean_Data[[#This Row],[Revenue ]]</f>
        <v>0.15950920245398773</v>
      </c>
      <c r="Q881" t="str">
        <f>"Q"&amp;ROUNDUP(MONTH(Clean_Data[[#This Row],[OrderDate]])/3,0)</f>
        <v>Q4</v>
      </c>
      <c r="R881" t="str">
        <f>TEXT(Clean_Data[[#This Row],[OrderDate]], "dddd")</f>
        <v>Saturday</v>
      </c>
    </row>
    <row r="882" spans="1:18" x14ac:dyDescent="0.25">
      <c r="A882" t="s">
        <v>7</v>
      </c>
      <c r="B882" s="4">
        <v>173</v>
      </c>
      <c r="C882" s="4">
        <v>86</v>
      </c>
      <c r="D882" s="3">
        <v>1</v>
      </c>
      <c r="E882" t="s">
        <v>885</v>
      </c>
      <c r="F882" t="s">
        <v>892</v>
      </c>
      <c r="G882" t="s">
        <v>907</v>
      </c>
      <c r="H882" s="6">
        <f>_xlfn.XLOOKUP(A882,Orders[OrderID],Orders[OrderDate])</f>
        <v>43134</v>
      </c>
      <c r="I882" t="str">
        <f>_xlfn.XLOOKUP(A882,Orders[OrderID],Orders[CustomerName])</f>
        <v>Madhav</v>
      </c>
      <c r="J882" t="str">
        <f>_xlfn.XLOOKUP(A882,Orders[OrderID],Orders[State])</f>
        <v>Delhi</v>
      </c>
      <c r="K882" t="str">
        <f>_xlfn.XLOOKUP(A882,Orders[OrderID],Orders[City])</f>
        <v>Delhi</v>
      </c>
      <c r="L882" s="3">
        <f>YEAR(Clean_Data[[#This Row],[OrderDate]])</f>
        <v>2018</v>
      </c>
      <c r="M882" s="3">
        <f>MONTH(Clean_Data[[#This Row],[OrderDate]])</f>
        <v>2</v>
      </c>
      <c r="N882" s="8" t="str">
        <f>TEXT(Clean_Data[[#This Row],[OrderDate]],"mmm")</f>
        <v>Feb</v>
      </c>
      <c r="O882" s="8" t="str">
        <f>TEXT(Clean_Data[[#This Row],[OrderDate]], "yyyy-mm")</f>
        <v>2018-02</v>
      </c>
      <c r="P882" s="7">
        <f>Clean_Data[[#This Row],[Profit]]/Clean_Data[[#This Row],[Revenue ]]</f>
        <v>0.49710982658959535</v>
      </c>
      <c r="Q882" t="str">
        <f>"Q"&amp;ROUNDUP(MONTH(Clean_Data[[#This Row],[OrderDate]])/3,0)</f>
        <v>Q1</v>
      </c>
      <c r="R882" t="str">
        <f>TEXT(Clean_Data[[#This Row],[OrderDate]], "dddd")</f>
        <v>Saturday</v>
      </c>
    </row>
    <row r="883" spans="1:18" x14ac:dyDescent="0.25">
      <c r="A883" t="s">
        <v>71</v>
      </c>
      <c r="B883" s="4">
        <v>257</v>
      </c>
      <c r="C883" s="4">
        <v>-3</v>
      </c>
      <c r="D883" s="3">
        <v>2</v>
      </c>
      <c r="E883" t="s">
        <v>888</v>
      </c>
      <c r="F883" t="s">
        <v>891</v>
      </c>
      <c r="G883" t="s">
        <v>898</v>
      </c>
      <c r="H883" s="6">
        <f>_xlfn.XLOOKUP(A883,Orders[OrderID],Orders[OrderDate])</f>
        <v>43331</v>
      </c>
      <c r="I883" t="str">
        <f>_xlfn.XLOOKUP(A883,Orders[OrderID],Orders[CustomerName])</f>
        <v>Shourya</v>
      </c>
      <c r="J883" t="str">
        <f>_xlfn.XLOOKUP(A883,Orders[OrderID],Orders[State])</f>
        <v xml:space="preserve">Kerala </v>
      </c>
      <c r="K883" t="str">
        <f>_xlfn.XLOOKUP(A883,Orders[OrderID],Orders[City])</f>
        <v>Thiruvananthapuram</v>
      </c>
      <c r="L883" s="3">
        <f>YEAR(Clean_Data[[#This Row],[OrderDate]])</f>
        <v>2018</v>
      </c>
      <c r="M883" s="3">
        <f>MONTH(Clean_Data[[#This Row],[OrderDate]])</f>
        <v>8</v>
      </c>
      <c r="N883" s="8" t="str">
        <f>TEXT(Clean_Data[[#This Row],[OrderDate]],"mmm")</f>
        <v>Aug</v>
      </c>
      <c r="O883" s="8" t="str">
        <f>TEXT(Clean_Data[[#This Row],[OrderDate]], "yyyy-mm")</f>
        <v>2018-08</v>
      </c>
      <c r="P883" s="7">
        <f>Clean_Data[[#This Row],[Profit]]/Clean_Data[[#This Row],[Revenue ]]</f>
        <v>-1.1673151750972763E-2</v>
      </c>
      <c r="Q883" t="str">
        <f>"Q"&amp;ROUNDUP(MONTH(Clean_Data[[#This Row],[OrderDate]])/3,0)</f>
        <v>Q3</v>
      </c>
      <c r="R883" t="str">
        <f>TEXT(Clean_Data[[#This Row],[OrderDate]], "dddd")</f>
        <v>Sunday</v>
      </c>
    </row>
    <row r="884" spans="1:18" x14ac:dyDescent="0.25">
      <c r="A884" t="s">
        <v>699</v>
      </c>
      <c r="B884" s="4">
        <v>108</v>
      </c>
      <c r="C884" s="4">
        <v>37</v>
      </c>
      <c r="D884" s="3">
        <v>2</v>
      </c>
      <c r="E884" t="s">
        <v>895</v>
      </c>
      <c r="F884" t="s">
        <v>903</v>
      </c>
      <c r="G884" t="s">
        <v>893</v>
      </c>
      <c r="H884" s="6">
        <f>_xlfn.XLOOKUP(A884,Orders[OrderID],Orders[OrderDate])</f>
        <v>43428</v>
      </c>
      <c r="I884" t="str">
        <f>_xlfn.XLOOKUP(A884,Orders[OrderID],Orders[CustomerName])</f>
        <v>Apoorv</v>
      </c>
      <c r="J884" t="str">
        <f>_xlfn.XLOOKUP(A884,Orders[OrderID],Orders[State])</f>
        <v>Rajasthan</v>
      </c>
      <c r="K884" t="str">
        <f>_xlfn.XLOOKUP(A884,Orders[OrderID],Orders[City])</f>
        <v>Udaipur</v>
      </c>
      <c r="L884" s="3">
        <f>YEAR(Clean_Data[[#This Row],[OrderDate]])</f>
        <v>2018</v>
      </c>
      <c r="M884" s="3">
        <f>MONTH(Clean_Data[[#This Row],[OrderDate]])</f>
        <v>11</v>
      </c>
      <c r="N884" s="8" t="str">
        <f>TEXT(Clean_Data[[#This Row],[OrderDate]],"mmm")</f>
        <v>Nov</v>
      </c>
      <c r="O884" s="8" t="str">
        <f>TEXT(Clean_Data[[#This Row],[OrderDate]], "yyyy-mm")</f>
        <v>2018-11</v>
      </c>
      <c r="P884" s="7">
        <f>Clean_Data[[#This Row],[Profit]]/Clean_Data[[#This Row],[Revenue ]]</f>
        <v>0.34259259259259262</v>
      </c>
      <c r="Q884" t="str">
        <f>"Q"&amp;ROUNDUP(MONTH(Clean_Data[[#This Row],[OrderDate]])/3,0)</f>
        <v>Q4</v>
      </c>
      <c r="R884" t="str">
        <f>TEXT(Clean_Data[[#This Row],[OrderDate]], "dddd")</f>
        <v>Saturday</v>
      </c>
    </row>
    <row r="885" spans="1:18" x14ac:dyDescent="0.25">
      <c r="A885" t="s">
        <v>582</v>
      </c>
      <c r="B885" s="4">
        <v>177</v>
      </c>
      <c r="C885" s="4">
        <v>41</v>
      </c>
      <c r="D885" s="3">
        <v>4</v>
      </c>
      <c r="E885" t="s">
        <v>895</v>
      </c>
      <c r="F885" t="s">
        <v>909</v>
      </c>
      <c r="G885" t="s">
        <v>907</v>
      </c>
      <c r="H885" s="6">
        <f>_xlfn.XLOOKUP(A885,Orders[OrderID],Orders[OrderDate])</f>
        <v>43107</v>
      </c>
      <c r="I885" t="str">
        <f>_xlfn.XLOOKUP(A885,Orders[OrderID],Orders[CustomerName])</f>
        <v>Jaideep</v>
      </c>
      <c r="J885" t="str">
        <f>_xlfn.XLOOKUP(A885,Orders[OrderID],Orders[State])</f>
        <v>Nagaland</v>
      </c>
      <c r="K885" t="str">
        <f>_xlfn.XLOOKUP(A885,Orders[OrderID],Orders[City])</f>
        <v>Kohima</v>
      </c>
      <c r="L885" s="3">
        <f>YEAR(Clean_Data[[#This Row],[OrderDate]])</f>
        <v>2018</v>
      </c>
      <c r="M885" s="3">
        <f>MONTH(Clean_Data[[#This Row],[OrderDate]])</f>
        <v>1</v>
      </c>
      <c r="N885" s="8" t="str">
        <f>TEXT(Clean_Data[[#This Row],[OrderDate]],"mmm")</f>
        <v>Jan</v>
      </c>
      <c r="O885" s="8" t="str">
        <f>TEXT(Clean_Data[[#This Row],[OrderDate]], "yyyy-mm")</f>
        <v>2018-01</v>
      </c>
      <c r="P885" s="7">
        <f>Clean_Data[[#This Row],[Profit]]/Clean_Data[[#This Row],[Revenue ]]</f>
        <v>0.23163841807909605</v>
      </c>
      <c r="Q885" t="str">
        <f>"Q"&amp;ROUNDUP(MONTH(Clean_Data[[#This Row],[OrderDate]])/3,0)</f>
        <v>Q1</v>
      </c>
      <c r="R885" t="str">
        <f>TEXT(Clean_Data[[#This Row],[OrderDate]], "dddd")</f>
        <v>Sunday</v>
      </c>
    </row>
    <row r="886" spans="1:18" x14ac:dyDescent="0.25">
      <c r="A886" t="s">
        <v>16</v>
      </c>
      <c r="B886" s="4">
        <v>106</v>
      </c>
      <c r="C886" s="4">
        <v>15</v>
      </c>
      <c r="D886" s="3">
        <v>7</v>
      </c>
      <c r="E886" t="s">
        <v>895</v>
      </c>
      <c r="F886" t="s">
        <v>899</v>
      </c>
      <c r="G886" t="s">
        <v>893</v>
      </c>
      <c r="H886" s="6">
        <f>_xlfn.XLOOKUP(A886,Orders[OrderID],Orders[OrderDate])</f>
        <v>43333</v>
      </c>
      <c r="I886" t="str">
        <f>_xlfn.XLOOKUP(A886,Orders[OrderID],Orders[CustomerName])</f>
        <v>Vishakha</v>
      </c>
      <c r="J886" t="str">
        <f>_xlfn.XLOOKUP(A886,Orders[OrderID],Orders[State])</f>
        <v>Madhya Pradesh</v>
      </c>
      <c r="K886" t="str">
        <f>_xlfn.XLOOKUP(A886,Orders[OrderID],Orders[City])</f>
        <v>Indore</v>
      </c>
      <c r="L886" s="3">
        <f>YEAR(Clean_Data[[#This Row],[OrderDate]])</f>
        <v>2018</v>
      </c>
      <c r="M886" s="3">
        <f>MONTH(Clean_Data[[#This Row],[OrderDate]])</f>
        <v>8</v>
      </c>
      <c r="N886" s="8" t="str">
        <f>TEXT(Clean_Data[[#This Row],[OrderDate]],"mmm")</f>
        <v>Aug</v>
      </c>
      <c r="O886" s="8" t="str">
        <f>TEXT(Clean_Data[[#This Row],[OrderDate]], "yyyy-mm")</f>
        <v>2018-08</v>
      </c>
      <c r="P886" s="7">
        <f>Clean_Data[[#This Row],[Profit]]/Clean_Data[[#This Row],[Revenue ]]</f>
        <v>0.14150943396226415</v>
      </c>
      <c r="Q886" t="str">
        <f>"Q"&amp;ROUNDUP(MONTH(Clean_Data[[#This Row],[OrderDate]])/3,0)</f>
        <v>Q3</v>
      </c>
      <c r="R886" t="str">
        <f>TEXT(Clean_Data[[#This Row],[OrderDate]], "dddd")</f>
        <v>Tuesday</v>
      </c>
    </row>
    <row r="887" spans="1:18" x14ac:dyDescent="0.25">
      <c r="A887" t="s">
        <v>486</v>
      </c>
      <c r="B887" s="4">
        <v>41</v>
      </c>
      <c r="C887" s="4">
        <v>-14</v>
      </c>
      <c r="D887" s="3">
        <v>5</v>
      </c>
      <c r="E887" t="s">
        <v>895</v>
      </c>
      <c r="F887" t="s">
        <v>904</v>
      </c>
      <c r="G887" t="s">
        <v>898</v>
      </c>
      <c r="H887" s="6">
        <f>_xlfn.XLOOKUP(A887,Orders[OrderID],Orders[OrderDate])</f>
        <v>43330</v>
      </c>
      <c r="I887" t="str">
        <f>_xlfn.XLOOKUP(A887,Orders[OrderID],Orders[CustomerName])</f>
        <v>Akshay</v>
      </c>
      <c r="J887" t="str">
        <f>_xlfn.XLOOKUP(A887,Orders[OrderID],Orders[State])</f>
        <v>Bihar</v>
      </c>
      <c r="K887" t="str">
        <f>_xlfn.XLOOKUP(A887,Orders[OrderID],Orders[City])</f>
        <v>Patna</v>
      </c>
      <c r="L887" s="3">
        <f>YEAR(Clean_Data[[#This Row],[OrderDate]])</f>
        <v>2018</v>
      </c>
      <c r="M887" s="3">
        <f>MONTH(Clean_Data[[#This Row],[OrderDate]])</f>
        <v>8</v>
      </c>
      <c r="N887" s="8" t="str">
        <f>TEXT(Clean_Data[[#This Row],[OrderDate]],"mmm")</f>
        <v>Aug</v>
      </c>
      <c r="O887" s="8" t="str">
        <f>TEXT(Clean_Data[[#This Row],[OrderDate]], "yyyy-mm")</f>
        <v>2018-08</v>
      </c>
      <c r="P887" s="7">
        <f>Clean_Data[[#This Row],[Profit]]/Clean_Data[[#This Row],[Revenue ]]</f>
        <v>-0.34146341463414637</v>
      </c>
      <c r="Q887" t="str">
        <f>"Q"&amp;ROUNDUP(MONTH(Clean_Data[[#This Row],[OrderDate]])/3,0)</f>
        <v>Q3</v>
      </c>
      <c r="R887" t="str">
        <f>TEXT(Clean_Data[[#This Row],[OrderDate]], "dddd")</f>
        <v>Saturday</v>
      </c>
    </row>
    <row r="888" spans="1:18" x14ac:dyDescent="0.25">
      <c r="A888" t="s">
        <v>140</v>
      </c>
      <c r="B888" s="4">
        <v>168</v>
      </c>
      <c r="C888" s="4">
        <v>-10</v>
      </c>
      <c r="D888" s="3">
        <v>3</v>
      </c>
      <c r="E888" t="s">
        <v>885</v>
      </c>
      <c r="F888" t="s">
        <v>905</v>
      </c>
      <c r="G888" t="s">
        <v>898</v>
      </c>
      <c r="H888" s="6">
        <f>_xlfn.XLOOKUP(A888,Orders[OrderID],Orders[OrderDate])</f>
        <v>43228</v>
      </c>
      <c r="I888" t="str">
        <f>_xlfn.XLOOKUP(A888,Orders[OrderID],Orders[CustomerName])</f>
        <v>Farah</v>
      </c>
      <c r="J888" t="str">
        <f>_xlfn.XLOOKUP(A888,Orders[OrderID],Orders[State])</f>
        <v>Nagaland</v>
      </c>
      <c r="K888" t="str">
        <f>_xlfn.XLOOKUP(A888,Orders[OrderID],Orders[City])</f>
        <v>Kohima</v>
      </c>
      <c r="L888" s="3">
        <f>YEAR(Clean_Data[[#This Row],[OrderDate]])</f>
        <v>2018</v>
      </c>
      <c r="M888" s="3">
        <f>MONTH(Clean_Data[[#This Row],[OrderDate]])</f>
        <v>5</v>
      </c>
      <c r="N888" s="8" t="str">
        <f>TEXT(Clean_Data[[#This Row],[OrderDate]],"mmm")</f>
        <v>May</v>
      </c>
      <c r="O888" s="8" t="str">
        <f>TEXT(Clean_Data[[#This Row],[OrderDate]], "yyyy-mm")</f>
        <v>2018-05</v>
      </c>
      <c r="P888" s="7">
        <f>Clean_Data[[#This Row],[Profit]]/Clean_Data[[#This Row],[Revenue ]]</f>
        <v>-5.9523809523809521E-2</v>
      </c>
      <c r="Q888" t="str">
        <f>"Q"&amp;ROUNDUP(MONTH(Clean_Data[[#This Row],[OrderDate]])/3,0)</f>
        <v>Q2</v>
      </c>
      <c r="R888" t="str">
        <f>TEXT(Clean_Data[[#This Row],[OrderDate]], "dddd")</f>
        <v>Tuesday</v>
      </c>
    </row>
    <row r="889" spans="1:18" x14ac:dyDescent="0.25">
      <c r="A889" t="s">
        <v>668</v>
      </c>
      <c r="B889" s="4">
        <v>60</v>
      </c>
      <c r="C889" s="4">
        <v>21</v>
      </c>
      <c r="D889" s="3">
        <v>4</v>
      </c>
      <c r="E889" t="s">
        <v>895</v>
      </c>
      <c r="F889" t="s">
        <v>903</v>
      </c>
      <c r="G889" t="s">
        <v>887</v>
      </c>
      <c r="H889" s="6">
        <f>_xlfn.XLOOKUP(A889,Orders[OrderID],Orders[OrderDate])</f>
        <v>43389</v>
      </c>
      <c r="I889" t="str">
        <f>_xlfn.XLOOKUP(A889,Orders[OrderID],Orders[CustomerName])</f>
        <v>Ajay</v>
      </c>
      <c r="J889" t="str">
        <f>_xlfn.XLOOKUP(A889,Orders[OrderID],Orders[State])</f>
        <v>West Bengal</v>
      </c>
      <c r="K889" t="str">
        <f>_xlfn.XLOOKUP(A889,Orders[OrderID],Orders[City])</f>
        <v>Kolkata</v>
      </c>
      <c r="L889" s="3">
        <f>YEAR(Clean_Data[[#This Row],[OrderDate]])</f>
        <v>2018</v>
      </c>
      <c r="M889" s="3">
        <f>MONTH(Clean_Data[[#This Row],[OrderDate]])</f>
        <v>10</v>
      </c>
      <c r="N889" s="8" t="str">
        <f>TEXT(Clean_Data[[#This Row],[OrderDate]],"mmm")</f>
        <v>Oct</v>
      </c>
      <c r="O889" s="8" t="str">
        <f>TEXT(Clean_Data[[#This Row],[OrderDate]], "yyyy-mm")</f>
        <v>2018-10</v>
      </c>
      <c r="P889" s="7">
        <f>Clean_Data[[#This Row],[Profit]]/Clean_Data[[#This Row],[Revenue ]]</f>
        <v>0.35</v>
      </c>
      <c r="Q889" t="str">
        <f>"Q"&amp;ROUNDUP(MONTH(Clean_Data[[#This Row],[OrderDate]])/3,0)</f>
        <v>Q4</v>
      </c>
      <c r="R889" t="str">
        <f>TEXT(Clean_Data[[#This Row],[OrderDate]], "dddd")</f>
        <v>Tuesday</v>
      </c>
    </row>
    <row r="890" spans="1:18" x14ac:dyDescent="0.25">
      <c r="A890" t="s">
        <v>830</v>
      </c>
      <c r="B890" s="4">
        <v>31</v>
      </c>
      <c r="C890" s="4">
        <v>-11</v>
      </c>
      <c r="D890" s="3">
        <v>4</v>
      </c>
      <c r="E890" t="s">
        <v>895</v>
      </c>
      <c r="F890" t="s">
        <v>903</v>
      </c>
      <c r="G890" t="s">
        <v>887</v>
      </c>
      <c r="H890" s="6">
        <f>_xlfn.XLOOKUP(A890,Orders[OrderID],Orders[OrderDate])</f>
        <v>43282</v>
      </c>
      <c r="I890" t="str">
        <f>_xlfn.XLOOKUP(A890,Orders[OrderID],Orders[CustomerName])</f>
        <v>Swetlana</v>
      </c>
      <c r="J890" t="str">
        <f>_xlfn.XLOOKUP(A890,Orders[OrderID],Orders[State])</f>
        <v>Goa</v>
      </c>
      <c r="K890" t="str">
        <f>_xlfn.XLOOKUP(A890,Orders[OrderID],Orders[City])</f>
        <v>Goa</v>
      </c>
      <c r="L890" s="3">
        <f>YEAR(Clean_Data[[#This Row],[OrderDate]])</f>
        <v>2018</v>
      </c>
      <c r="M890" s="3">
        <f>MONTH(Clean_Data[[#This Row],[OrderDate]])</f>
        <v>7</v>
      </c>
      <c r="N890" s="8" t="str">
        <f>TEXT(Clean_Data[[#This Row],[OrderDate]],"mmm")</f>
        <v>Jul</v>
      </c>
      <c r="O890" s="8" t="str">
        <f>TEXT(Clean_Data[[#This Row],[OrderDate]], "yyyy-mm")</f>
        <v>2018-07</v>
      </c>
      <c r="P890" s="7">
        <f>Clean_Data[[#This Row],[Profit]]/Clean_Data[[#This Row],[Revenue ]]</f>
        <v>-0.35483870967741937</v>
      </c>
      <c r="Q890" t="str">
        <f>"Q"&amp;ROUNDUP(MONTH(Clean_Data[[#This Row],[OrderDate]])/3,0)</f>
        <v>Q3</v>
      </c>
      <c r="R890" t="str">
        <f>TEXT(Clean_Data[[#This Row],[OrderDate]], "dddd")</f>
        <v>Sunday</v>
      </c>
    </row>
    <row r="891" spans="1:18" x14ac:dyDescent="0.25">
      <c r="A891" t="s">
        <v>676</v>
      </c>
      <c r="B891" s="4">
        <v>179</v>
      </c>
      <c r="C891" s="4">
        <v>0</v>
      </c>
      <c r="D891" s="3">
        <v>2</v>
      </c>
      <c r="E891" t="s">
        <v>895</v>
      </c>
      <c r="F891" t="s">
        <v>897</v>
      </c>
      <c r="G891" t="s">
        <v>907</v>
      </c>
      <c r="H891" s="6">
        <f>_xlfn.XLOOKUP(A891,Orders[OrderID],Orders[OrderDate])</f>
        <v>43175</v>
      </c>
      <c r="I891" t="str">
        <f>_xlfn.XLOOKUP(A891,Orders[OrderID],Orders[CustomerName])</f>
        <v>Ankita</v>
      </c>
      <c r="J891" t="str">
        <f>_xlfn.XLOOKUP(A891,Orders[OrderID],Orders[State])</f>
        <v>Maharashtra</v>
      </c>
      <c r="K891" t="str">
        <f>_xlfn.XLOOKUP(A891,Orders[OrderID],Orders[City])</f>
        <v>Mumbai</v>
      </c>
      <c r="L891" s="3">
        <f>YEAR(Clean_Data[[#This Row],[OrderDate]])</f>
        <v>2018</v>
      </c>
      <c r="M891" s="3">
        <f>MONTH(Clean_Data[[#This Row],[OrderDate]])</f>
        <v>3</v>
      </c>
      <c r="N891" s="8" t="str">
        <f>TEXT(Clean_Data[[#This Row],[OrderDate]],"mmm")</f>
        <v>Mar</v>
      </c>
      <c r="O891" s="8" t="str">
        <f>TEXT(Clean_Data[[#This Row],[OrderDate]], "yyyy-mm")</f>
        <v>2018-03</v>
      </c>
      <c r="P891" s="7">
        <f>Clean_Data[[#This Row],[Profit]]/Clean_Data[[#This Row],[Revenue ]]</f>
        <v>0</v>
      </c>
      <c r="Q891" t="str">
        <f>"Q"&amp;ROUNDUP(MONTH(Clean_Data[[#This Row],[OrderDate]])/3,0)</f>
        <v>Q1</v>
      </c>
      <c r="R891" t="str">
        <f>TEXT(Clean_Data[[#This Row],[OrderDate]], "dddd")</f>
        <v>Friday</v>
      </c>
    </row>
    <row r="892" spans="1:18" x14ac:dyDescent="0.25">
      <c r="A892" t="s">
        <v>275</v>
      </c>
      <c r="B892" s="4">
        <v>106</v>
      </c>
      <c r="C892" s="4">
        <v>12</v>
      </c>
      <c r="D892" s="3">
        <v>3</v>
      </c>
      <c r="E892" t="s">
        <v>895</v>
      </c>
      <c r="F892" t="s">
        <v>896</v>
      </c>
      <c r="G892" t="s">
        <v>893</v>
      </c>
      <c r="H892" s="6">
        <f>_xlfn.XLOOKUP(A892,Orders[OrderID],Orders[OrderDate])</f>
        <v>43378</v>
      </c>
      <c r="I892" t="str">
        <f>_xlfn.XLOOKUP(A892,Orders[OrderID],Orders[CustomerName])</f>
        <v>Shivanshu</v>
      </c>
      <c r="J892" t="str">
        <f>_xlfn.XLOOKUP(A892,Orders[OrderID],Orders[State])</f>
        <v>Madhya Pradesh</v>
      </c>
      <c r="K892" t="str">
        <f>_xlfn.XLOOKUP(A892,Orders[OrderID],Orders[City])</f>
        <v>Indore</v>
      </c>
      <c r="L892" s="3">
        <f>YEAR(Clean_Data[[#This Row],[OrderDate]])</f>
        <v>2018</v>
      </c>
      <c r="M892" s="3">
        <f>MONTH(Clean_Data[[#This Row],[OrderDate]])</f>
        <v>10</v>
      </c>
      <c r="N892" s="8" t="str">
        <f>TEXT(Clean_Data[[#This Row],[OrderDate]],"mmm")</f>
        <v>Oct</v>
      </c>
      <c r="O892" s="8" t="str">
        <f>TEXT(Clean_Data[[#This Row],[OrderDate]], "yyyy-mm")</f>
        <v>2018-10</v>
      </c>
      <c r="P892" s="7">
        <f>Clean_Data[[#This Row],[Profit]]/Clean_Data[[#This Row],[Revenue ]]</f>
        <v>0.11320754716981132</v>
      </c>
      <c r="Q892" t="str">
        <f>"Q"&amp;ROUNDUP(MONTH(Clean_Data[[#This Row],[OrderDate]])/3,0)</f>
        <v>Q4</v>
      </c>
      <c r="R892" t="str">
        <f>TEXT(Clean_Data[[#This Row],[OrderDate]], "dddd")</f>
        <v>Friday</v>
      </c>
    </row>
    <row r="893" spans="1:18" x14ac:dyDescent="0.25">
      <c r="A893" t="s">
        <v>416</v>
      </c>
      <c r="B893" s="4">
        <v>60</v>
      </c>
      <c r="C893" s="4">
        <v>13</v>
      </c>
      <c r="D893" s="3">
        <v>2</v>
      </c>
      <c r="E893" t="s">
        <v>895</v>
      </c>
      <c r="F893" t="s">
        <v>906</v>
      </c>
      <c r="G893" t="s">
        <v>887</v>
      </c>
      <c r="H893" s="6">
        <f>_xlfn.XLOOKUP(A893,Orders[OrderID],Orders[OrderDate])</f>
        <v>43180</v>
      </c>
      <c r="I893" t="str">
        <f>_xlfn.XLOOKUP(A893,Orders[OrderID],Orders[CustomerName])</f>
        <v>Jahan</v>
      </c>
      <c r="J893" t="str">
        <f>_xlfn.XLOOKUP(A893,Orders[OrderID],Orders[State])</f>
        <v>Madhya Pradesh</v>
      </c>
      <c r="K893" t="str">
        <f>_xlfn.XLOOKUP(A893,Orders[OrderID],Orders[City])</f>
        <v>Bhopal</v>
      </c>
      <c r="L893" s="3">
        <f>YEAR(Clean_Data[[#This Row],[OrderDate]])</f>
        <v>2018</v>
      </c>
      <c r="M893" s="3">
        <f>MONTH(Clean_Data[[#This Row],[OrderDate]])</f>
        <v>3</v>
      </c>
      <c r="N893" s="8" t="str">
        <f>TEXT(Clean_Data[[#This Row],[OrderDate]],"mmm")</f>
        <v>Mar</v>
      </c>
      <c r="O893" s="8" t="str">
        <f>TEXT(Clean_Data[[#This Row],[OrderDate]], "yyyy-mm")</f>
        <v>2018-03</v>
      </c>
      <c r="P893" s="7">
        <f>Clean_Data[[#This Row],[Profit]]/Clean_Data[[#This Row],[Revenue ]]</f>
        <v>0.21666666666666667</v>
      </c>
      <c r="Q893" t="str">
        <f>"Q"&amp;ROUNDUP(MONTH(Clean_Data[[#This Row],[OrderDate]])/3,0)</f>
        <v>Q1</v>
      </c>
      <c r="R893" t="str">
        <f>TEXT(Clean_Data[[#This Row],[OrderDate]], "dddd")</f>
        <v>Wednesday</v>
      </c>
    </row>
    <row r="894" spans="1:18" x14ac:dyDescent="0.25">
      <c r="A894" t="s">
        <v>134</v>
      </c>
      <c r="B894" s="4">
        <v>180</v>
      </c>
      <c r="C894" s="4">
        <v>5</v>
      </c>
      <c r="D894" s="3">
        <v>3</v>
      </c>
      <c r="E894" t="s">
        <v>895</v>
      </c>
      <c r="F894" t="s">
        <v>896</v>
      </c>
      <c r="G894" t="s">
        <v>907</v>
      </c>
      <c r="H894" s="6">
        <f>_xlfn.XLOOKUP(A894,Orders[OrderID],Orders[OrderDate])</f>
        <v>43193</v>
      </c>
      <c r="I894" t="str">
        <f>_xlfn.XLOOKUP(A894,Orders[OrderID],Orders[CustomerName])</f>
        <v>Jahan</v>
      </c>
      <c r="J894" t="str">
        <f>_xlfn.XLOOKUP(A894,Orders[OrderID],Orders[State])</f>
        <v>Madhya Pradesh</v>
      </c>
      <c r="K894" t="str">
        <f>_xlfn.XLOOKUP(A894,Orders[OrderID],Orders[City])</f>
        <v>Bhopal</v>
      </c>
      <c r="L894" s="3">
        <f>YEAR(Clean_Data[[#This Row],[OrderDate]])</f>
        <v>2018</v>
      </c>
      <c r="M894" s="3">
        <f>MONTH(Clean_Data[[#This Row],[OrderDate]])</f>
        <v>4</v>
      </c>
      <c r="N894" s="8" t="str">
        <f>TEXT(Clean_Data[[#This Row],[OrderDate]],"mmm")</f>
        <v>Apr</v>
      </c>
      <c r="O894" s="8" t="str">
        <f>TEXT(Clean_Data[[#This Row],[OrderDate]], "yyyy-mm")</f>
        <v>2018-04</v>
      </c>
      <c r="P894" s="7">
        <f>Clean_Data[[#This Row],[Profit]]/Clean_Data[[#This Row],[Revenue ]]</f>
        <v>2.7777777777777776E-2</v>
      </c>
      <c r="Q894" t="str">
        <f>"Q"&amp;ROUNDUP(MONTH(Clean_Data[[#This Row],[OrderDate]])/3,0)</f>
        <v>Q2</v>
      </c>
      <c r="R894" t="str">
        <f>TEXT(Clean_Data[[#This Row],[OrderDate]], "dddd")</f>
        <v>Tuesday</v>
      </c>
    </row>
    <row r="895" spans="1:18" x14ac:dyDescent="0.25">
      <c r="A895" t="s">
        <v>411</v>
      </c>
      <c r="B895" s="4">
        <v>60</v>
      </c>
      <c r="C895" s="4">
        <v>-10</v>
      </c>
      <c r="D895" s="3">
        <v>2</v>
      </c>
      <c r="E895" t="s">
        <v>888</v>
      </c>
      <c r="F895" t="s">
        <v>908</v>
      </c>
      <c r="G895" t="s">
        <v>887</v>
      </c>
      <c r="H895" s="6">
        <f>_xlfn.XLOOKUP(A895,Orders[OrderID],Orders[OrderDate])</f>
        <v>43444</v>
      </c>
      <c r="I895" t="str">
        <f>_xlfn.XLOOKUP(A895,Orders[OrderID],Orders[CustomerName])</f>
        <v>Amlan</v>
      </c>
      <c r="J895" t="str">
        <f>_xlfn.XLOOKUP(A895,Orders[OrderID],Orders[State])</f>
        <v>Madhya Pradesh</v>
      </c>
      <c r="K895" t="str">
        <f>_xlfn.XLOOKUP(A895,Orders[OrderID],Orders[City])</f>
        <v>Indore</v>
      </c>
      <c r="L895" s="3">
        <f>YEAR(Clean_Data[[#This Row],[OrderDate]])</f>
        <v>2018</v>
      </c>
      <c r="M895" s="3">
        <f>MONTH(Clean_Data[[#This Row],[OrderDate]])</f>
        <v>12</v>
      </c>
      <c r="N895" s="8" t="str">
        <f>TEXT(Clean_Data[[#This Row],[OrderDate]],"mmm")</f>
        <v>Dec</v>
      </c>
      <c r="O895" s="8" t="str">
        <f>TEXT(Clean_Data[[#This Row],[OrderDate]], "yyyy-mm")</f>
        <v>2018-12</v>
      </c>
      <c r="P895" s="7">
        <f>Clean_Data[[#This Row],[Profit]]/Clean_Data[[#This Row],[Revenue ]]</f>
        <v>-0.16666666666666666</v>
      </c>
      <c r="Q895" t="str">
        <f>"Q"&amp;ROUNDUP(MONTH(Clean_Data[[#This Row],[OrderDate]])/3,0)</f>
        <v>Q4</v>
      </c>
      <c r="R895" t="str">
        <f>TEXT(Clean_Data[[#This Row],[OrderDate]], "dddd")</f>
        <v>Monday</v>
      </c>
    </row>
    <row r="896" spans="1:18" x14ac:dyDescent="0.25">
      <c r="A896" t="s">
        <v>773</v>
      </c>
      <c r="B896" s="4">
        <v>59</v>
      </c>
      <c r="C896" s="4">
        <v>25</v>
      </c>
      <c r="D896" s="3">
        <v>3</v>
      </c>
      <c r="E896" t="s">
        <v>895</v>
      </c>
      <c r="F896" t="s">
        <v>903</v>
      </c>
      <c r="G896" t="s">
        <v>887</v>
      </c>
      <c r="H896" s="6">
        <f>_xlfn.XLOOKUP(A896,Orders[OrderID],Orders[OrderDate])</f>
        <v>43105</v>
      </c>
      <c r="I896" t="str">
        <f>_xlfn.XLOOKUP(A896,Orders[OrderID],Orders[CustomerName])</f>
        <v>Shikhar</v>
      </c>
      <c r="J896" t="str">
        <f>_xlfn.XLOOKUP(A896,Orders[OrderID],Orders[State])</f>
        <v>Himachal Pradesh</v>
      </c>
      <c r="K896" t="str">
        <f>_xlfn.XLOOKUP(A896,Orders[OrderID],Orders[City])</f>
        <v>Simla</v>
      </c>
      <c r="L896" s="3">
        <f>YEAR(Clean_Data[[#This Row],[OrderDate]])</f>
        <v>2018</v>
      </c>
      <c r="M896" s="3">
        <f>MONTH(Clean_Data[[#This Row],[OrderDate]])</f>
        <v>1</v>
      </c>
      <c r="N896" s="8" t="str">
        <f>TEXT(Clean_Data[[#This Row],[OrderDate]],"mmm")</f>
        <v>Jan</v>
      </c>
      <c r="O896" s="8" t="str">
        <f>TEXT(Clean_Data[[#This Row],[OrderDate]], "yyyy-mm")</f>
        <v>2018-01</v>
      </c>
      <c r="P896" s="7">
        <f>Clean_Data[[#This Row],[Profit]]/Clean_Data[[#This Row],[Revenue ]]</f>
        <v>0.42372881355932202</v>
      </c>
      <c r="Q896" t="str">
        <f>"Q"&amp;ROUNDUP(MONTH(Clean_Data[[#This Row],[OrderDate]])/3,0)</f>
        <v>Q1</v>
      </c>
      <c r="R896" t="str">
        <f>TEXT(Clean_Data[[#This Row],[OrderDate]], "dddd")</f>
        <v>Friday</v>
      </c>
    </row>
    <row r="897" spans="1:18" x14ac:dyDescent="0.25">
      <c r="A897" t="s">
        <v>189</v>
      </c>
      <c r="B897" s="4">
        <v>170</v>
      </c>
      <c r="C897" s="4">
        <v>73</v>
      </c>
      <c r="D897" s="3">
        <v>2</v>
      </c>
      <c r="E897" t="s">
        <v>885</v>
      </c>
      <c r="F897" t="s">
        <v>905</v>
      </c>
      <c r="G897" t="s">
        <v>898</v>
      </c>
      <c r="H897" s="6">
        <f>_xlfn.XLOOKUP(A897,Orders[OrderID],Orders[OrderDate])</f>
        <v>43422</v>
      </c>
      <c r="I897" t="str">
        <f>_xlfn.XLOOKUP(A897,Orders[OrderID],Orders[CustomerName])</f>
        <v>Vikash</v>
      </c>
      <c r="J897" t="str">
        <f>_xlfn.XLOOKUP(A897,Orders[OrderID],Orders[State])</f>
        <v>Goa</v>
      </c>
      <c r="K897" t="str">
        <f>_xlfn.XLOOKUP(A897,Orders[OrderID],Orders[City])</f>
        <v>Goa</v>
      </c>
      <c r="L897" s="3">
        <f>YEAR(Clean_Data[[#This Row],[OrderDate]])</f>
        <v>2018</v>
      </c>
      <c r="M897" s="3">
        <f>MONTH(Clean_Data[[#This Row],[OrderDate]])</f>
        <v>11</v>
      </c>
      <c r="N897" s="8" t="str">
        <f>TEXT(Clean_Data[[#This Row],[OrderDate]],"mmm")</f>
        <v>Nov</v>
      </c>
      <c r="O897" s="8" t="str">
        <f>TEXT(Clean_Data[[#This Row],[OrderDate]], "yyyy-mm")</f>
        <v>2018-11</v>
      </c>
      <c r="P897" s="7">
        <f>Clean_Data[[#This Row],[Profit]]/Clean_Data[[#This Row],[Revenue ]]</f>
        <v>0.42941176470588233</v>
      </c>
      <c r="Q897" t="str">
        <f>"Q"&amp;ROUNDUP(MONTH(Clean_Data[[#This Row],[OrderDate]])/3,0)</f>
        <v>Q4</v>
      </c>
      <c r="R897" t="str">
        <f>TEXT(Clean_Data[[#This Row],[OrderDate]], "dddd")</f>
        <v>Sunday</v>
      </c>
    </row>
    <row r="898" spans="1:18" x14ac:dyDescent="0.25">
      <c r="A898" t="s">
        <v>400</v>
      </c>
      <c r="B898" s="4">
        <v>59</v>
      </c>
      <c r="C898" s="4">
        <v>10</v>
      </c>
      <c r="D898" s="3">
        <v>2</v>
      </c>
      <c r="E898" t="s">
        <v>895</v>
      </c>
      <c r="F898" t="s">
        <v>899</v>
      </c>
      <c r="G898" t="s">
        <v>887</v>
      </c>
      <c r="H898" s="6">
        <f>_xlfn.XLOOKUP(A898,Orders[OrderID],Orders[OrderDate])</f>
        <v>43117</v>
      </c>
      <c r="I898" t="str">
        <f>_xlfn.XLOOKUP(A898,Orders[OrderID],Orders[CustomerName])</f>
        <v>Shreya</v>
      </c>
      <c r="J898" t="str">
        <f>_xlfn.XLOOKUP(A898,Orders[OrderID],Orders[State])</f>
        <v>Maharashtra</v>
      </c>
      <c r="K898" t="str">
        <f>_xlfn.XLOOKUP(A898,Orders[OrderID],Orders[City])</f>
        <v>Mumbai</v>
      </c>
      <c r="L898" s="3">
        <f>YEAR(Clean_Data[[#This Row],[OrderDate]])</f>
        <v>2018</v>
      </c>
      <c r="M898" s="3">
        <f>MONTH(Clean_Data[[#This Row],[OrderDate]])</f>
        <v>1</v>
      </c>
      <c r="N898" s="8" t="str">
        <f>TEXT(Clean_Data[[#This Row],[OrderDate]],"mmm")</f>
        <v>Jan</v>
      </c>
      <c r="O898" s="8" t="str">
        <f>TEXT(Clean_Data[[#This Row],[OrderDate]], "yyyy-mm")</f>
        <v>2018-01</v>
      </c>
      <c r="P898" s="7">
        <f>Clean_Data[[#This Row],[Profit]]/Clean_Data[[#This Row],[Revenue ]]</f>
        <v>0.16949152542372881</v>
      </c>
      <c r="Q898" t="str">
        <f>"Q"&amp;ROUNDUP(MONTH(Clean_Data[[#This Row],[OrderDate]])/3,0)</f>
        <v>Q1</v>
      </c>
      <c r="R898" t="str">
        <f>TEXT(Clean_Data[[#This Row],[OrderDate]], "dddd")</f>
        <v>Wednesday</v>
      </c>
    </row>
    <row r="899" spans="1:18" x14ac:dyDescent="0.25">
      <c r="A899" t="s">
        <v>553</v>
      </c>
      <c r="B899" s="4">
        <v>24</v>
      </c>
      <c r="C899" s="4">
        <v>-21</v>
      </c>
      <c r="D899" s="3">
        <v>7</v>
      </c>
      <c r="E899" t="s">
        <v>895</v>
      </c>
      <c r="F899" t="s">
        <v>901</v>
      </c>
      <c r="G899" t="s">
        <v>887</v>
      </c>
      <c r="H899" s="6">
        <f>_xlfn.XLOOKUP(A899,Orders[OrderID],Orders[OrderDate])</f>
        <v>43228</v>
      </c>
      <c r="I899" t="str">
        <f>_xlfn.XLOOKUP(A899,Orders[OrderID],Orders[CustomerName])</f>
        <v>Tushina</v>
      </c>
      <c r="J899" t="str">
        <f>_xlfn.XLOOKUP(A899,Orders[OrderID],Orders[State])</f>
        <v>Goa</v>
      </c>
      <c r="K899" t="str">
        <f>_xlfn.XLOOKUP(A899,Orders[OrderID],Orders[City])</f>
        <v>Goa</v>
      </c>
      <c r="L899" s="3">
        <f>YEAR(Clean_Data[[#This Row],[OrderDate]])</f>
        <v>2018</v>
      </c>
      <c r="M899" s="3">
        <f>MONTH(Clean_Data[[#This Row],[OrderDate]])</f>
        <v>5</v>
      </c>
      <c r="N899" s="8" t="str">
        <f>TEXT(Clean_Data[[#This Row],[OrderDate]],"mmm")</f>
        <v>May</v>
      </c>
      <c r="O899" s="8" t="str">
        <f>TEXT(Clean_Data[[#This Row],[OrderDate]], "yyyy-mm")</f>
        <v>2018-05</v>
      </c>
      <c r="P899" s="7">
        <f>Clean_Data[[#This Row],[Profit]]/Clean_Data[[#This Row],[Revenue ]]</f>
        <v>-0.875</v>
      </c>
      <c r="Q899" t="str">
        <f>"Q"&amp;ROUNDUP(MONTH(Clean_Data[[#This Row],[OrderDate]])/3,0)</f>
        <v>Q2</v>
      </c>
      <c r="R899" t="str">
        <f>TEXT(Clean_Data[[#This Row],[OrderDate]], "dddd")</f>
        <v>Tuesday</v>
      </c>
    </row>
    <row r="900" spans="1:18" x14ac:dyDescent="0.25">
      <c r="A900" t="s">
        <v>633</v>
      </c>
      <c r="B900" s="4">
        <v>105</v>
      </c>
      <c r="C900" s="4">
        <v>-26</v>
      </c>
      <c r="D900" s="3">
        <v>8</v>
      </c>
      <c r="E900" t="s">
        <v>895</v>
      </c>
      <c r="F900" t="s">
        <v>904</v>
      </c>
      <c r="G900" t="s">
        <v>893</v>
      </c>
      <c r="H900" s="6">
        <f>_xlfn.XLOOKUP(A900,Orders[OrderID],Orders[OrderDate])</f>
        <v>43431</v>
      </c>
      <c r="I900" t="str">
        <f>_xlfn.XLOOKUP(A900,Orders[OrderID],Orders[CustomerName])</f>
        <v>Saptadeep</v>
      </c>
      <c r="J900" t="str">
        <f>_xlfn.XLOOKUP(A900,Orders[OrderID],Orders[State])</f>
        <v>Gujarat</v>
      </c>
      <c r="K900" t="str">
        <f>_xlfn.XLOOKUP(A900,Orders[OrderID],Orders[City])</f>
        <v>Surat</v>
      </c>
      <c r="L900" s="3">
        <f>YEAR(Clean_Data[[#This Row],[OrderDate]])</f>
        <v>2018</v>
      </c>
      <c r="M900" s="3">
        <f>MONTH(Clean_Data[[#This Row],[OrderDate]])</f>
        <v>11</v>
      </c>
      <c r="N900" s="8" t="str">
        <f>TEXT(Clean_Data[[#This Row],[OrderDate]],"mmm")</f>
        <v>Nov</v>
      </c>
      <c r="O900" s="8" t="str">
        <f>TEXT(Clean_Data[[#This Row],[OrderDate]], "yyyy-mm")</f>
        <v>2018-11</v>
      </c>
      <c r="P900" s="7">
        <f>Clean_Data[[#This Row],[Profit]]/Clean_Data[[#This Row],[Revenue ]]</f>
        <v>-0.24761904761904763</v>
      </c>
      <c r="Q900" t="str">
        <f>"Q"&amp;ROUNDUP(MONTH(Clean_Data[[#This Row],[OrderDate]])/3,0)</f>
        <v>Q4</v>
      </c>
      <c r="R900" t="str">
        <f>TEXT(Clean_Data[[#This Row],[OrderDate]], "dddd")</f>
        <v>Tuesday</v>
      </c>
    </row>
    <row r="901" spans="1:18" x14ac:dyDescent="0.25">
      <c r="A901" t="s">
        <v>413</v>
      </c>
      <c r="B901" s="4">
        <v>103</v>
      </c>
      <c r="C901" s="4">
        <v>46</v>
      </c>
      <c r="D901" s="3">
        <v>2</v>
      </c>
      <c r="E901" t="s">
        <v>895</v>
      </c>
      <c r="F901" t="s">
        <v>897</v>
      </c>
      <c r="G901" t="s">
        <v>893</v>
      </c>
      <c r="H901" s="6">
        <f>_xlfn.XLOOKUP(A901,Orders[OrderID],Orders[OrderDate])</f>
        <v>43187</v>
      </c>
      <c r="I901" t="str">
        <f>_xlfn.XLOOKUP(A901,Orders[OrderID],Orders[CustomerName])</f>
        <v>Atharv</v>
      </c>
      <c r="J901" t="str">
        <f>_xlfn.XLOOKUP(A901,Orders[OrderID],Orders[State])</f>
        <v>West Bengal</v>
      </c>
      <c r="K901" t="str">
        <f>_xlfn.XLOOKUP(A901,Orders[OrderID],Orders[City])</f>
        <v>Kolkata</v>
      </c>
      <c r="L901" s="3">
        <f>YEAR(Clean_Data[[#This Row],[OrderDate]])</f>
        <v>2018</v>
      </c>
      <c r="M901" s="3">
        <f>MONTH(Clean_Data[[#This Row],[OrderDate]])</f>
        <v>3</v>
      </c>
      <c r="N901" s="8" t="str">
        <f>TEXT(Clean_Data[[#This Row],[OrderDate]],"mmm")</f>
        <v>Mar</v>
      </c>
      <c r="O901" s="8" t="str">
        <f>TEXT(Clean_Data[[#This Row],[OrderDate]], "yyyy-mm")</f>
        <v>2018-03</v>
      </c>
      <c r="P901" s="7">
        <f>Clean_Data[[#This Row],[Profit]]/Clean_Data[[#This Row],[Revenue ]]</f>
        <v>0.44660194174757284</v>
      </c>
      <c r="Q901" t="str">
        <f>"Q"&amp;ROUNDUP(MONTH(Clean_Data[[#This Row],[OrderDate]])/3,0)</f>
        <v>Q1</v>
      </c>
      <c r="R901" t="str">
        <f>TEXT(Clean_Data[[#This Row],[OrderDate]], "dddd")</f>
        <v>Wednesday</v>
      </c>
    </row>
    <row r="902" spans="1:18" x14ac:dyDescent="0.25">
      <c r="A902" t="s">
        <v>36</v>
      </c>
      <c r="B902" s="4">
        <v>171</v>
      </c>
      <c r="C902" s="4">
        <v>17</v>
      </c>
      <c r="D902" s="3">
        <v>6</v>
      </c>
      <c r="E902" t="s">
        <v>895</v>
      </c>
      <c r="F902" t="s">
        <v>906</v>
      </c>
      <c r="G902" t="s">
        <v>898</v>
      </c>
      <c r="H902" s="6">
        <f>_xlfn.XLOOKUP(A902,Orders[OrderID],Orders[OrderDate])</f>
        <v>43121</v>
      </c>
      <c r="I902" t="str">
        <f>_xlfn.XLOOKUP(A902,Orders[OrderID],Orders[CustomerName])</f>
        <v>Shreyshi</v>
      </c>
      <c r="J902" t="str">
        <f>_xlfn.XLOOKUP(A902,Orders[OrderID],Orders[State])</f>
        <v>Gujarat</v>
      </c>
      <c r="K902" t="str">
        <f>_xlfn.XLOOKUP(A902,Orders[OrderID],Orders[City])</f>
        <v>Surat</v>
      </c>
      <c r="L902" s="3">
        <f>YEAR(Clean_Data[[#This Row],[OrderDate]])</f>
        <v>2018</v>
      </c>
      <c r="M902" s="3">
        <f>MONTH(Clean_Data[[#This Row],[OrderDate]])</f>
        <v>1</v>
      </c>
      <c r="N902" s="8" t="str">
        <f>TEXT(Clean_Data[[#This Row],[OrderDate]],"mmm")</f>
        <v>Jan</v>
      </c>
      <c r="O902" s="8" t="str">
        <f>TEXT(Clean_Data[[#This Row],[OrderDate]], "yyyy-mm")</f>
        <v>2018-01</v>
      </c>
      <c r="P902" s="7">
        <f>Clean_Data[[#This Row],[Profit]]/Clean_Data[[#This Row],[Revenue ]]</f>
        <v>9.9415204678362568E-2</v>
      </c>
      <c r="Q902" t="str">
        <f>"Q"&amp;ROUNDUP(MONTH(Clean_Data[[#This Row],[OrderDate]])/3,0)</f>
        <v>Q1</v>
      </c>
      <c r="R902" t="str">
        <f>TEXT(Clean_Data[[#This Row],[OrderDate]], "dddd")</f>
        <v>Sunday</v>
      </c>
    </row>
    <row r="903" spans="1:18" x14ac:dyDescent="0.25">
      <c r="A903" t="s">
        <v>284</v>
      </c>
      <c r="B903" s="4">
        <v>102</v>
      </c>
      <c r="C903" s="4">
        <v>13</v>
      </c>
      <c r="D903" s="3">
        <v>2</v>
      </c>
      <c r="E903" t="s">
        <v>895</v>
      </c>
      <c r="F903" t="s">
        <v>903</v>
      </c>
      <c r="G903" t="s">
        <v>893</v>
      </c>
      <c r="H903" s="6">
        <f>_xlfn.XLOOKUP(A903,Orders[OrderID],Orders[OrderDate])</f>
        <v>43113</v>
      </c>
      <c r="I903" t="str">
        <f>_xlfn.XLOOKUP(A903,Orders[OrderID],Orders[CustomerName])</f>
        <v>Jesal</v>
      </c>
      <c r="J903" t="str">
        <f>_xlfn.XLOOKUP(A903,Orders[OrderID],Orders[State])</f>
        <v>West Bengal</v>
      </c>
      <c r="K903" t="str">
        <f>_xlfn.XLOOKUP(A903,Orders[OrderID],Orders[City])</f>
        <v>Kolkata</v>
      </c>
      <c r="L903" s="3">
        <f>YEAR(Clean_Data[[#This Row],[OrderDate]])</f>
        <v>2018</v>
      </c>
      <c r="M903" s="3">
        <f>MONTH(Clean_Data[[#This Row],[OrderDate]])</f>
        <v>1</v>
      </c>
      <c r="N903" s="8" t="str">
        <f>TEXT(Clean_Data[[#This Row],[OrderDate]],"mmm")</f>
        <v>Jan</v>
      </c>
      <c r="O903" s="8" t="str">
        <f>TEXT(Clean_Data[[#This Row],[OrderDate]], "yyyy-mm")</f>
        <v>2018-01</v>
      </c>
      <c r="P903" s="7">
        <f>Clean_Data[[#This Row],[Profit]]/Clean_Data[[#This Row],[Revenue ]]</f>
        <v>0.12745098039215685</v>
      </c>
      <c r="Q903" t="str">
        <f>"Q"&amp;ROUNDUP(MONTH(Clean_Data[[#This Row],[OrderDate]])/3,0)</f>
        <v>Q1</v>
      </c>
      <c r="R903" t="str">
        <f>TEXT(Clean_Data[[#This Row],[OrderDate]], "dddd")</f>
        <v>Saturday</v>
      </c>
    </row>
    <row r="904" spans="1:18" x14ac:dyDescent="0.25">
      <c r="A904" t="s">
        <v>142</v>
      </c>
      <c r="B904" s="4">
        <v>98</v>
      </c>
      <c r="C904" s="4">
        <v>12</v>
      </c>
      <c r="D904" s="3">
        <v>2</v>
      </c>
      <c r="E904" t="s">
        <v>895</v>
      </c>
      <c r="F904" t="s">
        <v>899</v>
      </c>
      <c r="G904" t="s">
        <v>893</v>
      </c>
      <c r="H904" s="6">
        <f>_xlfn.XLOOKUP(A904,Orders[OrderID],Orders[OrderDate])</f>
        <v>43412</v>
      </c>
      <c r="I904" t="str">
        <f>_xlfn.XLOOKUP(A904,Orders[OrderID],Orders[CustomerName])</f>
        <v>Abhijeet</v>
      </c>
      <c r="J904" t="str">
        <f>_xlfn.XLOOKUP(A904,Orders[OrderID],Orders[State])</f>
        <v>Madhya Pradesh</v>
      </c>
      <c r="K904" t="str">
        <f>_xlfn.XLOOKUP(A904,Orders[OrderID],Orders[City])</f>
        <v>Bhopal</v>
      </c>
      <c r="L904" s="3">
        <f>YEAR(Clean_Data[[#This Row],[OrderDate]])</f>
        <v>2018</v>
      </c>
      <c r="M904" s="3">
        <f>MONTH(Clean_Data[[#This Row],[OrderDate]])</f>
        <v>11</v>
      </c>
      <c r="N904" s="8" t="str">
        <f>TEXT(Clean_Data[[#This Row],[OrderDate]],"mmm")</f>
        <v>Nov</v>
      </c>
      <c r="O904" s="8" t="str">
        <f>TEXT(Clean_Data[[#This Row],[OrderDate]], "yyyy-mm")</f>
        <v>2018-11</v>
      </c>
      <c r="P904" s="7">
        <f>Clean_Data[[#This Row],[Profit]]/Clean_Data[[#This Row],[Revenue ]]</f>
        <v>0.12244897959183673</v>
      </c>
      <c r="Q904" t="str">
        <f>"Q"&amp;ROUNDUP(MONTH(Clean_Data[[#This Row],[OrderDate]])/3,0)</f>
        <v>Q4</v>
      </c>
      <c r="R904" t="str">
        <f>TEXT(Clean_Data[[#This Row],[OrderDate]], "dddd")</f>
        <v>Thursday</v>
      </c>
    </row>
    <row r="905" spans="1:18" x14ac:dyDescent="0.25">
      <c r="A905" t="s">
        <v>609</v>
      </c>
      <c r="B905" s="4">
        <v>59</v>
      </c>
      <c r="C905" s="4">
        <v>10</v>
      </c>
      <c r="D905" s="3">
        <v>4</v>
      </c>
      <c r="E905" t="s">
        <v>895</v>
      </c>
      <c r="F905" t="s">
        <v>904</v>
      </c>
      <c r="G905" t="s">
        <v>887</v>
      </c>
      <c r="H905" s="6">
        <f>_xlfn.XLOOKUP(A905,Orders[OrderID],Orders[OrderDate])</f>
        <v>43186</v>
      </c>
      <c r="I905" t="str">
        <f>_xlfn.XLOOKUP(A905,Orders[OrderID],Orders[CustomerName])</f>
        <v>Manju</v>
      </c>
      <c r="J905" t="str">
        <f>_xlfn.XLOOKUP(A905,Orders[OrderID],Orders[State])</f>
        <v>Andhra Pradesh</v>
      </c>
      <c r="K905" t="str">
        <f>_xlfn.XLOOKUP(A905,Orders[OrderID],Orders[City])</f>
        <v>Hyderabad</v>
      </c>
      <c r="L905" s="3">
        <f>YEAR(Clean_Data[[#This Row],[OrderDate]])</f>
        <v>2018</v>
      </c>
      <c r="M905" s="3">
        <f>MONTH(Clean_Data[[#This Row],[OrderDate]])</f>
        <v>3</v>
      </c>
      <c r="N905" s="8" t="str">
        <f>TEXT(Clean_Data[[#This Row],[OrderDate]],"mmm")</f>
        <v>Mar</v>
      </c>
      <c r="O905" s="8" t="str">
        <f>TEXT(Clean_Data[[#This Row],[OrderDate]], "yyyy-mm")</f>
        <v>2018-03</v>
      </c>
      <c r="P905" s="7">
        <f>Clean_Data[[#This Row],[Profit]]/Clean_Data[[#This Row],[Revenue ]]</f>
        <v>0.16949152542372881</v>
      </c>
      <c r="Q905" t="str">
        <f>"Q"&amp;ROUNDUP(MONTH(Clean_Data[[#This Row],[OrderDate]])/3,0)</f>
        <v>Q1</v>
      </c>
      <c r="R905" t="str">
        <f>TEXT(Clean_Data[[#This Row],[OrderDate]], "dddd")</f>
        <v>Tuesday</v>
      </c>
    </row>
    <row r="906" spans="1:18" x14ac:dyDescent="0.25">
      <c r="A906" t="s">
        <v>235</v>
      </c>
      <c r="B906" s="4">
        <v>189</v>
      </c>
      <c r="C906" s="4">
        <v>60</v>
      </c>
      <c r="D906" s="3">
        <v>4</v>
      </c>
      <c r="E906" t="s">
        <v>888</v>
      </c>
      <c r="F906" t="s">
        <v>908</v>
      </c>
      <c r="G906" t="s">
        <v>907</v>
      </c>
      <c r="H906" s="6">
        <f>_xlfn.XLOOKUP(A906,Orders[OrderID],Orders[OrderDate])</f>
        <v>43114</v>
      </c>
      <c r="I906" t="str">
        <f>_xlfn.XLOOKUP(A906,Orders[OrderID],Orders[CustomerName])</f>
        <v>Trupti</v>
      </c>
      <c r="J906" t="str">
        <f>_xlfn.XLOOKUP(A906,Orders[OrderID],Orders[State])</f>
        <v>Gujarat</v>
      </c>
      <c r="K906" t="str">
        <f>_xlfn.XLOOKUP(A906,Orders[OrderID],Orders[City])</f>
        <v>Ahmedabad</v>
      </c>
      <c r="L906" s="3">
        <f>YEAR(Clean_Data[[#This Row],[OrderDate]])</f>
        <v>2018</v>
      </c>
      <c r="M906" s="3">
        <f>MONTH(Clean_Data[[#This Row],[OrderDate]])</f>
        <v>1</v>
      </c>
      <c r="N906" s="8" t="str">
        <f>TEXT(Clean_Data[[#This Row],[OrderDate]],"mmm")</f>
        <v>Jan</v>
      </c>
      <c r="O906" s="8" t="str">
        <f>TEXT(Clean_Data[[#This Row],[OrderDate]], "yyyy-mm")</f>
        <v>2018-01</v>
      </c>
      <c r="P906" s="7">
        <f>Clean_Data[[#This Row],[Profit]]/Clean_Data[[#This Row],[Revenue ]]</f>
        <v>0.31746031746031744</v>
      </c>
      <c r="Q906" t="str">
        <f>"Q"&amp;ROUNDUP(MONTH(Clean_Data[[#This Row],[OrderDate]])/3,0)</f>
        <v>Q1</v>
      </c>
      <c r="R906" t="str">
        <f>TEXT(Clean_Data[[#This Row],[OrderDate]], "dddd")</f>
        <v>Sunday</v>
      </c>
    </row>
    <row r="907" spans="1:18" x14ac:dyDescent="0.25">
      <c r="A907" t="s">
        <v>777</v>
      </c>
      <c r="B907" s="4">
        <v>58</v>
      </c>
      <c r="C907" s="4">
        <v>-52</v>
      </c>
      <c r="D907" s="3">
        <v>3</v>
      </c>
      <c r="E907" t="s">
        <v>888</v>
      </c>
      <c r="F907" t="s">
        <v>889</v>
      </c>
      <c r="G907" t="s">
        <v>887</v>
      </c>
      <c r="H907" s="6">
        <f>_xlfn.XLOOKUP(A907,Orders[OrderID],Orders[OrderDate])</f>
        <v>43339</v>
      </c>
      <c r="I907" t="str">
        <f>_xlfn.XLOOKUP(A907,Orders[OrderID],Orders[CustomerName])</f>
        <v>Noshiba</v>
      </c>
      <c r="J907" t="str">
        <f>_xlfn.XLOOKUP(A907,Orders[OrderID],Orders[State])</f>
        <v>Gujarat</v>
      </c>
      <c r="K907" t="str">
        <f>_xlfn.XLOOKUP(A907,Orders[OrderID],Orders[City])</f>
        <v>Ahmedabad</v>
      </c>
      <c r="L907" s="3">
        <f>YEAR(Clean_Data[[#This Row],[OrderDate]])</f>
        <v>2018</v>
      </c>
      <c r="M907" s="3">
        <f>MONTH(Clean_Data[[#This Row],[OrderDate]])</f>
        <v>8</v>
      </c>
      <c r="N907" s="8" t="str">
        <f>TEXT(Clean_Data[[#This Row],[OrderDate]],"mmm")</f>
        <v>Aug</v>
      </c>
      <c r="O907" s="8" t="str">
        <f>TEXT(Clean_Data[[#This Row],[OrderDate]], "yyyy-mm")</f>
        <v>2018-08</v>
      </c>
      <c r="P907" s="7">
        <f>Clean_Data[[#This Row],[Profit]]/Clean_Data[[#This Row],[Revenue ]]</f>
        <v>-0.89655172413793105</v>
      </c>
      <c r="Q907" t="str">
        <f>"Q"&amp;ROUNDUP(MONTH(Clean_Data[[#This Row],[OrderDate]])/3,0)</f>
        <v>Q3</v>
      </c>
      <c r="R907" t="str">
        <f>TEXT(Clean_Data[[#This Row],[OrderDate]], "dddd")</f>
        <v>Monday</v>
      </c>
    </row>
    <row r="908" spans="1:18" x14ac:dyDescent="0.25">
      <c r="A908" t="s">
        <v>277</v>
      </c>
      <c r="B908" s="4">
        <v>60</v>
      </c>
      <c r="C908" s="4">
        <v>3</v>
      </c>
      <c r="D908" s="3">
        <v>3</v>
      </c>
      <c r="E908" t="s">
        <v>895</v>
      </c>
      <c r="F908" t="s">
        <v>897</v>
      </c>
      <c r="G908" t="s">
        <v>898</v>
      </c>
      <c r="H908" s="6">
        <f>_xlfn.XLOOKUP(A908,Orders[OrderID],Orders[OrderDate])</f>
        <v>43111</v>
      </c>
      <c r="I908" t="str">
        <f>_xlfn.XLOOKUP(A908,Orders[OrderID],Orders[CustomerName])</f>
        <v>Mhatre</v>
      </c>
      <c r="J908" t="str">
        <f>_xlfn.XLOOKUP(A908,Orders[OrderID],Orders[State])</f>
        <v>Madhya Pradesh</v>
      </c>
      <c r="K908" t="str">
        <f>_xlfn.XLOOKUP(A908,Orders[OrderID],Orders[City])</f>
        <v>Indore</v>
      </c>
      <c r="L908" s="3">
        <f>YEAR(Clean_Data[[#This Row],[OrderDate]])</f>
        <v>2018</v>
      </c>
      <c r="M908" s="3">
        <f>MONTH(Clean_Data[[#This Row],[OrderDate]])</f>
        <v>1</v>
      </c>
      <c r="N908" s="8" t="str">
        <f>TEXT(Clean_Data[[#This Row],[OrderDate]],"mmm")</f>
        <v>Jan</v>
      </c>
      <c r="O908" s="8" t="str">
        <f>TEXT(Clean_Data[[#This Row],[OrderDate]], "yyyy-mm")</f>
        <v>2018-01</v>
      </c>
      <c r="P908" s="7">
        <f>Clean_Data[[#This Row],[Profit]]/Clean_Data[[#This Row],[Revenue ]]</f>
        <v>0.05</v>
      </c>
      <c r="Q908" t="str">
        <f>"Q"&amp;ROUNDUP(MONTH(Clean_Data[[#This Row],[OrderDate]])/3,0)</f>
        <v>Q1</v>
      </c>
      <c r="R908" t="str">
        <f>TEXT(Clean_Data[[#This Row],[OrderDate]], "dddd")</f>
        <v>Thursday</v>
      </c>
    </row>
    <row r="909" spans="1:18" x14ac:dyDescent="0.25">
      <c r="A909" t="s">
        <v>775</v>
      </c>
      <c r="B909" s="4">
        <v>58</v>
      </c>
      <c r="C909" s="4">
        <v>-8</v>
      </c>
      <c r="D909" s="3">
        <v>2</v>
      </c>
      <c r="E909" t="s">
        <v>895</v>
      </c>
      <c r="F909" t="s">
        <v>897</v>
      </c>
      <c r="G909" t="s">
        <v>887</v>
      </c>
      <c r="H909" s="6">
        <f>_xlfn.XLOOKUP(A909,Orders[OrderID],Orders[OrderDate])</f>
        <v>43315</v>
      </c>
      <c r="I909" t="str">
        <f>_xlfn.XLOOKUP(A909,Orders[OrderID],Orders[CustomerName])</f>
        <v>Rane</v>
      </c>
      <c r="J909" t="str">
        <f>_xlfn.XLOOKUP(A909,Orders[OrderID],Orders[State])</f>
        <v>Maharashtra</v>
      </c>
      <c r="K909" t="str">
        <f>_xlfn.XLOOKUP(A909,Orders[OrderID],Orders[City])</f>
        <v>Mumbai</v>
      </c>
      <c r="L909" s="3">
        <f>YEAR(Clean_Data[[#This Row],[OrderDate]])</f>
        <v>2018</v>
      </c>
      <c r="M909" s="3">
        <f>MONTH(Clean_Data[[#This Row],[OrderDate]])</f>
        <v>8</v>
      </c>
      <c r="N909" s="8" t="str">
        <f>TEXT(Clean_Data[[#This Row],[OrderDate]],"mmm")</f>
        <v>Aug</v>
      </c>
      <c r="O909" s="8" t="str">
        <f>TEXT(Clean_Data[[#This Row],[OrderDate]], "yyyy-mm")</f>
        <v>2018-08</v>
      </c>
      <c r="P909" s="7">
        <f>Clean_Data[[#This Row],[Profit]]/Clean_Data[[#This Row],[Revenue ]]</f>
        <v>-0.13793103448275862</v>
      </c>
      <c r="Q909" t="str">
        <f>"Q"&amp;ROUNDUP(MONTH(Clean_Data[[#This Row],[OrderDate]])/3,0)</f>
        <v>Q3</v>
      </c>
      <c r="R909" t="str">
        <f>TEXT(Clean_Data[[#This Row],[OrderDate]], "dddd")</f>
        <v>Friday</v>
      </c>
    </row>
    <row r="910" spans="1:18" x14ac:dyDescent="0.25">
      <c r="A910" t="s">
        <v>724</v>
      </c>
      <c r="B910" s="4">
        <v>94</v>
      </c>
      <c r="C910" s="4">
        <v>20</v>
      </c>
      <c r="D910" s="3">
        <v>2</v>
      </c>
      <c r="E910" t="s">
        <v>888</v>
      </c>
      <c r="F910" t="s">
        <v>908</v>
      </c>
      <c r="G910" t="s">
        <v>898</v>
      </c>
      <c r="H910" s="6">
        <f>_xlfn.XLOOKUP(A910,Orders[OrderID],Orders[OrderDate])</f>
        <v>43387</v>
      </c>
      <c r="I910" t="str">
        <f>_xlfn.XLOOKUP(A910,Orders[OrderID],Orders[CustomerName])</f>
        <v>Sandeep</v>
      </c>
      <c r="J910" t="str">
        <f>_xlfn.XLOOKUP(A910,Orders[OrderID],Orders[State])</f>
        <v>Madhya Pradesh</v>
      </c>
      <c r="K910" t="str">
        <f>_xlfn.XLOOKUP(A910,Orders[OrderID],Orders[City])</f>
        <v>Indore</v>
      </c>
      <c r="L910" s="3">
        <f>YEAR(Clean_Data[[#This Row],[OrderDate]])</f>
        <v>2018</v>
      </c>
      <c r="M910" s="3">
        <f>MONTH(Clean_Data[[#This Row],[OrderDate]])</f>
        <v>10</v>
      </c>
      <c r="N910" s="8" t="str">
        <f>TEXT(Clean_Data[[#This Row],[OrderDate]],"mmm")</f>
        <v>Oct</v>
      </c>
      <c r="O910" s="8" t="str">
        <f>TEXT(Clean_Data[[#This Row],[OrderDate]], "yyyy-mm")</f>
        <v>2018-10</v>
      </c>
      <c r="P910" s="7">
        <f>Clean_Data[[#This Row],[Profit]]/Clean_Data[[#This Row],[Revenue ]]</f>
        <v>0.21276595744680851</v>
      </c>
      <c r="Q910" t="str">
        <f>"Q"&amp;ROUNDUP(MONTH(Clean_Data[[#This Row],[OrderDate]])/3,0)</f>
        <v>Q4</v>
      </c>
      <c r="R910" t="str">
        <f>TEXT(Clean_Data[[#This Row],[OrderDate]], "dddd")</f>
        <v>Sunday</v>
      </c>
    </row>
    <row r="911" spans="1:18" x14ac:dyDescent="0.25">
      <c r="A911" t="s">
        <v>134</v>
      </c>
      <c r="B911" s="4">
        <v>193</v>
      </c>
      <c r="C911" s="4">
        <v>-166</v>
      </c>
      <c r="D911" s="3">
        <v>3</v>
      </c>
      <c r="E911" t="s">
        <v>895</v>
      </c>
      <c r="F911" t="s">
        <v>897</v>
      </c>
      <c r="G911" t="s">
        <v>890</v>
      </c>
      <c r="H911" s="6">
        <f>_xlfn.XLOOKUP(A911,Orders[OrderID],Orders[OrderDate])</f>
        <v>43193</v>
      </c>
      <c r="I911" t="str">
        <f>_xlfn.XLOOKUP(A911,Orders[OrderID],Orders[CustomerName])</f>
        <v>Jahan</v>
      </c>
      <c r="J911" t="str">
        <f>_xlfn.XLOOKUP(A911,Orders[OrderID],Orders[State])</f>
        <v>Madhya Pradesh</v>
      </c>
      <c r="K911" t="str">
        <f>_xlfn.XLOOKUP(A911,Orders[OrderID],Orders[City])</f>
        <v>Bhopal</v>
      </c>
      <c r="L911" s="3">
        <f>YEAR(Clean_Data[[#This Row],[OrderDate]])</f>
        <v>2018</v>
      </c>
      <c r="M911" s="3">
        <f>MONTH(Clean_Data[[#This Row],[OrderDate]])</f>
        <v>4</v>
      </c>
      <c r="N911" s="8" t="str">
        <f>TEXT(Clean_Data[[#This Row],[OrderDate]],"mmm")</f>
        <v>Apr</v>
      </c>
      <c r="O911" s="8" t="str">
        <f>TEXT(Clean_Data[[#This Row],[OrderDate]], "yyyy-mm")</f>
        <v>2018-04</v>
      </c>
      <c r="P911" s="7">
        <f>Clean_Data[[#This Row],[Profit]]/Clean_Data[[#This Row],[Revenue ]]</f>
        <v>-0.86010362694300513</v>
      </c>
      <c r="Q911" t="str">
        <f>"Q"&amp;ROUNDUP(MONTH(Clean_Data[[#This Row],[OrderDate]])/3,0)</f>
        <v>Q2</v>
      </c>
      <c r="R911" t="str">
        <f>TEXT(Clean_Data[[#This Row],[OrderDate]], "dddd")</f>
        <v>Tuesday</v>
      </c>
    </row>
    <row r="912" spans="1:18" x14ac:dyDescent="0.25">
      <c r="A912" t="s">
        <v>164</v>
      </c>
      <c r="B912" s="4">
        <v>199</v>
      </c>
      <c r="C912" s="4">
        <v>0</v>
      </c>
      <c r="D912" s="3">
        <v>4</v>
      </c>
      <c r="E912" t="s">
        <v>895</v>
      </c>
      <c r="F912" t="s">
        <v>903</v>
      </c>
      <c r="G912" t="s">
        <v>890</v>
      </c>
      <c r="H912" s="6">
        <f>_xlfn.XLOOKUP(A912,Orders[OrderID],Orders[OrderDate])</f>
        <v>43120</v>
      </c>
      <c r="I912" t="str">
        <f>_xlfn.XLOOKUP(A912,Orders[OrderID],Orders[CustomerName])</f>
        <v>Oshin</v>
      </c>
      <c r="J912" t="str">
        <f>_xlfn.XLOOKUP(A912,Orders[OrderID],Orders[State])</f>
        <v>Maharashtra</v>
      </c>
      <c r="K912" t="str">
        <f>_xlfn.XLOOKUP(A912,Orders[OrderID],Orders[City])</f>
        <v>Pune</v>
      </c>
      <c r="L912" s="3">
        <f>YEAR(Clean_Data[[#This Row],[OrderDate]])</f>
        <v>2018</v>
      </c>
      <c r="M912" s="3">
        <f>MONTH(Clean_Data[[#This Row],[OrderDate]])</f>
        <v>1</v>
      </c>
      <c r="N912" s="8" t="str">
        <f>TEXT(Clean_Data[[#This Row],[OrderDate]],"mmm")</f>
        <v>Jan</v>
      </c>
      <c r="O912" s="8" t="str">
        <f>TEXT(Clean_Data[[#This Row],[OrderDate]], "yyyy-mm")</f>
        <v>2018-01</v>
      </c>
      <c r="P912" s="7">
        <f>Clean_Data[[#This Row],[Profit]]/Clean_Data[[#This Row],[Revenue ]]</f>
        <v>0</v>
      </c>
      <c r="Q912" t="str">
        <f>"Q"&amp;ROUNDUP(MONTH(Clean_Data[[#This Row],[OrderDate]])/3,0)</f>
        <v>Q1</v>
      </c>
      <c r="R912" t="str">
        <f>TEXT(Clean_Data[[#This Row],[OrderDate]], "dddd")</f>
        <v>Saturday</v>
      </c>
    </row>
    <row r="913" spans="1:18" x14ac:dyDescent="0.25">
      <c r="A913" t="s">
        <v>348</v>
      </c>
      <c r="B913" s="4">
        <v>202</v>
      </c>
      <c r="C913" s="4">
        <v>89</v>
      </c>
      <c r="D913" s="3">
        <v>9</v>
      </c>
      <c r="E913" t="s">
        <v>895</v>
      </c>
      <c r="F913" t="s">
        <v>906</v>
      </c>
      <c r="G913" t="s">
        <v>890</v>
      </c>
      <c r="H913" s="6">
        <f>_xlfn.XLOOKUP(A913,Orders[OrderID],Orders[OrderDate])</f>
        <v>43103</v>
      </c>
      <c r="I913" t="str">
        <f>_xlfn.XLOOKUP(A913,Orders[OrderID],Orders[CustomerName])</f>
        <v>Monica</v>
      </c>
      <c r="J913" t="str">
        <f>_xlfn.XLOOKUP(A913,Orders[OrderID],Orders[State])</f>
        <v>Punjab</v>
      </c>
      <c r="K913" t="str">
        <f>_xlfn.XLOOKUP(A913,Orders[OrderID],Orders[City])</f>
        <v>Chandigarh</v>
      </c>
      <c r="L913" s="3">
        <f>YEAR(Clean_Data[[#This Row],[OrderDate]])</f>
        <v>2018</v>
      </c>
      <c r="M913" s="3">
        <f>MONTH(Clean_Data[[#This Row],[OrderDate]])</f>
        <v>1</v>
      </c>
      <c r="N913" s="8" t="str">
        <f>TEXT(Clean_Data[[#This Row],[OrderDate]],"mmm")</f>
        <v>Jan</v>
      </c>
      <c r="O913" s="8" t="str">
        <f>TEXT(Clean_Data[[#This Row],[OrderDate]], "yyyy-mm")</f>
        <v>2018-01</v>
      </c>
      <c r="P913" s="7">
        <f>Clean_Data[[#This Row],[Profit]]/Clean_Data[[#This Row],[Revenue ]]</f>
        <v>0.4405940594059406</v>
      </c>
      <c r="Q913" t="str">
        <f>"Q"&amp;ROUNDUP(MONTH(Clean_Data[[#This Row],[OrderDate]])/3,0)</f>
        <v>Q1</v>
      </c>
      <c r="R913" t="str">
        <f>TEXT(Clean_Data[[#This Row],[OrderDate]], "dddd")</f>
        <v>Wednesday</v>
      </c>
    </row>
    <row r="914" spans="1:18" x14ac:dyDescent="0.25">
      <c r="A914" t="s">
        <v>348</v>
      </c>
      <c r="B914" s="4">
        <v>58</v>
      </c>
      <c r="C914" s="4">
        <v>17</v>
      </c>
      <c r="D914" s="3">
        <v>2</v>
      </c>
      <c r="E914" t="s">
        <v>895</v>
      </c>
      <c r="F914" t="s">
        <v>899</v>
      </c>
      <c r="G914" t="s">
        <v>887</v>
      </c>
      <c r="H914" s="6">
        <f>_xlfn.XLOOKUP(A914,Orders[OrderID],Orders[OrderDate])</f>
        <v>43103</v>
      </c>
      <c r="I914" t="str">
        <f>_xlfn.XLOOKUP(A914,Orders[OrderID],Orders[CustomerName])</f>
        <v>Monica</v>
      </c>
      <c r="J914" t="str">
        <f>_xlfn.XLOOKUP(A914,Orders[OrderID],Orders[State])</f>
        <v>Punjab</v>
      </c>
      <c r="K914" t="str">
        <f>_xlfn.XLOOKUP(A914,Orders[OrderID],Orders[City])</f>
        <v>Chandigarh</v>
      </c>
      <c r="L914" s="3">
        <f>YEAR(Clean_Data[[#This Row],[OrderDate]])</f>
        <v>2018</v>
      </c>
      <c r="M914" s="3">
        <f>MONTH(Clean_Data[[#This Row],[OrderDate]])</f>
        <v>1</v>
      </c>
      <c r="N914" s="8" t="str">
        <f>TEXT(Clean_Data[[#This Row],[OrderDate]],"mmm")</f>
        <v>Jan</v>
      </c>
      <c r="O914" s="8" t="str">
        <f>TEXT(Clean_Data[[#This Row],[OrderDate]], "yyyy-mm")</f>
        <v>2018-01</v>
      </c>
      <c r="P914" s="7">
        <f>Clean_Data[[#This Row],[Profit]]/Clean_Data[[#This Row],[Revenue ]]</f>
        <v>0.29310344827586204</v>
      </c>
      <c r="Q914" t="str">
        <f>"Q"&amp;ROUNDUP(MONTH(Clean_Data[[#This Row],[OrderDate]])/3,0)</f>
        <v>Q1</v>
      </c>
      <c r="R914" t="str">
        <f>TEXT(Clean_Data[[#This Row],[OrderDate]], "dddd")</f>
        <v>Wednesday</v>
      </c>
    </row>
    <row r="915" spans="1:18" x14ac:dyDescent="0.25">
      <c r="A915" t="s">
        <v>780</v>
      </c>
      <c r="B915" s="4">
        <v>57</v>
      </c>
      <c r="C915" s="4">
        <v>-28</v>
      </c>
      <c r="D915" s="3">
        <v>2</v>
      </c>
      <c r="E915" t="s">
        <v>895</v>
      </c>
      <c r="F915" t="s">
        <v>900</v>
      </c>
      <c r="G915" t="s">
        <v>887</v>
      </c>
      <c r="H915" s="6">
        <f>_xlfn.XLOOKUP(A915,Orders[OrderID],Orders[OrderDate])</f>
        <v>43428</v>
      </c>
      <c r="I915" t="str">
        <f>_xlfn.XLOOKUP(A915,Orders[OrderID],Orders[CustomerName])</f>
        <v>Siddharth</v>
      </c>
      <c r="J915" t="str">
        <f>_xlfn.XLOOKUP(A915,Orders[OrderID],Orders[State])</f>
        <v>Madhya Pradesh</v>
      </c>
      <c r="K915" t="str">
        <f>_xlfn.XLOOKUP(A915,Orders[OrderID],Orders[City])</f>
        <v>Indore</v>
      </c>
      <c r="L915" s="3">
        <f>YEAR(Clean_Data[[#This Row],[OrderDate]])</f>
        <v>2018</v>
      </c>
      <c r="M915" s="3">
        <f>MONTH(Clean_Data[[#This Row],[OrderDate]])</f>
        <v>11</v>
      </c>
      <c r="N915" s="8" t="str">
        <f>TEXT(Clean_Data[[#This Row],[OrderDate]],"mmm")</f>
        <v>Nov</v>
      </c>
      <c r="O915" s="8" t="str">
        <f>TEXT(Clean_Data[[#This Row],[OrderDate]], "yyyy-mm")</f>
        <v>2018-11</v>
      </c>
      <c r="P915" s="7">
        <f>Clean_Data[[#This Row],[Profit]]/Clean_Data[[#This Row],[Revenue ]]</f>
        <v>-0.49122807017543857</v>
      </c>
      <c r="Q915" t="str">
        <f>"Q"&amp;ROUNDUP(MONTH(Clean_Data[[#This Row],[OrderDate]])/3,0)</f>
        <v>Q4</v>
      </c>
      <c r="R915" t="str">
        <f>TEXT(Clean_Data[[#This Row],[OrderDate]], "dddd")</f>
        <v>Saturday</v>
      </c>
    </row>
    <row r="916" spans="1:18" x14ac:dyDescent="0.25">
      <c r="A916" t="s">
        <v>411</v>
      </c>
      <c r="B916" s="4">
        <v>204</v>
      </c>
      <c r="C916" s="4">
        <v>-94</v>
      </c>
      <c r="D916" s="3">
        <v>4</v>
      </c>
      <c r="E916" t="s">
        <v>895</v>
      </c>
      <c r="F916" t="s">
        <v>899</v>
      </c>
      <c r="G916" t="s">
        <v>890</v>
      </c>
      <c r="H916" s="6">
        <f>_xlfn.XLOOKUP(A916,Orders[OrderID],Orders[OrderDate])</f>
        <v>43444</v>
      </c>
      <c r="I916" t="str">
        <f>_xlfn.XLOOKUP(A916,Orders[OrderID],Orders[CustomerName])</f>
        <v>Amlan</v>
      </c>
      <c r="J916" t="str">
        <f>_xlfn.XLOOKUP(A916,Orders[OrderID],Orders[State])</f>
        <v>Madhya Pradesh</v>
      </c>
      <c r="K916" t="str">
        <f>_xlfn.XLOOKUP(A916,Orders[OrderID],Orders[City])</f>
        <v>Indore</v>
      </c>
      <c r="L916" s="3">
        <f>YEAR(Clean_Data[[#This Row],[OrderDate]])</f>
        <v>2018</v>
      </c>
      <c r="M916" s="3">
        <f>MONTH(Clean_Data[[#This Row],[OrderDate]])</f>
        <v>12</v>
      </c>
      <c r="N916" s="8" t="str">
        <f>TEXT(Clean_Data[[#This Row],[OrderDate]],"mmm")</f>
        <v>Dec</v>
      </c>
      <c r="O916" s="8" t="str">
        <f>TEXT(Clean_Data[[#This Row],[OrderDate]], "yyyy-mm")</f>
        <v>2018-12</v>
      </c>
      <c r="P916" s="7">
        <f>Clean_Data[[#This Row],[Profit]]/Clean_Data[[#This Row],[Revenue ]]</f>
        <v>-0.46078431372549017</v>
      </c>
      <c r="Q916" t="str">
        <f>"Q"&amp;ROUNDUP(MONTH(Clean_Data[[#This Row],[OrderDate]])/3,0)</f>
        <v>Q4</v>
      </c>
      <c r="R916" t="str">
        <f>TEXT(Clean_Data[[#This Row],[OrderDate]], "dddd")</f>
        <v>Monday</v>
      </c>
    </row>
    <row r="917" spans="1:18" x14ac:dyDescent="0.25">
      <c r="A917" t="s">
        <v>391</v>
      </c>
      <c r="B917" s="4">
        <v>98</v>
      </c>
      <c r="C917" s="4">
        <v>-12</v>
      </c>
      <c r="D917" s="3">
        <v>2</v>
      </c>
      <c r="E917" t="s">
        <v>885</v>
      </c>
      <c r="F917" t="s">
        <v>886</v>
      </c>
      <c r="G917" t="s">
        <v>893</v>
      </c>
      <c r="H917" s="6">
        <f>_xlfn.XLOOKUP(A917,Orders[OrderID],Orders[OrderDate])</f>
        <v>43203</v>
      </c>
      <c r="I917" t="str">
        <f>_xlfn.XLOOKUP(A917,Orders[OrderID],Orders[CustomerName])</f>
        <v>Vandana</v>
      </c>
      <c r="J917" t="str">
        <f>_xlfn.XLOOKUP(A917,Orders[OrderID],Orders[State])</f>
        <v>Himachal Pradesh</v>
      </c>
      <c r="K917" t="str">
        <f>_xlfn.XLOOKUP(A917,Orders[OrderID],Orders[City])</f>
        <v>Simla</v>
      </c>
      <c r="L917" s="3">
        <f>YEAR(Clean_Data[[#This Row],[OrderDate]])</f>
        <v>2018</v>
      </c>
      <c r="M917" s="3">
        <f>MONTH(Clean_Data[[#This Row],[OrderDate]])</f>
        <v>4</v>
      </c>
      <c r="N917" s="8" t="str">
        <f>TEXT(Clean_Data[[#This Row],[OrderDate]],"mmm")</f>
        <v>Apr</v>
      </c>
      <c r="O917" s="8" t="str">
        <f>TEXT(Clean_Data[[#This Row],[OrderDate]], "yyyy-mm")</f>
        <v>2018-04</v>
      </c>
      <c r="P917" s="7">
        <f>Clean_Data[[#This Row],[Profit]]/Clean_Data[[#This Row],[Revenue ]]</f>
        <v>-0.12244897959183673</v>
      </c>
      <c r="Q917" t="str">
        <f>"Q"&amp;ROUNDUP(MONTH(Clean_Data[[#This Row],[OrderDate]])/3,0)</f>
        <v>Q2</v>
      </c>
      <c r="R917" t="str">
        <f>TEXT(Clean_Data[[#This Row],[OrderDate]], "dddd")</f>
        <v>Friday</v>
      </c>
    </row>
    <row r="918" spans="1:18" x14ac:dyDescent="0.25">
      <c r="A918" t="s">
        <v>367</v>
      </c>
      <c r="B918" s="4">
        <v>22</v>
      </c>
      <c r="C918" s="4">
        <v>-12</v>
      </c>
      <c r="D918" s="3">
        <v>3</v>
      </c>
      <c r="E918" t="s">
        <v>895</v>
      </c>
      <c r="F918" t="s">
        <v>903</v>
      </c>
      <c r="G918" t="s">
        <v>887</v>
      </c>
      <c r="H918" s="6">
        <f>_xlfn.XLOOKUP(A918,Orders[OrderID],Orders[OrderDate])</f>
        <v>43326</v>
      </c>
      <c r="I918" t="str">
        <f>_xlfn.XLOOKUP(A918,Orders[OrderID],Orders[CustomerName])</f>
        <v>Priyanshu</v>
      </c>
      <c r="J918" t="str">
        <f>_xlfn.XLOOKUP(A918,Orders[OrderID],Orders[State])</f>
        <v>Madhya Pradesh</v>
      </c>
      <c r="K918" t="str">
        <f>_xlfn.XLOOKUP(A918,Orders[OrderID],Orders[City])</f>
        <v>Indore</v>
      </c>
      <c r="L918" s="3">
        <f>YEAR(Clean_Data[[#This Row],[OrderDate]])</f>
        <v>2018</v>
      </c>
      <c r="M918" s="3">
        <f>MONTH(Clean_Data[[#This Row],[OrderDate]])</f>
        <v>8</v>
      </c>
      <c r="N918" s="8" t="str">
        <f>TEXT(Clean_Data[[#This Row],[OrderDate]],"mmm")</f>
        <v>Aug</v>
      </c>
      <c r="O918" s="8" t="str">
        <f>TEXT(Clean_Data[[#This Row],[OrderDate]], "yyyy-mm")</f>
        <v>2018-08</v>
      </c>
      <c r="P918" s="7">
        <f>Clean_Data[[#This Row],[Profit]]/Clean_Data[[#This Row],[Revenue ]]</f>
        <v>-0.54545454545454541</v>
      </c>
      <c r="Q918" t="str">
        <f>"Q"&amp;ROUNDUP(MONTH(Clean_Data[[#This Row],[OrderDate]])/3,0)</f>
        <v>Q3</v>
      </c>
      <c r="R918" t="str">
        <f>TEXT(Clean_Data[[#This Row],[OrderDate]], "dddd")</f>
        <v>Tuesday</v>
      </c>
    </row>
    <row r="919" spans="1:18" x14ac:dyDescent="0.25">
      <c r="A919" t="s">
        <v>244</v>
      </c>
      <c r="B919" s="4">
        <v>97</v>
      </c>
      <c r="C919" s="4">
        <v>17</v>
      </c>
      <c r="D919" s="3">
        <v>2</v>
      </c>
      <c r="E919" t="s">
        <v>895</v>
      </c>
      <c r="F919" t="s">
        <v>903</v>
      </c>
      <c r="G919" t="s">
        <v>893</v>
      </c>
      <c r="H919" s="6">
        <f>_xlfn.XLOOKUP(A919,Orders[OrderID],Orders[OrderDate])</f>
        <v>43411</v>
      </c>
      <c r="I919" t="str">
        <f>_xlfn.XLOOKUP(A919,Orders[OrderID],Orders[CustomerName])</f>
        <v>Soumyabrata</v>
      </c>
      <c r="J919" t="str">
        <f>_xlfn.XLOOKUP(A919,Orders[OrderID],Orders[State])</f>
        <v>Andhra Pradesh</v>
      </c>
      <c r="K919" t="str">
        <f>_xlfn.XLOOKUP(A919,Orders[OrderID],Orders[City])</f>
        <v>Hyderabad</v>
      </c>
      <c r="L919" s="3">
        <f>YEAR(Clean_Data[[#This Row],[OrderDate]])</f>
        <v>2018</v>
      </c>
      <c r="M919" s="3">
        <f>MONTH(Clean_Data[[#This Row],[OrderDate]])</f>
        <v>11</v>
      </c>
      <c r="N919" s="8" t="str">
        <f>TEXT(Clean_Data[[#This Row],[OrderDate]],"mmm")</f>
        <v>Nov</v>
      </c>
      <c r="O919" s="8" t="str">
        <f>TEXT(Clean_Data[[#This Row],[OrderDate]], "yyyy-mm")</f>
        <v>2018-11</v>
      </c>
      <c r="P919" s="7">
        <f>Clean_Data[[#This Row],[Profit]]/Clean_Data[[#This Row],[Revenue ]]</f>
        <v>0.17525773195876287</v>
      </c>
      <c r="Q919" t="str">
        <f>"Q"&amp;ROUNDUP(MONTH(Clean_Data[[#This Row],[OrderDate]])/3,0)</f>
        <v>Q4</v>
      </c>
      <c r="R919" t="str">
        <f>TEXT(Clean_Data[[#This Row],[OrderDate]], "dddd")</f>
        <v>Wednesday</v>
      </c>
    </row>
    <row r="920" spans="1:18" x14ac:dyDescent="0.25">
      <c r="A920" t="s">
        <v>555</v>
      </c>
      <c r="B920" s="4">
        <v>57</v>
      </c>
      <c r="C920" s="4">
        <v>24</v>
      </c>
      <c r="D920" s="3">
        <v>5</v>
      </c>
      <c r="E920" t="s">
        <v>895</v>
      </c>
      <c r="F920" t="s">
        <v>904</v>
      </c>
      <c r="G920" t="s">
        <v>887</v>
      </c>
      <c r="H920" s="6">
        <f>_xlfn.XLOOKUP(A920,Orders[OrderID],Orders[OrderDate])</f>
        <v>43140</v>
      </c>
      <c r="I920" t="str">
        <f>_xlfn.XLOOKUP(A920,Orders[OrderID],Orders[CustomerName])</f>
        <v>Kalyani</v>
      </c>
      <c r="J920" t="str">
        <f>_xlfn.XLOOKUP(A920,Orders[OrderID],Orders[State])</f>
        <v>Tamil Nadu</v>
      </c>
      <c r="K920" t="str">
        <f>_xlfn.XLOOKUP(A920,Orders[OrderID],Orders[City])</f>
        <v>Chennai</v>
      </c>
      <c r="L920" s="3">
        <f>YEAR(Clean_Data[[#This Row],[OrderDate]])</f>
        <v>2018</v>
      </c>
      <c r="M920" s="3">
        <f>MONTH(Clean_Data[[#This Row],[OrderDate]])</f>
        <v>2</v>
      </c>
      <c r="N920" s="8" t="str">
        <f>TEXT(Clean_Data[[#This Row],[OrderDate]],"mmm")</f>
        <v>Feb</v>
      </c>
      <c r="O920" s="8" t="str">
        <f>TEXT(Clean_Data[[#This Row],[OrderDate]], "yyyy-mm")</f>
        <v>2018-02</v>
      </c>
      <c r="P920" s="7">
        <f>Clean_Data[[#This Row],[Profit]]/Clean_Data[[#This Row],[Revenue ]]</f>
        <v>0.42105263157894735</v>
      </c>
      <c r="Q920" t="str">
        <f>"Q"&amp;ROUNDUP(MONTH(Clean_Data[[#This Row],[OrderDate]])/3,0)</f>
        <v>Q1</v>
      </c>
      <c r="R920" t="str">
        <f>TEXT(Clean_Data[[#This Row],[OrderDate]], "dddd")</f>
        <v>Friday</v>
      </c>
    </row>
    <row r="921" spans="1:18" x14ac:dyDescent="0.25">
      <c r="A921" t="s">
        <v>722</v>
      </c>
      <c r="B921" s="4">
        <v>97</v>
      </c>
      <c r="C921" s="4">
        <v>14</v>
      </c>
      <c r="D921" s="3">
        <v>2</v>
      </c>
      <c r="E921" t="s">
        <v>895</v>
      </c>
      <c r="F921" t="s">
        <v>906</v>
      </c>
      <c r="G921" t="s">
        <v>893</v>
      </c>
      <c r="H921" s="6">
        <f>_xlfn.XLOOKUP(A921,Orders[OrderID],Orders[OrderDate])</f>
        <v>43186</v>
      </c>
      <c r="I921" t="str">
        <f>_xlfn.XLOOKUP(A921,Orders[OrderID],Orders[CustomerName])</f>
        <v>Ramesh</v>
      </c>
      <c r="J921" t="str">
        <f>_xlfn.XLOOKUP(A921,Orders[OrderID],Orders[State])</f>
        <v>Gujarat</v>
      </c>
      <c r="K921" t="str">
        <f>_xlfn.XLOOKUP(A921,Orders[OrderID],Orders[City])</f>
        <v>Ahmedabad</v>
      </c>
      <c r="L921" s="3">
        <f>YEAR(Clean_Data[[#This Row],[OrderDate]])</f>
        <v>2018</v>
      </c>
      <c r="M921" s="3">
        <f>MONTH(Clean_Data[[#This Row],[OrderDate]])</f>
        <v>3</v>
      </c>
      <c r="N921" s="8" t="str">
        <f>TEXT(Clean_Data[[#This Row],[OrderDate]],"mmm")</f>
        <v>Mar</v>
      </c>
      <c r="O921" s="8" t="str">
        <f>TEXT(Clean_Data[[#This Row],[OrderDate]], "yyyy-mm")</f>
        <v>2018-03</v>
      </c>
      <c r="P921" s="7">
        <f>Clean_Data[[#This Row],[Profit]]/Clean_Data[[#This Row],[Revenue ]]</f>
        <v>0.14432989690721648</v>
      </c>
      <c r="Q921" t="str">
        <f>"Q"&amp;ROUNDUP(MONTH(Clean_Data[[#This Row],[OrderDate]])/3,0)</f>
        <v>Q1</v>
      </c>
      <c r="R921" t="str">
        <f>TEXT(Clean_Data[[#This Row],[OrderDate]], "dddd")</f>
        <v>Tuesday</v>
      </c>
    </row>
    <row r="922" spans="1:18" x14ac:dyDescent="0.25">
      <c r="A922" t="s">
        <v>401</v>
      </c>
      <c r="B922" s="4">
        <v>97</v>
      </c>
      <c r="C922" s="4">
        <v>17</v>
      </c>
      <c r="D922" s="3">
        <v>2</v>
      </c>
      <c r="E922" t="s">
        <v>895</v>
      </c>
      <c r="F922" t="s">
        <v>903</v>
      </c>
      <c r="G922" t="s">
        <v>893</v>
      </c>
      <c r="H922" s="6">
        <f>_xlfn.XLOOKUP(A922,Orders[OrderID],Orders[OrderDate])</f>
        <v>43265</v>
      </c>
      <c r="I922" t="str">
        <f>_xlfn.XLOOKUP(A922,Orders[OrderID],Orders[CustomerName])</f>
        <v>Bhaggyasree</v>
      </c>
      <c r="J922" t="str">
        <f>_xlfn.XLOOKUP(A922,Orders[OrderID],Orders[State])</f>
        <v>Maharashtra</v>
      </c>
      <c r="K922" t="str">
        <f>_xlfn.XLOOKUP(A922,Orders[OrderID],Orders[City])</f>
        <v>Mumbai</v>
      </c>
      <c r="L922" s="3">
        <f>YEAR(Clean_Data[[#This Row],[OrderDate]])</f>
        <v>2018</v>
      </c>
      <c r="M922" s="3">
        <f>MONTH(Clean_Data[[#This Row],[OrderDate]])</f>
        <v>6</v>
      </c>
      <c r="N922" s="8" t="str">
        <f>TEXT(Clean_Data[[#This Row],[OrderDate]],"mmm")</f>
        <v>Jun</v>
      </c>
      <c r="O922" s="8" t="str">
        <f>TEXT(Clean_Data[[#This Row],[OrderDate]], "yyyy-mm")</f>
        <v>2018-06</v>
      </c>
      <c r="P922" s="7">
        <f>Clean_Data[[#This Row],[Profit]]/Clean_Data[[#This Row],[Revenue ]]</f>
        <v>0.17525773195876287</v>
      </c>
      <c r="Q922" t="str">
        <f>"Q"&amp;ROUNDUP(MONTH(Clean_Data[[#This Row],[OrderDate]])/3,0)</f>
        <v>Q2</v>
      </c>
      <c r="R922" t="str">
        <f>TEXT(Clean_Data[[#This Row],[OrderDate]], "dddd")</f>
        <v>Thursday</v>
      </c>
    </row>
    <row r="923" spans="1:18" x14ac:dyDescent="0.25">
      <c r="A923" t="s">
        <v>181</v>
      </c>
      <c r="B923" s="4">
        <v>96</v>
      </c>
      <c r="C923" s="4">
        <v>22</v>
      </c>
      <c r="D923" s="3">
        <v>5</v>
      </c>
      <c r="E923" t="s">
        <v>895</v>
      </c>
      <c r="F923" t="s">
        <v>903</v>
      </c>
      <c r="G923" t="s">
        <v>893</v>
      </c>
      <c r="H923" s="6">
        <f>_xlfn.XLOOKUP(A923,Orders[OrderID],Orders[OrderDate])</f>
        <v>43303</v>
      </c>
      <c r="I923" t="str">
        <f>_xlfn.XLOOKUP(A923,Orders[OrderID],Orders[CustomerName])</f>
        <v>Rishabh</v>
      </c>
      <c r="J923" t="str">
        <f>_xlfn.XLOOKUP(A923,Orders[OrderID],Orders[State])</f>
        <v>Rajasthan</v>
      </c>
      <c r="K923" t="str">
        <f>_xlfn.XLOOKUP(A923,Orders[OrderID],Orders[City])</f>
        <v>Jaipur</v>
      </c>
      <c r="L923" s="3">
        <f>YEAR(Clean_Data[[#This Row],[OrderDate]])</f>
        <v>2018</v>
      </c>
      <c r="M923" s="3">
        <f>MONTH(Clean_Data[[#This Row],[OrderDate]])</f>
        <v>7</v>
      </c>
      <c r="N923" s="8" t="str">
        <f>TEXT(Clean_Data[[#This Row],[OrderDate]],"mmm")</f>
        <v>Jul</v>
      </c>
      <c r="O923" s="8" t="str">
        <f>TEXT(Clean_Data[[#This Row],[OrderDate]], "yyyy-mm")</f>
        <v>2018-07</v>
      </c>
      <c r="P923" s="7">
        <f>Clean_Data[[#This Row],[Profit]]/Clean_Data[[#This Row],[Revenue ]]</f>
        <v>0.22916666666666666</v>
      </c>
      <c r="Q923" t="str">
        <f>"Q"&amp;ROUNDUP(MONTH(Clean_Data[[#This Row],[OrderDate]])/3,0)</f>
        <v>Q3</v>
      </c>
      <c r="R923" t="str">
        <f>TEXT(Clean_Data[[#This Row],[OrderDate]], "dddd")</f>
        <v>Sunday</v>
      </c>
    </row>
    <row r="924" spans="1:18" x14ac:dyDescent="0.25">
      <c r="A924" t="s">
        <v>292</v>
      </c>
      <c r="B924" s="4">
        <v>94</v>
      </c>
      <c r="C924" s="4">
        <v>27</v>
      </c>
      <c r="D924" s="3">
        <v>2</v>
      </c>
      <c r="E924" t="s">
        <v>895</v>
      </c>
      <c r="F924" t="s">
        <v>909</v>
      </c>
      <c r="G924" t="s">
        <v>893</v>
      </c>
      <c r="H924" s="6">
        <f>_xlfn.XLOOKUP(A924,Orders[OrderID],Orders[OrderDate])</f>
        <v>43432</v>
      </c>
      <c r="I924" t="str">
        <f>_xlfn.XLOOKUP(A924,Orders[OrderID],Orders[CustomerName])</f>
        <v>Shatayu</v>
      </c>
      <c r="J924" t="str">
        <f>_xlfn.XLOOKUP(A924,Orders[OrderID],Orders[State])</f>
        <v>Madhya Pradesh</v>
      </c>
      <c r="K924" t="str">
        <f>_xlfn.XLOOKUP(A924,Orders[OrderID],Orders[City])</f>
        <v>Indore</v>
      </c>
      <c r="L924" s="3">
        <f>YEAR(Clean_Data[[#This Row],[OrderDate]])</f>
        <v>2018</v>
      </c>
      <c r="M924" s="3">
        <f>MONTH(Clean_Data[[#This Row],[OrderDate]])</f>
        <v>11</v>
      </c>
      <c r="N924" s="8" t="str">
        <f>TEXT(Clean_Data[[#This Row],[OrderDate]],"mmm")</f>
        <v>Nov</v>
      </c>
      <c r="O924" s="8" t="str">
        <f>TEXT(Clean_Data[[#This Row],[OrderDate]], "yyyy-mm")</f>
        <v>2018-11</v>
      </c>
      <c r="P924" s="7">
        <f>Clean_Data[[#This Row],[Profit]]/Clean_Data[[#This Row],[Revenue ]]</f>
        <v>0.28723404255319152</v>
      </c>
      <c r="Q924" t="str">
        <f>"Q"&amp;ROUNDUP(MONTH(Clean_Data[[#This Row],[OrderDate]])/3,0)</f>
        <v>Q4</v>
      </c>
      <c r="R924" t="str">
        <f>TEXT(Clean_Data[[#This Row],[OrderDate]], "dddd")</f>
        <v>Wednesday</v>
      </c>
    </row>
    <row r="925" spans="1:18" x14ac:dyDescent="0.25">
      <c r="A925" t="s">
        <v>269</v>
      </c>
      <c r="B925" s="4">
        <v>26</v>
      </c>
      <c r="C925" s="4">
        <v>-17</v>
      </c>
      <c r="D925" s="3">
        <v>1</v>
      </c>
      <c r="E925" t="s">
        <v>895</v>
      </c>
      <c r="F925" t="s">
        <v>903</v>
      </c>
      <c r="G925" t="s">
        <v>887</v>
      </c>
      <c r="H925" s="6">
        <f>_xlfn.XLOOKUP(A925,Orders[OrderID],Orders[OrderDate])</f>
        <v>43136</v>
      </c>
      <c r="I925" t="str">
        <f>_xlfn.XLOOKUP(A925,Orders[OrderID],Orders[CustomerName])</f>
        <v>Diwakar</v>
      </c>
      <c r="J925" t="str">
        <f>_xlfn.XLOOKUP(A925,Orders[OrderID],Orders[State])</f>
        <v>Delhi</v>
      </c>
      <c r="K925" t="str">
        <f>_xlfn.XLOOKUP(A925,Orders[OrderID],Orders[City])</f>
        <v>Delhi</v>
      </c>
      <c r="L925" s="3">
        <f>YEAR(Clean_Data[[#This Row],[OrderDate]])</f>
        <v>2018</v>
      </c>
      <c r="M925" s="3">
        <f>MONTH(Clean_Data[[#This Row],[OrderDate]])</f>
        <v>2</v>
      </c>
      <c r="N925" s="8" t="str">
        <f>TEXT(Clean_Data[[#This Row],[OrderDate]],"mmm")</f>
        <v>Feb</v>
      </c>
      <c r="O925" s="8" t="str">
        <f>TEXT(Clean_Data[[#This Row],[OrderDate]], "yyyy-mm")</f>
        <v>2018-02</v>
      </c>
      <c r="P925" s="7">
        <f>Clean_Data[[#This Row],[Profit]]/Clean_Data[[#This Row],[Revenue ]]</f>
        <v>-0.65384615384615385</v>
      </c>
      <c r="Q925" t="str">
        <f>"Q"&amp;ROUNDUP(MONTH(Clean_Data[[#This Row],[OrderDate]])/3,0)</f>
        <v>Q1</v>
      </c>
      <c r="R925" t="str">
        <f>TEXT(Clean_Data[[#This Row],[OrderDate]], "dddd")</f>
        <v>Monday</v>
      </c>
    </row>
    <row r="926" spans="1:18" x14ac:dyDescent="0.25">
      <c r="A926" t="s">
        <v>728</v>
      </c>
      <c r="B926" s="4">
        <v>93</v>
      </c>
      <c r="C926" s="4">
        <v>44</v>
      </c>
      <c r="D926" s="3">
        <v>2</v>
      </c>
      <c r="E926" t="s">
        <v>895</v>
      </c>
      <c r="F926" t="s">
        <v>903</v>
      </c>
      <c r="G926" t="s">
        <v>893</v>
      </c>
      <c r="H926" s="6">
        <f>_xlfn.XLOOKUP(A926,Orders[OrderID],Orders[OrderDate])</f>
        <v>43143</v>
      </c>
      <c r="I926" t="str">
        <f>_xlfn.XLOOKUP(A926,Orders[OrderID],Orders[CustomerName])</f>
        <v>Bharat</v>
      </c>
      <c r="J926" t="str">
        <f>_xlfn.XLOOKUP(A926,Orders[OrderID],Orders[State])</f>
        <v>Gujarat</v>
      </c>
      <c r="K926" t="str">
        <f>_xlfn.XLOOKUP(A926,Orders[OrderID],Orders[City])</f>
        <v>Ahmedabad</v>
      </c>
      <c r="L926" s="3">
        <f>YEAR(Clean_Data[[#This Row],[OrderDate]])</f>
        <v>2018</v>
      </c>
      <c r="M926" s="3">
        <f>MONTH(Clean_Data[[#This Row],[OrderDate]])</f>
        <v>2</v>
      </c>
      <c r="N926" s="8" t="str">
        <f>TEXT(Clean_Data[[#This Row],[OrderDate]],"mmm")</f>
        <v>Feb</v>
      </c>
      <c r="O926" s="8" t="str">
        <f>TEXT(Clean_Data[[#This Row],[OrderDate]], "yyyy-mm")</f>
        <v>2018-02</v>
      </c>
      <c r="P926" s="7">
        <f>Clean_Data[[#This Row],[Profit]]/Clean_Data[[#This Row],[Revenue ]]</f>
        <v>0.4731182795698925</v>
      </c>
      <c r="Q926" t="str">
        <f>"Q"&amp;ROUNDUP(MONTH(Clean_Data[[#This Row],[OrderDate]])/3,0)</f>
        <v>Q1</v>
      </c>
      <c r="R926" t="str">
        <f>TEXT(Clean_Data[[#This Row],[OrderDate]], "dddd")</f>
        <v>Monday</v>
      </c>
    </row>
    <row r="927" spans="1:18" x14ac:dyDescent="0.25">
      <c r="A927" t="s">
        <v>486</v>
      </c>
      <c r="B927" s="4">
        <v>93</v>
      </c>
      <c r="C927" s="4">
        <v>-65</v>
      </c>
      <c r="D927" s="3">
        <v>4</v>
      </c>
      <c r="E927" t="s">
        <v>895</v>
      </c>
      <c r="F927" t="s">
        <v>903</v>
      </c>
      <c r="G927" t="s">
        <v>893</v>
      </c>
      <c r="H927" s="6">
        <f>_xlfn.XLOOKUP(A927,Orders[OrderID],Orders[OrderDate])</f>
        <v>43330</v>
      </c>
      <c r="I927" t="str">
        <f>_xlfn.XLOOKUP(A927,Orders[OrderID],Orders[CustomerName])</f>
        <v>Akshay</v>
      </c>
      <c r="J927" t="str">
        <f>_xlfn.XLOOKUP(A927,Orders[OrderID],Orders[State])</f>
        <v>Bihar</v>
      </c>
      <c r="K927" t="str">
        <f>_xlfn.XLOOKUP(A927,Orders[OrderID],Orders[City])</f>
        <v>Patna</v>
      </c>
      <c r="L927" s="3">
        <f>YEAR(Clean_Data[[#This Row],[OrderDate]])</f>
        <v>2018</v>
      </c>
      <c r="M927" s="3">
        <f>MONTH(Clean_Data[[#This Row],[OrderDate]])</f>
        <v>8</v>
      </c>
      <c r="N927" s="8" t="str">
        <f>TEXT(Clean_Data[[#This Row],[OrderDate]],"mmm")</f>
        <v>Aug</v>
      </c>
      <c r="O927" s="8" t="str">
        <f>TEXT(Clean_Data[[#This Row],[OrderDate]], "yyyy-mm")</f>
        <v>2018-08</v>
      </c>
      <c r="P927" s="7">
        <f>Clean_Data[[#This Row],[Profit]]/Clean_Data[[#This Row],[Revenue ]]</f>
        <v>-0.69892473118279574</v>
      </c>
      <c r="Q927" t="str">
        <f>"Q"&amp;ROUNDUP(MONTH(Clean_Data[[#This Row],[OrderDate]])/3,0)</f>
        <v>Q3</v>
      </c>
      <c r="R927" t="str">
        <f>TEXT(Clean_Data[[#This Row],[OrderDate]], "dddd")</f>
        <v>Saturday</v>
      </c>
    </row>
    <row r="928" spans="1:18" x14ac:dyDescent="0.25">
      <c r="A928" t="s">
        <v>504</v>
      </c>
      <c r="B928" s="4">
        <v>92</v>
      </c>
      <c r="C928" s="4">
        <v>5</v>
      </c>
      <c r="D928" s="3">
        <v>6</v>
      </c>
      <c r="E928" t="s">
        <v>895</v>
      </c>
      <c r="F928" t="s">
        <v>899</v>
      </c>
      <c r="G928" t="s">
        <v>893</v>
      </c>
      <c r="H928" s="6">
        <f>_xlfn.XLOOKUP(A928,Orders[OrderID],Orders[OrderDate])</f>
        <v>43152</v>
      </c>
      <c r="I928" t="str">
        <f>_xlfn.XLOOKUP(A928,Orders[OrderID],Orders[CustomerName])</f>
        <v>Sarita</v>
      </c>
      <c r="J928" t="str">
        <f>_xlfn.XLOOKUP(A928,Orders[OrderID],Orders[State])</f>
        <v>Maharashtra</v>
      </c>
      <c r="K928" t="str">
        <f>_xlfn.XLOOKUP(A928,Orders[OrderID],Orders[City])</f>
        <v>Pune</v>
      </c>
      <c r="L928" s="3">
        <f>YEAR(Clean_Data[[#This Row],[OrderDate]])</f>
        <v>2018</v>
      </c>
      <c r="M928" s="3">
        <f>MONTH(Clean_Data[[#This Row],[OrderDate]])</f>
        <v>2</v>
      </c>
      <c r="N928" s="8" t="str">
        <f>TEXT(Clean_Data[[#This Row],[OrderDate]],"mmm")</f>
        <v>Feb</v>
      </c>
      <c r="O928" s="8" t="str">
        <f>TEXT(Clean_Data[[#This Row],[OrderDate]], "yyyy-mm")</f>
        <v>2018-02</v>
      </c>
      <c r="P928" s="7">
        <f>Clean_Data[[#This Row],[Profit]]/Clean_Data[[#This Row],[Revenue ]]</f>
        <v>5.434782608695652E-2</v>
      </c>
      <c r="Q928" t="str">
        <f>"Q"&amp;ROUNDUP(MONTH(Clean_Data[[#This Row],[OrderDate]])/3,0)</f>
        <v>Q1</v>
      </c>
      <c r="R928" t="str">
        <f>TEXT(Clean_Data[[#This Row],[OrderDate]], "dddd")</f>
        <v>Wednesday</v>
      </c>
    </row>
    <row r="929" spans="1:18" x14ac:dyDescent="0.25">
      <c r="A929" t="s">
        <v>470</v>
      </c>
      <c r="B929" s="4">
        <v>57</v>
      </c>
      <c r="C929" s="4">
        <v>27</v>
      </c>
      <c r="D929" s="3">
        <v>2</v>
      </c>
      <c r="E929" t="s">
        <v>895</v>
      </c>
      <c r="F929" t="s">
        <v>906</v>
      </c>
      <c r="G929" t="s">
        <v>887</v>
      </c>
      <c r="H929" s="6">
        <f>_xlfn.XLOOKUP(A929,Orders[OrderID],Orders[OrderDate])</f>
        <v>43410</v>
      </c>
      <c r="I929" t="str">
        <f>_xlfn.XLOOKUP(A929,Orders[OrderID],Orders[CustomerName])</f>
        <v>Kushal</v>
      </c>
      <c r="J929" t="str">
        <f>_xlfn.XLOOKUP(A929,Orders[OrderID],Orders[State])</f>
        <v>Nagaland</v>
      </c>
      <c r="K929" t="str">
        <f>_xlfn.XLOOKUP(A929,Orders[OrderID],Orders[City])</f>
        <v>Kohima</v>
      </c>
      <c r="L929" s="3">
        <f>YEAR(Clean_Data[[#This Row],[OrderDate]])</f>
        <v>2018</v>
      </c>
      <c r="M929" s="3">
        <f>MONTH(Clean_Data[[#This Row],[OrderDate]])</f>
        <v>11</v>
      </c>
      <c r="N929" s="8" t="str">
        <f>TEXT(Clean_Data[[#This Row],[OrderDate]],"mmm")</f>
        <v>Nov</v>
      </c>
      <c r="O929" s="8" t="str">
        <f>TEXT(Clean_Data[[#This Row],[OrderDate]], "yyyy-mm")</f>
        <v>2018-11</v>
      </c>
      <c r="P929" s="7">
        <f>Clean_Data[[#This Row],[Profit]]/Clean_Data[[#This Row],[Revenue ]]</f>
        <v>0.47368421052631576</v>
      </c>
      <c r="Q929" t="str">
        <f>"Q"&amp;ROUNDUP(MONTH(Clean_Data[[#This Row],[OrderDate]])/3,0)</f>
        <v>Q4</v>
      </c>
      <c r="R929" t="str">
        <f>TEXT(Clean_Data[[#This Row],[OrderDate]], "dddd")</f>
        <v>Tuesday</v>
      </c>
    </row>
    <row r="930" spans="1:18" x14ac:dyDescent="0.25">
      <c r="A930" t="s">
        <v>250</v>
      </c>
      <c r="B930" s="4">
        <v>57</v>
      </c>
      <c r="C930" s="4">
        <v>7</v>
      </c>
      <c r="D930" s="3">
        <v>3</v>
      </c>
      <c r="E930" t="s">
        <v>888</v>
      </c>
      <c r="F930" t="s">
        <v>908</v>
      </c>
      <c r="G930" t="s">
        <v>887</v>
      </c>
      <c r="H930" s="6">
        <f>_xlfn.XLOOKUP(A930,Orders[OrderID],Orders[OrderDate])</f>
        <v>43424</v>
      </c>
      <c r="I930" t="str">
        <f>_xlfn.XLOOKUP(A930,Orders[OrderID],Orders[CustomerName])</f>
        <v>Pranav</v>
      </c>
      <c r="J930" t="str">
        <f>_xlfn.XLOOKUP(A930,Orders[OrderID],Orders[State])</f>
        <v>Andhra Pradesh</v>
      </c>
      <c r="K930" t="str">
        <f>_xlfn.XLOOKUP(A930,Orders[OrderID],Orders[City])</f>
        <v>Hyderabad</v>
      </c>
      <c r="L930" s="3">
        <f>YEAR(Clean_Data[[#This Row],[OrderDate]])</f>
        <v>2018</v>
      </c>
      <c r="M930" s="3">
        <f>MONTH(Clean_Data[[#This Row],[OrderDate]])</f>
        <v>11</v>
      </c>
      <c r="N930" s="8" t="str">
        <f>TEXT(Clean_Data[[#This Row],[OrderDate]],"mmm")</f>
        <v>Nov</v>
      </c>
      <c r="O930" s="8" t="str">
        <f>TEXT(Clean_Data[[#This Row],[OrderDate]], "yyyy-mm")</f>
        <v>2018-11</v>
      </c>
      <c r="P930" s="7">
        <f>Clean_Data[[#This Row],[Profit]]/Clean_Data[[#This Row],[Revenue ]]</f>
        <v>0.12280701754385964</v>
      </c>
      <c r="Q930" t="str">
        <f>"Q"&amp;ROUNDUP(MONTH(Clean_Data[[#This Row],[OrderDate]])/3,0)</f>
        <v>Q4</v>
      </c>
      <c r="R930" t="str">
        <f>TEXT(Clean_Data[[#This Row],[OrderDate]], "dddd")</f>
        <v>Tuesday</v>
      </c>
    </row>
    <row r="931" spans="1:18" x14ac:dyDescent="0.25">
      <c r="A931" t="s">
        <v>783</v>
      </c>
      <c r="B931" s="4">
        <v>57</v>
      </c>
      <c r="C931" s="4">
        <v>21</v>
      </c>
      <c r="D931" s="3">
        <v>4</v>
      </c>
      <c r="E931" t="s">
        <v>895</v>
      </c>
      <c r="F931" t="s">
        <v>904</v>
      </c>
      <c r="G931" t="s">
        <v>887</v>
      </c>
      <c r="H931" s="6">
        <f>_xlfn.XLOOKUP(A931,Orders[OrderID],Orders[OrderDate])</f>
        <v>43180</v>
      </c>
      <c r="I931" t="str">
        <f>_xlfn.XLOOKUP(A931,Orders[OrderID],Orders[CustomerName])</f>
        <v>Bharat</v>
      </c>
      <c r="J931" t="str">
        <f>_xlfn.XLOOKUP(A931,Orders[OrderID],Orders[State])</f>
        <v>Gujarat</v>
      </c>
      <c r="K931" t="str">
        <f>_xlfn.XLOOKUP(A931,Orders[OrderID],Orders[City])</f>
        <v>Ahmedabad</v>
      </c>
      <c r="L931" s="3">
        <f>YEAR(Clean_Data[[#This Row],[OrderDate]])</f>
        <v>2018</v>
      </c>
      <c r="M931" s="3">
        <f>MONTH(Clean_Data[[#This Row],[OrderDate]])</f>
        <v>3</v>
      </c>
      <c r="N931" s="8" t="str">
        <f>TEXT(Clean_Data[[#This Row],[OrderDate]],"mmm")</f>
        <v>Mar</v>
      </c>
      <c r="O931" s="8" t="str">
        <f>TEXT(Clean_Data[[#This Row],[OrderDate]], "yyyy-mm")</f>
        <v>2018-03</v>
      </c>
      <c r="P931" s="7">
        <f>Clean_Data[[#This Row],[Profit]]/Clean_Data[[#This Row],[Revenue ]]</f>
        <v>0.36842105263157893</v>
      </c>
      <c r="Q931" t="str">
        <f>"Q"&amp;ROUNDUP(MONTH(Clean_Data[[#This Row],[OrderDate]])/3,0)</f>
        <v>Q1</v>
      </c>
      <c r="R931" t="str">
        <f>TEXT(Clean_Data[[#This Row],[OrderDate]], "dddd")</f>
        <v>Wednesday</v>
      </c>
    </row>
    <row r="932" spans="1:18" x14ac:dyDescent="0.25">
      <c r="A932" t="s">
        <v>544</v>
      </c>
      <c r="B932" s="4">
        <v>128</v>
      </c>
      <c r="C932" s="4">
        <v>4</v>
      </c>
      <c r="D932" s="3">
        <v>3</v>
      </c>
      <c r="E932" t="s">
        <v>895</v>
      </c>
      <c r="F932" t="s">
        <v>897</v>
      </c>
      <c r="G932" t="s">
        <v>887</v>
      </c>
      <c r="H932" s="6">
        <f>_xlfn.XLOOKUP(A932,Orders[OrderID],Orders[OrderDate])</f>
        <v>43419</v>
      </c>
      <c r="I932" t="str">
        <f>_xlfn.XLOOKUP(A932,Orders[OrderID],Orders[CustomerName])</f>
        <v>Aayush</v>
      </c>
      <c r="J932" t="str">
        <f>_xlfn.XLOOKUP(A932,Orders[OrderID],Orders[State])</f>
        <v>Uttar Pradesh</v>
      </c>
      <c r="K932" t="str">
        <f>_xlfn.XLOOKUP(A932,Orders[OrderID],Orders[City])</f>
        <v>Lucknow</v>
      </c>
      <c r="L932" s="3">
        <f>YEAR(Clean_Data[[#This Row],[OrderDate]])</f>
        <v>2018</v>
      </c>
      <c r="M932" s="3">
        <f>MONTH(Clean_Data[[#This Row],[OrderDate]])</f>
        <v>11</v>
      </c>
      <c r="N932" s="8" t="str">
        <f>TEXT(Clean_Data[[#This Row],[OrderDate]],"mmm")</f>
        <v>Nov</v>
      </c>
      <c r="O932" s="8" t="str">
        <f>TEXT(Clean_Data[[#This Row],[OrderDate]], "yyyy-mm")</f>
        <v>2018-11</v>
      </c>
      <c r="P932" s="7">
        <f>Clean_Data[[#This Row],[Profit]]/Clean_Data[[#This Row],[Revenue ]]</f>
        <v>3.125E-2</v>
      </c>
      <c r="Q932" t="str">
        <f>"Q"&amp;ROUNDUP(MONTH(Clean_Data[[#This Row],[OrderDate]])/3,0)</f>
        <v>Q4</v>
      </c>
      <c r="R932" t="str">
        <f>TEXT(Clean_Data[[#This Row],[OrderDate]], "dddd")</f>
        <v>Thursday</v>
      </c>
    </row>
    <row r="933" spans="1:18" x14ac:dyDescent="0.25">
      <c r="A933" t="s">
        <v>81</v>
      </c>
      <c r="B933" s="4">
        <v>89</v>
      </c>
      <c r="C933" s="4">
        <v>-4</v>
      </c>
      <c r="D933" s="3">
        <v>5</v>
      </c>
      <c r="E933" t="s">
        <v>895</v>
      </c>
      <c r="F933" t="s">
        <v>897</v>
      </c>
      <c r="G933" t="s">
        <v>893</v>
      </c>
      <c r="H933" s="6">
        <f>_xlfn.XLOOKUP(A933,Orders[OrderID],Orders[OrderDate])</f>
        <v>43373</v>
      </c>
      <c r="I933" t="str">
        <f>_xlfn.XLOOKUP(A933,Orders[OrderID],Orders[CustomerName])</f>
        <v>Sauptik</v>
      </c>
      <c r="J933" t="str">
        <f>_xlfn.XLOOKUP(A933,Orders[OrderID],Orders[State])</f>
        <v>Madhya Pradesh</v>
      </c>
      <c r="K933" t="str">
        <f>_xlfn.XLOOKUP(A933,Orders[OrderID],Orders[City])</f>
        <v>Indore</v>
      </c>
      <c r="L933" s="3">
        <f>YEAR(Clean_Data[[#This Row],[OrderDate]])</f>
        <v>2018</v>
      </c>
      <c r="M933" s="3">
        <f>MONTH(Clean_Data[[#This Row],[OrderDate]])</f>
        <v>9</v>
      </c>
      <c r="N933" s="8" t="str">
        <f>TEXT(Clean_Data[[#This Row],[OrderDate]],"mmm")</f>
        <v>Sep</v>
      </c>
      <c r="O933" s="8" t="str">
        <f>TEXT(Clean_Data[[#This Row],[OrderDate]], "yyyy-mm")</f>
        <v>2018-09</v>
      </c>
      <c r="P933" s="7">
        <f>Clean_Data[[#This Row],[Profit]]/Clean_Data[[#This Row],[Revenue ]]</f>
        <v>-4.49438202247191E-2</v>
      </c>
      <c r="Q933" t="str">
        <f>"Q"&amp;ROUNDUP(MONTH(Clean_Data[[#This Row],[OrderDate]])/3,0)</f>
        <v>Q3</v>
      </c>
      <c r="R933" t="str">
        <f>TEXT(Clean_Data[[#This Row],[OrderDate]], "dddd")</f>
        <v>Sunday</v>
      </c>
    </row>
    <row r="934" spans="1:18" x14ac:dyDescent="0.25">
      <c r="A934" t="s">
        <v>7</v>
      </c>
      <c r="B934" s="4">
        <v>221</v>
      </c>
      <c r="C934" s="4">
        <v>26</v>
      </c>
      <c r="D934" s="3">
        <v>7</v>
      </c>
      <c r="E934" t="s">
        <v>888</v>
      </c>
      <c r="F934" t="s">
        <v>908</v>
      </c>
      <c r="G934" t="s">
        <v>887</v>
      </c>
      <c r="H934" s="6">
        <f>_xlfn.XLOOKUP(A934,Orders[OrderID],Orders[OrderDate])</f>
        <v>43134</v>
      </c>
      <c r="I934" t="str">
        <f>_xlfn.XLOOKUP(A934,Orders[OrderID],Orders[CustomerName])</f>
        <v>Madhav</v>
      </c>
      <c r="J934" t="str">
        <f>_xlfn.XLOOKUP(A934,Orders[OrderID],Orders[State])</f>
        <v>Delhi</v>
      </c>
      <c r="K934" t="str">
        <f>_xlfn.XLOOKUP(A934,Orders[OrderID],Orders[City])</f>
        <v>Delhi</v>
      </c>
      <c r="L934" s="3">
        <f>YEAR(Clean_Data[[#This Row],[OrderDate]])</f>
        <v>2018</v>
      </c>
      <c r="M934" s="3">
        <f>MONTH(Clean_Data[[#This Row],[OrderDate]])</f>
        <v>2</v>
      </c>
      <c r="N934" s="8" t="str">
        <f>TEXT(Clean_Data[[#This Row],[OrderDate]],"mmm")</f>
        <v>Feb</v>
      </c>
      <c r="O934" s="8" t="str">
        <f>TEXT(Clean_Data[[#This Row],[OrderDate]], "yyyy-mm")</f>
        <v>2018-02</v>
      </c>
      <c r="P934" s="7">
        <f>Clean_Data[[#This Row],[Profit]]/Clean_Data[[#This Row],[Revenue ]]</f>
        <v>0.11764705882352941</v>
      </c>
      <c r="Q934" t="str">
        <f>"Q"&amp;ROUNDUP(MONTH(Clean_Data[[#This Row],[OrderDate]])/3,0)</f>
        <v>Q1</v>
      </c>
      <c r="R934" t="str">
        <f>TEXT(Clean_Data[[#This Row],[OrderDate]], "dddd")</f>
        <v>Saturday</v>
      </c>
    </row>
    <row r="935" spans="1:18" x14ac:dyDescent="0.25">
      <c r="A935" t="s">
        <v>557</v>
      </c>
      <c r="B935" s="4">
        <v>205</v>
      </c>
      <c r="C935" s="4">
        <v>-119</v>
      </c>
      <c r="D935" s="3">
        <v>3</v>
      </c>
      <c r="E935" t="s">
        <v>895</v>
      </c>
      <c r="F935" t="s">
        <v>897</v>
      </c>
      <c r="G935" t="s">
        <v>907</v>
      </c>
      <c r="H935" s="6">
        <f>_xlfn.XLOOKUP(A935,Orders[OrderID],Orders[OrderDate])</f>
        <v>43374</v>
      </c>
      <c r="I935" t="str">
        <f>_xlfn.XLOOKUP(A935,Orders[OrderID],Orders[CustomerName])</f>
        <v>Divyansh</v>
      </c>
      <c r="J935" t="str">
        <f>_xlfn.XLOOKUP(A935,Orders[OrderID],Orders[State])</f>
        <v>Gujarat</v>
      </c>
      <c r="K935" t="str">
        <f>_xlfn.XLOOKUP(A935,Orders[OrderID],Orders[City])</f>
        <v>Ahmedabad</v>
      </c>
      <c r="L935" s="3">
        <f>YEAR(Clean_Data[[#This Row],[OrderDate]])</f>
        <v>2018</v>
      </c>
      <c r="M935" s="3">
        <f>MONTH(Clean_Data[[#This Row],[OrderDate]])</f>
        <v>10</v>
      </c>
      <c r="N935" s="8" t="str">
        <f>TEXT(Clean_Data[[#This Row],[OrderDate]],"mmm")</f>
        <v>Oct</v>
      </c>
      <c r="O935" s="8" t="str">
        <f>TEXT(Clean_Data[[#This Row],[OrderDate]], "yyyy-mm")</f>
        <v>2018-10</v>
      </c>
      <c r="P935" s="7">
        <f>Clean_Data[[#This Row],[Profit]]/Clean_Data[[#This Row],[Revenue ]]</f>
        <v>-0.58048780487804874</v>
      </c>
      <c r="Q935" t="str">
        <f>"Q"&amp;ROUNDUP(MONTH(Clean_Data[[#This Row],[OrderDate]])/3,0)</f>
        <v>Q4</v>
      </c>
      <c r="R935" t="str">
        <f>TEXT(Clean_Data[[#This Row],[OrderDate]], "dddd")</f>
        <v>Monday</v>
      </c>
    </row>
    <row r="936" spans="1:18" x14ac:dyDescent="0.25">
      <c r="A936" t="s">
        <v>571</v>
      </c>
      <c r="B936" s="4">
        <v>191</v>
      </c>
      <c r="C936" s="4">
        <v>51</v>
      </c>
      <c r="D936" s="3">
        <v>5</v>
      </c>
      <c r="E936" t="s">
        <v>895</v>
      </c>
      <c r="F936" t="s">
        <v>909</v>
      </c>
      <c r="G936" t="s">
        <v>898</v>
      </c>
      <c r="H936" s="6">
        <f>_xlfn.XLOOKUP(A936,Orders[OrderID],Orders[OrderDate])</f>
        <v>43297</v>
      </c>
      <c r="I936" t="str">
        <f>_xlfn.XLOOKUP(A936,Orders[OrderID],Orders[CustomerName])</f>
        <v>Anchal</v>
      </c>
      <c r="J936" t="str">
        <f>_xlfn.XLOOKUP(A936,Orders[OrderID],Orders[State])</f>
        <v>Haryana</v>
      </c>
      <c r="K936" t="str">
        <f>_xlfn.XLOOKUP(A936,Orders[OrderID],Orders[City])</f>
        <v>Chandigarh</v>
      </c>
      <c r="L936" s="3">
        <f>YEAR(Clean_Data[[#This Row],[OrderDate]])</f>
        <v>2018</v>
      </c>
      <c r="M936" s="3">
        <f>MONTH(Clean_Data[[#This Row],[OrderDate]])</f>
        <v>7</v>
      </c>
      <c r="N936" s="8" t="str">
        <f>TEXT(Clean_Data[[#This Row],[OrderDate]],"mmm")</f>
        <v>Jul</v>
      </c>
      <c r="O936" s="8" t="str">
        <f>TEXT(Clean_Data[[#This Row],[OrderDate]], "yyyy-mm")</f>
        <v>2018-07</v>
      </c>
      <c r="P936" s="7">
        <f>Clean_Data[[#This Row],[Profit]]/Clean_Data[[#This Row],[Revenue ]]</f>
        <v>0.26701570680628273</v>
      </c>
      <c r="Q936" t="str">
        <f>"Q"&amp;ROUNDUP(MONTH(Clean_Data[[#This Row],[OrderDate]])/3,0)</f>
        <v>Q3</v>
      </c>
      <c r="R936" t="str">
        <f>TEXT(Clean_Data[[#This Row],[OrderDate]], "dddd")</f>
        <v>Monday</v>
      </c>
    </row>
    <row r="937" spans="1:18" x14ac:dyDescent="0.25">
      <c r="A937" t="s">
        <v>425</v>
      </c>
      <c r="B937" s="4">
        <v>206</v>
      </c>
      <c r="C937" s="4">
        <v>18</v>
      </c>
      <c r="D937" s="3">
        <v>4</v>
      </c>
      <c r="E937" t="s">
        <v>895</v>
      </c>
      <c r="F937" t="s">
        <v>899</v>
      </c>
      <c r="G937" t="s">
        <v>907</v>
      </c>
      <c r="H937" s="6">
        <f>_xlfn.XLOOKUP(A937,Orders[OrderID],Orders[OrderDate])</f>
        <v>43169</v>
      </c>
      <c r="I937" t="str">
        <f>_xlfn.XLOOKUP(A937,Orders[OrderID],Orders[CustomerName])</f>
        <v>Sonal</v>
      </c>
      <c r="J937" t="str">
        <f>_xlfn.XLOOKUP(A937,Orders[OrderID],Orders[State])</f>
        <v>Bihar</v>
      </c>
      <c r="K937" t="str">
        <f>_xlfn.XLOOKUP(A937,Orders[OrderID],Orders[City])</f>
        <v>Patna</v>
      </c>
      <c r="L937" s="3">
        <f>YEAR(Clean_Data[[#This Row],[OrderDate]])</f>
        <v>2018</v>
      </c>
      <c r="M937" s="3">
        <f>MONTH(Clean_Data[[#This Row],[OrderDate]])</f>
        <v>3</v>
      </c>
      <c r="N937" s="8" t="str">
        <f>TEXT(Clean_Data[[#This Row],[OrderDate]],"mmm")</f>
        <v>Mar</v>
      </c>
      <c r="O937" s="8" t="str">
        <f>TEXT(Clean_Data[[#This Row],[OrderDate]], "yyyy-mm")</f>
        <v>2018-03</v>
      </c>
      <c r="P937" s="7">
        <f>Clean_Data[[#This Row],[Profit]]/Clean_Data[[#This Row],[Revenue ]]</f>
        <v>8.7378640776699032E-2</v>
      </c>
      <c r="Q937" t="str">
        <f>"Q"&amp;ROUNDUP(MONTH(Clean_Data[[#This Row],[OrderDate]])/3,0)</f>
        <v>Q1</v>
      </c>
      <c r="R937" t="str">
        <f>TEXT(Clean_Data[[#This Row],[OrderDate]], "dddd")</f>
        <v>Saturday</v>
      </c>
    </row>
    <row r="938" spans="1:18" x14ac:dyDescent="0.25">
      <c r="A938" t="s">
        <v>385</v>
      </c>
      <c r="B938" s="4">
        <v>56</v>
      </c>
      <c r="C938" s="4">
        <v>0</v>
      </c>
      <c r="D938" s="3">
        <v>4</v>
      </c>
      <c r="E938" t="s">
        <v>895</v>
      </c>
      <c r="F938" t="s">
        <v>899</v>
      </c>
      <c r="G938" t="s">
        <v>887</v>
      </c>
      <c r="H938" s="6">
        <f>_xlfn.XLOOKUP(A938,Orders[OrderID],Orders[OrderDate])</f>
        <v>43319</v>
      </c>
      <c r="I938" t="str">
        <f>_xlfn.XLOOKUP(A938,Orders[OrderID],Orders[CustomerName])</f>
        <v>Aman</v>
      </c>
      <c r="J938" t="str">
        <f>_xlfn.XLOOKUP(A938,Orders[OrderID],Orders[State])</f>
        <v>Nagaland</v>
      </c>
      <c r="K938" t="str">
        <f>_xlfn.XLOOKUP(A938,Orders[OrderID],Orders[City])</f>
        <v>Kohima</v>
      </c>
      <c r="L938" s="3">
        <f>YEAR(Clean_Data[[#This Row],[OrderDate]])</f>
        <v>2018</v>
      </c>
      <c r="M938" s="3">
        <f>MONTH(Clean_Data[[#This Row],[OrderDate]])</f>
        <v>8</v>
      </c>
      <c r="N938" s="8" t="str">
        <f>TEXT(Clean_Data[[#This Row],[OrderDate]],"mmm")</f>
        <v>Aug</v>
      </c>
      <c r="O938" s="8" t="str">
        <f>TEXT(Clean_Data[[#This Row],[OrderDate]], "yyyy-mm")</f>
        <v>2018-08</v>
      </c>
      <c r="P938" s="7">
        <f>Clean_Data[[#This Row],[Profit]]/Clean_Data[[#This Row],[Revenue ]]</f>
        <v>0</v>
      </c>
      <c r="Q938" t="str">
        <f>"Q"&amp;ROUNDUP(MONTH(Clean_Data[[#This Row],[OrderDate]])/3,0)</f>
        <v>Q3</v>
      </c>
      <c r="R938" t="str">
        <f>TEXT(Clean_Data[[#This Row],[OrderDate]], "dddd")</f>
        <v>Tuesday</v>
      </c>
    </row>
    <row r="939" spans="1:18" x14ac:dyDescent="0.25">
      <c r="A939" t="s">
        <v>419</v>
      </c>
      <c r="B939" s="4">
        <v>88</v>
      </c>
      <c r="C939" s="4">
        <v>16</v>
      </c>
      <c r="D939" s="3">
        <v>4</v>
      </c>
      <c r="E939" t="s">
        <v>895</v>
      </c>
      <c r="F939" t="s">
        <v>903</v>
      </c>
      <c r="G939" t="s">
        <v>893</v>
      </c>
      <c r="H939" s="6">
        <f>_xlfn.XLOOKUP(A939,Orders[OrderID],Orders[OrderDate])</f>
        <v>43412</v>
      </c>
      <c r="I939" t="str">
        <f>_xlfn.XLOOKUP(A939,Orders[OrderID],Orders[CustomerName])</f>
        <v>Shubham</v>
      </c>
      <c r="J939" t="str">
        <f>_xlfn.XLOOKUP(A939,Orders[OrderID],Orders[State])</f>
        <v>Maharashtra</v>
      </c>
      <c r="K939" t="str">
        <f>_xlfn.XLOOKUP(A939,Orders[OrderID],Orders[City])</f>
        <v>Pune</v>
      </c>
      <c r="L939" s="3">
        <f>YEAR(Clean_Data[[#This Row],[OrderDate]])</f>
        <v>2018</v>
      </c>
      <c r="M939" s="3">
        <f>MONTH(Clean_Data[[#This Row],[OrderDate]])</f>
        <v>11</v>
      </c>
      <c r="N939" s="8" t="str">
        <f>TEXT(Clean_Data[[#This Row],[OrderDate]],"mmm")</f>
        <v>Nov</v>
      </c>
      <c r="O939" s="8" t="str">
        <f>TEXT(Clean_Data[[#This Row],[OrderDate]], "yyyy-mm")</f>
        <v>2018-11</v>
      </c>
      <c r="P939" s="7">
        <f>Clean_Data[[#This Row],[Profit]]/Clean_Data[[#This Row],[Revenue ]]</f>
        <v>0.18181818181818182</v>
      </c>
      <c r="Q939" t="str">
        <f>"Q"&amp;ROUNDUP(MONTH(Clean_Data[[#This Row],[OrderDate]])/3,0)</f>
        <v>Q4</v>
      </c>
      <c r="R939" t="str">
        <f>TEXT(Clean_Data[[#This Row],[OrderDate]], "dddd")</f>
        <v>Thursday</v>
      </c>
    </row>
    <row r="940" spans="1:18" x14ac:dyDescent="0.25">
      <c r="A940" t="s">
        <v>541</v>
      </c>
      <c r="B940" s="4">
        <v>224</v>
      </c>
      <c r="C940" s="4">
        <v>58</v>
      </c>
      <c r="D940" s="3">
        <v>3</v>
      </c>
      <c r="E940" t="s">
        <v>885</v>
      </c>
      <c r="F940" t="s">
        <v>894</v>
      </c>
      <c r="G940" t="s">
        <v>898</v>
      </c>
      <c r="H940" s="6">
        <f>_xlfn.XLOOKUP(A940,Orders[OrderID],Orders[OrderDate])</f>
        <v>43324</v>
      </c>
      <c r="I940" t="str">
        <f>_xlfn.XLOOKUP(A940,Orders[OrderID],Orders[CustomerName])</f>
        <v>Nitant</v>
      </c>
      <c r="J940" t="str">
        <f>_xlfn.XLOOKUP(A940,Orders[OrderID],Orders[State])</f>
        <v>Rajasthan</v>
      </c>
      <c r="K940" t="str">
        <f>_xlfn.XLOOKUP(A940,Orders[OrderID],Orders[City])</f>
        <v>Jaipur</v>
      </c>
      <c r="L940" s="3">
        <f>YEAR(Clean_Data[[#This Row],[OrderDate]])</f>
        <v>2018</v>
      </c>
      <c r="M940" s="3">
        <f>MONTH(Clean_Data[[#This Row],[OrderDate]])</f>
        <v>8</v>
      </c>
      <c r="N940" s="8" t="str">
        <f>TEXT(Clean_Data[[#This Row],[OrderDate]],"mmm")</f>
        <v>Aug</v>
      </c>
      <c r="O940" s="8" t="str">
        <f>TEXT(Clean_Data[[#This Row],[OrderDate]], "yyyy-mm")</f>
        <v>2018-08</v>
      </c>
      <c r="P940" s="7">
        <f>Clean_Data[[#This Row],[Profit]]/Clean_Data[[#This Row],[Revenue ]]</f>
        <v>0.25892857142857145</v>
      </c>
      <c r="Q940" t="str">
        <f>"Q"&amp;ROUNDUP(MONTH(Clean_Data[[#This Row],[OrderDate]])/3,0)</f>
        <v>Q3</v>
      </c>
      <c r="R940" t="str">
        <f>TEXT(Clean_Data[[#This Row],[OrderDate]], "dddd")</f>
        <v>Sunday</v>
      </c>
    </row>
    <row r="941" spans="1:18" x14ac:dyDescent="0.25">
      <c r="A941" t="s">
        <v>567</v>
      </c>
      <c r="B941" s="4">
        <v>193</v>
      </c>
      <c r="C941" s="4">
        <v>8</v>
      </c>
      <c r="D941" s="3">
        <v>4</v>
      </c>
      <c r="E941" t="s">
        <v>895</v>
      </c>
      <c r="F941" t="s">
        <v>906</v>
      </c>
      <c r="G941" t="s">
        <v>898</v>
      </c>
      <c r="H941" s="6">
        <f>_xlfn.XLOOKUP(A941,Orders[OrderID],Orders[OrderDate])</f>
        <v>43125</v>
      </c>
      <c r="I941" t="str">
        <f>_xlfn.XLOOKUP(A941,Orders[OrderID],Orders[CustomerName])</f>
        <v>Piyam</v>
      </c>
      <c r="J941" t="str">
        <f>_xlfn.XLOOKUP(A941,Orders[OrderID],Orders[State])</f>
        <v>Punjab</v>
      </c>
      <c r="K941" t="str">
        <f>_xlfn.XLOOKUP(A941,Orders[OrderID],Orders[City])</f>
        <v>Amritsar</v>
      </c>
      <c r="L941" s="3">
        <f>YEAR(Clean_Data[[#This Row],[OrderDate]])</f>
        <v>2018</v>
      </c>
      <c r="M941" s="3">
        <f>MONTH(Clean_Data[[#This Row],[OrderDate]])</f>
        <v>1</v>
      </c>
      <c r="N941" s="8" t="str">
        <f>TEXT(Clean_Data[[#This Row],[OrderDate]],"mmm")</f>
        <v>Jan</v>
      </c>
      <c r="O941" s="8" t="str">
        <f>TEXT(Clean_Data[[#This Row],[OrderDate]], "yyyy-mm")</f>
        <v>2018-01</v>
      </c>
      <c r="P941" s="7">
        <f>Clean_Data[[#This Row],[Profit]]/Clean_Data[[#This Row],[Revenue ]]</f>
        <v>4.145077720207254E-2</v>
      </c>
      <c r="Q941" t="str">
        <f>"Q"&amp;ROUNDUP(MONTH(Clean_Data[[#This Row],[OrderDate]])/3,0)</f>
        <v>Q1</v>
      </c>
      <c r="R941" t="str">
        <f>TEXT(Clean_Data[[#This Row],[OrderDate]], "dddd")</f>
        <v>Thursday</v>
      </c>
    </row>
    <row r="942" spans="1:18" x14ac:dyDescent="0.25">
      <c r="A942" t="s">
        <v>175</v>
      </c>
      <c r="B942" s="4">
        <v>87</v>
      </c>
      <c r="C942" s="4">
        <v>36</v>
      </c>
      <c r="D942" s="3">
        <v>5</v>
      </c>
      <c r="E942" t="s">
        <v>895</v>
      </c>
      <c r="F942" t="s">
        <v>903</v>
      </c>
      <c r="G942" t="s">
        <v>893</v>
      </c>
      <c r="H942" s="6">
        <f>_xlfn.XLOOKUP(A942,Orders[OrderID],Orders[OrderDate])</f>
        <v>43114</v>
      </c>
      <c r="I942" t="str">
        <f>_xlfn.XLOOKUP(A942,Orders[OrderID],Orders[CustomerName])</f>
        <v>Krutika</v>
      </c>
      <c r="J942" t="str">
        <f>_xlfn.XLOOKUP(A942,Orders[OrderID],Orders[State])</f>
        <v>Andhra Pradesh</v>
      </c>
      <c r="K942" t="str">
        <f>_xlfn.XLOOKUP(A942,Orders[OrderID],Orders[City])</f>
        <v>Hyderabad</v>
      </c>
      <c r="L942" s="3">
        <f>YEAR(Clean_Data[[#This Row],[OrderDate]])</f>
        <v>2018</v>
      </c>
      <c r="M942" s="3">
        <f>MONTH(Clean_Data[[#This Row],[OrderDate]])</f>
        <v>1</v>
      </c>
      <c r="N942" s="8" t="str">
        <f>TEXT(Clean_Data[[#This Row],[OrderDate]],"mmm")</f>
        <v>Jan</v>
      </c>
      <c r="O942" s="8" t="str">
        <f>TEXT(Clean_Data[[#This Row],[OrderDate]], "yyyy-mm")</f>
        <v>2018-01</v>
      </c>
      <c r="P942" s="7">
        <f>Clean_Data[[#This Row],[Profit]]/Clean_Data[[#This Row],[Revenue ]]</f>
        <v>0.41379310344827586</v>
      </c>
      <c r="Q942" t="str">
        <f>"Q"&amp;ROUNDUP(MONTH(Clean_Data[[#This Row],[OrderDate]])/3,0)</f>
        <v>Q1</v>
      </c>
      <c r="R942" t="str">
        <f>TEXT(Clean_Data[[#This Row],[OrderDate]], "dddd")</f>
        <v>Sunday</v>
      </c>
    </row>
    <row r="943" spans="1:18" x14ac:dyDescent="0.25">
      <c r="A943" t="s">
        <v>476</v>
      </c>
      <c r="B943" s="4">
        <v>189</v>
      </c>
      <c r="C943" s="4">
        <v>4</v>
      </c>
      <c r="D943" s="3">
        <v>1</v>
      </c>
      <c r="E943" t="s">
        <v>895</v>
      </c>
      <c r="F943" t="s">
        <v>897</v>
      </c>
      <c r="G943" t="s">
        <v>898</v>
      </c>
      <c r="H943" s="6">
        <f>_xlfn.XLOOKUP(A943,Orders[OrderID],Orders[OrderDate])</f>
        <v>43135</v>
      </c>
      <c r="I943" t="str">
        <f>_xlfn.XLOOKUP(A943,Orders[OrderID],Orders[CustomerName])</f>
        <v>Prashant</v>
      </c>
      <c r="J943" t="str">
        <f>_xlfn.XLOOKUP(A943,Orders[OrderID],Orders[State])</f>
        <v>Delhi</v>
      </c>
      <c r="K943" t="str">
        <f>_xlfn.XLOOKUP(A943,Orders[OrderID],Orders[City])</f>
        <v>Delhi</v>
      </c>
      <c r="L943" s="3">
        <f>YEAR(Clean_Data[[#This Row],[OrderDate]])</f>
        <v>2018</v>
      </c>
      <c r="M943" s="3">
        <f>MONTH(Clean_Data[[#This Row],[OrderDate]])</f>
        <v>2</v>
      </c>
      <c r="N943" s="8" t="str">
        <f>TEXT(Clean_Data[[#This Row],[OrderDate]],"mmm")</f>
        <v>Feb</v>
      </c>
      <c r="O943" s="8" t="str">
        <f>TEXT(Clean_Data[[#This Row],[OrderDate]], "yyyy-mm")</f>
        <v>2018-02</v>
      </c>
      <c r="P943" s="7">
        <f>Clean_Data[[#This Row],[Profit]]/Clean_Data[[#This Row],[Revenue ]]</f>
        <v>2.1164021164021163E-2</v>
      </c>
      <c r="Q943" t="str">
        <f>"Q"&amp;ROUNDUP(MONTH(Clean_Data[[#This Row],[OrderDate]])/3,0)</f>
        <v>Q1</v>
      </c>
      <c r="R943" t="str">
        <f>TEXT(Clean_Data[[#This Row],[OrderDate]], "dddd")</f>
        <v>Sunday</v>
      </c>
    </row>
    <row r="944" spans="1:18" x14ac:dyDescent="0.25">
      <c r="A944" t="s">
        <v>116</v>
      </c>
      <c r="B944" s="4">
        <v>55</v>
      </c>
      <c r="C944" s="4">
        <v>-33</v>
      </c>
      <c r="D944" s="3">
        <v>2</v>
      </c>
      <c r="E944" t="s">
        <v>888</v>
      </c>
      <c r="F944" t="s">
        <v>889</v>
      </c>
      <c r="G944" t="s">
        <v>887</v>
      </c>
      <c r="H944" s="6">
        <f>_xlfn.XLOOKUP(A944,Orders[OrderID],Orders[OrderDate])</f>
        <v>43293</v>
      </c>
      <c r="I944" t="str">
        <f>_xlfn.XLOOKUP(A944,Orders[OrderID],Orders[CustomerName])</f>
        <v>Manshul</v>
      </c>
      <c r="J944" t="str">
        <f>_xlfn.XLOOKUP(A944,Orders[OrderID],Orders[State])</f>
        <v>Uttar Pradesh</v>
      </c>
      <c r="K944" t="str">
        <f>_xlfn.XLOOKUP(A944,Orders[OrderID],Orders[City])</f>
        <v>Lucknow</v>
      </c>
      <c r="L944" s="3">
        <f>YEAR(Clean_Data[[#This Row],[OrderDate]])</f>
        <v>2018</v>
      </c>
      <c r="M944" s="3">
        <f>MONTH(Clean_Data[[#This Row],[OrderDate]])</f>
        <v>7</v>
      </c>
      <c r="N944" s="8" t="str">
        <f>TEXT(Clean_Data[[#This Row],[OrderDate]],"mmm")</f>
        <v>Jul</v>
      </c>
      <c r="O944" s="8" t="str">
        <f>TEXT(Clean_Data[[#This Row],[OrderDate]], "yyyy-mm")</f>
        <v>2018-07</v>
      </c>
      <c r="P944" s="7">
        <f>Clean_Data[[#This Row],[Profit]]/Clean_Data[[#This Row],[Revenue ]]</f>
        <v>-0.6</v>
      </c>
      <c r="Q944" t="str">
        <f>"Q"&amp;ROUNDUP(MONTH(Clean_Data[[#This Row],[OrderDate]])/3,0)</f>
        <v>Q3</v>
      </c>
      <c r="R944" t="str">
        <f>TEXT(Clean_Data[[#This Row],[OrderDate]], "dddd")</f>
        <v>Thursday</v>
      </c>
    </row>
    <row r="945" spans="1:18" x14ac:dyDescent="0.25">
      <c r="A945" t="s">
        <v>739</v>
      </c>
      <c r="B945" s="4">
        <v>85</v>
      </c>
      <c r="C945" s="4">
        <v>-1</v>
      </c>
      <c r="D945" s="3">
        <v>3</v>
      </c>
      <c r="E945" t="s">
        <v>895</v>
      </c>
      <c r="F945" t="s">
        <v>897</v>
      </c>
      <c r="G945" t="s">
        <v>893</v>
      </c>
      <c r="H945" s="6">
        <f>_xlfn.XLOOKUP(A945,Orders[OrderID],Orders[OrderDate])</f>
        <v>43419</v>
      </c>
      <c r="I945" t="str">
        <f>_xlfn.XLOOKUP(A945,Orders[OrderID],Orders[CustomerName])</f>
        <v>Arun</v>
      </c>
      <c r="J945" t="str">
        <f>_xlfn.XLOOKUP(A945,Orders[OrderID],Orders[State])</f>
        <v>Madhya Pradesh</v>
      </c>
      <c r="K945" t="str">
        <f>_xlfn.XLOOKUP(A945,Orders[OrderID],Orders[City])</f>
        <v>Indore</v>
      </c>
      <c r="L945" s="3">
        <f>YEAR(Clean_Data[[#This Row],[OrderDate]])</f>
        <v>2018</v>
      </c>
      <c r="M945" s="3">
        <f>MONTH(Clean_Data[[#This Row],[OrderDate]])</f>
        <v>11</v>
      </c>
      <c r="N945" s="8" t="str">
        <f>TEXT(Clean_Data[[#This Row],[OrderDate]],"mmm")</f>
        <v>Nov</v>
      </c>
      <c r="O945" s="8" t="str">
        <f>TEXT(Clean_Data[[#This Row],[OrderDate]], "yyyy-mm")</f>
        <v>2018-11</v>
      </c>
      <c r="P945" s="7">
        <f>Clean_Data[[#This Row],[Profit]]/Clean_Data[[#This Row],[Revenue ]]</f>
        <v>-1.1764705882352941E-2</v>
      </c>
      <c r="Q945" t="str">
        <f>"Q"&amp;ROUNDUP(MONTH(Clean_Data[[#This Row],[OrderDate]])/3,0)</f>
        <v>Q4</v>
      </c>
      <c r="R945" t="str">
        <f>TEXT(Clean_Data[[#This Row],[OrderDate]], "dddd")</f>
        <v>Thursday</v>
      </c>
    </row>
    <row r="946" spans="1:18" x14ac:dyDescent="0.25">
      <c r="A946" t="s">
        <v>309</v>
      </c>
      <c r="B946" s="4">
        <v>252</v>
      </c>
      <c r="C946" s="4">
        <v>56</v>
      </c>
      <c r="D946" s="3">
        <v>2</v>
      </c>
      <c r="E946" t="s">
        <v>885</v>
      </c>
      <c r="F946" t="s">
        <v>894</v>
      </c>
      <c r="G946" t="s">
        <v>898</v>
      </c>
      <c r="H946" s="6">
        <f>_xlfn.XLOOKUP(A946,Orders[OrderID],Orders[OrderDate])</f>
        <v>43118</v>
      </c>
      <c r="I946" t="str">
        <f>_xlfn.XLOOKUP(A946,Orders[OrderID],Orders[CustomerName])</f>
        <v>Muskan</v>
      </c>
      <c r="J946" t="str">
        <f>_xlfn.XLOOKUP(A946,Orders[OrderID],Orders[State])</f>
        <v>Madhya Pradesh</v>
      </c>
      <c r="K946" t="str">
        <f>_xlfn.XLOOKUP(A946,Orders[OrderID],Orders[City])</f>
        <v>Indore</v>
      </c>
      <c r="L946" s="3">
        <f>YEAR(Clean_Data[[#This Row],[OrderDate]])</f>
        <v>2018</v>
      </c>
      <c r="M946" s="3">
        <f>MONTH(Clean_Data[[#This Row],[OrderDate]])</f>
        <v>1</v>
      </c>
      <c r="N946" s="8" t="str">
        <f>TEXT(Clean_Data[[#This Row],[OrderDate]],"mmm")</f>
        <v>Jan</v>
      </c>
      <c r="O946" s="8" t="str">
        <f>TEXT(Clean_Data[[#This Row],[OrderDate]], "yyyy-mm")</f>
        <v>2018-01</v>
      </c>
      <c r="P946" s="7">
        <f>Clean_Data[[#This Row],[Profit]]/Clean_Data[[#This Row],[Revenue ]]</f>
        <v>0.22222222222222221</v>
      </c>
      <c r="Q946" t="str">
        <f>"Q"&amp;ROUNDUP(MONTH(Clean_Data[[#This Row],[OrderDate]])/3,0)</f>
        <v>Q1</v>
      </c>
      <c r="R946" t="str">
        <f>TEXT(Clean_Data[[#This Row],[OrderDate]], "dddd")</f>
        <v>Thursday</v>
      </c>
    </row>
    <row r="947" spans="1:18" x14ac:dyDescent="0.25">
      <c r="A947" t="s">
        <v>142</v>
      </c>
      <c r="B947" s="4">
        <v>197</v>
      </c>
      <c r="C947" s="4">
        <v>73</v>
      </c>
      <c r="D947" s="3">
        <v>1</v>
      </c>
      <c r="E947" t="s">
        <v>888</v>
      </c>
      <c r="F947" t="s">
        <v>891</v>
      </c>
      <c r="G947" t="s">
        <v>887</v>
      </c>
      <c r="H947" s="6">
        <f>_xlfn.XLOOKUP(A947,Orders[OrderID],Orders[OrderDate])</f>
        <v>43412</v>
      </c>
      <c r="I947" t="str">
        <f>_xlfn.XLOOKUP(A947,Orders[OrderID],Orders[CustomerName])</f>
        <v>Abhijeet</v>
      </c>
      <c r="J947" t="str">
        <f>_xlfn.XLOOKUP(A947,Orders[OrderID],Orders[State])</f>
        <v>Madhya Pradesh</v>
      </c>
      <c r="K947" t="str">
        <f>_xlfn.XLOOKUP(A947,Orders[OrderID],Orders[City])</f>
        <v>Bhopal</v>
      </c>
      <c r="L947" s="3">
        <f>YEAR(Clean_Data[[#This Row],[OrderDate]])</f>
        <v>2018</v>
      </c>
      <c r="M947" s="3">
        <f>MONTH(Clean_Data[[#This Row],[OrderDate]])</f>
        <v>11</v>
      </c>
      <c r="N947" s="8" t="str">
        <f>TEXT(Clean_Data[[#This Row],[OrderDate]],"mmm")</f>
        <v>Nov</v>
      </c>
      <c r="O947" s="8" t="str">
        <f>TEXT(Clean_Data[[#This Row],[OrderDate]], "yyyy-mm")</f>
        <v>2018-11</v>
      </c>
      <c r="P947" s="7">
        <f>Clean_Data[[#This Row],[Profit]]/Clean_Data[[#This Row],[Revenue ]]</f>
        <v>0.37055837563451777</v>
      </c>
      <c r="Q947" t="str">
        <f>"Q"&amp;ROUNDUP(MONTH(Clean_Data[[#This Row],[OrderDate]])/3,0)</f>
        <v>Q4</v>
      </c>
      <c r="R947" t="str">
        <f>TEXT(Clean_Data[[#This Row],[OrderDate]], "dddd")</f>
        <v>Thursday</v>
      </c>
    </row>
    <row r="948" spans="1:18" x14ac:dyDescent="0.25">
      <c r="A948" t="s">
        <v>537</v>
      </c>
      <c r="B948" s="4">
        <v>17</v>
      </c>
      <c r="C948" s="4">
        <v>-3</v>
      </c>
      <c r="D948" s="3">
        <v>2</v>
      </c>
      <c r="E948" t="s">
        <v>895</v>
      </c>
      <c r="F948" t="s">
        <v>903</v>
      </c>
      <c r="G948" t="s">
        <v>898</v>
      </c>
      <c r="H948" s="6">
        <f>_xlfn.XLOOKUP(A948,Orders[OrderID],Orders[OrderDate])</f>
        <v>43279</v>
      </c>
      <c r="I948" t="str">
        <f>_xlfn.XLOOKUP(A948,Orders[OrderID],Orders[CustomerName])</f>
        <v>Ekta</v>
      </c>
      <c r="J948" t="str">
        <f>_xlfn.XLOOKUP(A948,Orders[OrderID],Orders[State])</f>
        <v>Madhya Pradesh</v>
      </c>
      <c r="K948" t="str">
        <f>_xlfn.XLOOKUP(A948,Orders[OrderID],Orders[City])</f>
        <v>Indore</v>
      </c>
      <c r="L948" s="3">
        <f>YEAR(Clean_Data[[#This Row],[OrderDate]])</f>
        <v>2018</v>
      </c>
      <c r="M948" s="3">
        <f>MONTH(Clean_Data[[#This Row],[OrderDate]])</f>
        <v>6</v>
      </c>
      <c r="N948" s="8" t="str">
        <f>TEXT(Clean_Data[[#This Row],[OrderDate]],"mmm")</f>
        <v>Jun</v>
      </c>
      <c r="O948" s="8" t="str">
        <f>TEXT(Clean_Data[[#This Row],[OrderDate]], "yyyy-mm")</f>
        <v>2018-06</v>
      </c>
      <c r="P948" s="7">
        <f>Clean_Data[[#This Row],[Profit]]/Clean_Data[[#This Row],[Revenue ]]</f>
        <v>-0.17647058823529413</v>
      </c>
      <c r="Q948" t="str">
        <f>"Q"&amp;ROUNDUP(MONTH(Clean_Data[[#This Row],[OrderDate]])/3,0)</f>
        <v>Q2</v>
      </c>
      <c r="R948" t="str">
        <f>TEXT(Clean_Data[[#This Row],[OrderDate]], "dddd")</f>
        <v>Thursday</v>
      </c>
    </row>
    <row r="949" spans="1:18" x14ac:dyDescent="0.25">
      <c r="A949" t="s">
        <v>713</v>
      </c>
      <c r="B949" s="4">
        <v>100</v>
      </c>
      <c r="C949" s="4">
        <v>28</v>
      </c>
      <c r="D949" s="3">
        <v>2</v>
      </c>
      <c r="E949" t="s">
        <v>895</v>
      </c>
      <c r="F949" t="s">
        <v>899</v>
      </c>
      <c r="G949" t="s">
        <v>898</v>
      </c>
      <c r="H949" s="6">
        <f>_xlfn.XLOOKUP(A949,Orders[OrderID],Orders[OrderDate])</f>
        <v>43164</v>
      </c>
      <c r="I949" t="str">
        <f>_xlfn.XLOOKUP(A949,Orders[OrderID],Orders[CustomerName])</f>
        <v>Lisha</v>
      </c>
      <c r="J949" t="str">
        <f>_xlfn.XLOOKUP(A949,Orders[OrderID],Orders[State])</f>
        <v>Madhya Pradesh</v>
      </c>
      <c r="K949" t="str">
        <f>_xlfn.XLOOKUP(A949,Orders[OrderID],Orders[City])</f>
        <v>Bhopal</v>
      </c>
      <c r="L949" s="3">
        <f>YEAR(Clean_Data[[#This Row],[OrderDate]])</f>
        <v>2018</v>
      </c>
      <c r="M949" s="3">
        <f>MONTH(Clean_Data[[#This Row],[OrderDate]])</f>
        <v>3</v>
      </c>
      <c r="N949" s="8" t="str">
        <f>TEXT(Clean_Data[[#This Row],[OrderDate]],"mmm")</f>
        <v>Mar</v>
      </c>
      <c r="O949" s="8" t="str">
        <f>TEXT(Clean_Data[[#This Row],[OrderDate]], "yyyy-mm")</f>
        <v>2018-03</v>
      </c>
      <c r="P949" s="7">
        <f>Clean_Data[[#This Row],[Profit]]/Clean_Data[[#This Row],[Revenue ]]</f>
        <v>0.28000000000000003</v>
      </c>
      <c r="Q949" t="str">
        <f>"Q"&amp;ROUNDUP(MONTH(Clean_Data[[#This Row],[OrderDate]])/3,0)</f>
        <v>Q1</v>
      </c>
      <c r="R949" t="str">
        <f>TEXT(Clean_Data[[#This Row],[OrderDate]], "dddd")</f>
        <v>Monday</v>
      </c>
    </row>
    <row r="950" spans="1:18" x14ac:dyDescent="0.25">
      <c r="A950" t="s">
        <v>71</v>
      </c>
      <c r="B950" s="4">
        <v>80</v>
      </c>
      <c r="C950" s="4">
        <v>-19</v>
      </c>
      <c r="D950" s="3">
        <v>5</v>
      </c>
      <c r="E950" t="s">
        <v>895</v>
      </c>
      <c r="F950" t="s">
        <v>903</v>
      </c>
      <c r="G950" t="s">
        <v>898</v>
      </c>
      <c r="H950" s="6">
        <f>_xlfn.XLOOKUP(A950,Orders[OrderID],Orders[OrderDate])</f>
        <v>43331</v>
      </c>
      <c r="I950" t="str">
        <f>_xlfn.XLOOKUP(A950,Orders[OrderID],Orders[CustomerName])</f>
        <v>Shourya</v>
      </c>
      <c r="J950" t="str">
        <f>_xlfn.XLOOKUP(A950,Orders[OrderID],Orders[State])</f>
        <v xml:space="preserve">Kerala </v>
      </c>
      <c r="K950" t="str">
        <f>_xlfn.XLOOKUP(A950,Orders[OrderID],Orders[City])</f>
        <v>Thiruvananthapuram</v>
      </c>
      <c r="L950" s="3">
        <f>YEAR(Clean_Data[[#This Row],[OrderDate]])</f>
        <v>2018</v>
      </c>
      <c r="M950" s="3">
        <f>MONTH(Clean_Data[[#This Row],[OrderDate]])</f>
        <v>8</v>
      </c>
      <c r="N950" s="8" t="str">
        <f>TEXT(Clean_Data[[#This Row],[OrderDate]],"mmm")</f>
        <v>Aug</v>
      </c>
      <c r="O950" s="8" t="str">
        <f>TEXT(Clean_Data[[#This Row],[OrderDate]], "yyyy-mm")</f>
        <v>2018-08</v>
      </c>
      <c r="P950" s="7">
        <f>Clean_Data[[#This Row],[Profit]]/Clean_Data[[#This Row],[Revenue ]]</f>
        <v>-0.23749999999999999</v>
      </c>
      <c r="Q950" t="str">
        <f>"Q"&amp;ROUNDUP(MONTH(Clean_Data[[#This Row],[OrderDate]])/3,0)</f>
        <v>Q3</v>
      </c>
      <c r="R950" t="str">
        <f>TEXT(Clean_Data[[#This Row],[OrderDate]], "dddd")</f>
        <v>Sunday</v>
      </c>
    </row>
    <row r="951" spans="1:18" x14ac:dyDescent="0.25">
      <c r="A951" t="s">
        <v>351</v>
      </c>
      <c r="B951" s="4">
        <v>75</v>
      </c>
      <c r="C951" s="4">
        <v>29</v>
      </c>
      <c r="D951" s="3">
        <v>1</v>
      </c>
      <c r="E951" t="s">
        <v>895</v>
      </c>
      <c r="F951" t="s">
        <v>896</v>
      </c>
      <c r="G951" t="s">
        <v>898</v>
      </c>
      <c r="H951" s="6">
        <f>_xlfn.XLOOKUP(A951,Orders[OrderID],Orders[OrderDate])</f>
        <v>43177</v>
      </c>
      <c r="I951" t="str">
        <f>_xlfn.XLOOKUP(A951,Orders[OrderID],Orders[CustomerName])</f>
        <v>Shruti</v>
      </c>
      <c r="J951" t="str">
        <f>_xlfn.XLOOKUP(A951,Orders[OrderID],Orders[State])</f>
        <v>Karnataka</v>
      </c>
      <c r="K951" t="str">
        <f>_xlfn.XLOOKUP(A951,Orders[OrderID],Orders[City])</f>
        <v>Bangalore</v>
      </c>
      <c r="L951" s="3">
        <f>YEAR(Clean_Data[[#This Row],[OrderDate]])</f>
        <v>2018</v>
      </c>
      <c r="M951" s="3">
        <f>MONTH(Clean_Data[[#This Row],[OrderDate]])</f>
        <v>3</v>
      </c>
      <c r="N951" s="8" t="str">
        <f>TEXT(Clean_Data[[#This Row],[OrderDate]],"mmm")</f>
        <v>Mar</v>
      </c>
      <c r="O951" s="8" t="str">
        <f>TEXT(Clean_Data[[#This Row],[OrderDate]], "yyyy-mm")</f>
        <v>2018-03</v>
      </c>
      <c r="P951" s="7">
        <f>Clean_Data[[#This Row],[Profit]]/Clean_Data[[#This Row],[Revenue ]]</f>
        <v>0.38666666666666666</v>
      </c>
      <c r="Q951" t="str">
        <f>"Q"&amp;ROUNDUP(MONTH(Clean_Data[[#This Row],[OrderDate]])/3,0)</f>
        <v>Q1</v>
      </c>
      <c r="R951" t="str">
        <f>TEXT(Clean_Data[[#This Row],[OrderDate]], "dddd")</f>
        <v>Sunday</v>
      </c>
    </row>
    <row r="952" spans="1:18" x14ac:dyDescent="0.25">
      <c r="A952" t="s">
        <v>71</v>
      </c>
      <c r="B952" s="4">
        <v>26</v>
      </c>
      <c r="C952" s="4">
        <v>4</v>
      </c>
      <c r="D952" s="3">
        <v>2</v>
      </c>
      <c r="E952" t="s">
        <v>895</v>
      </c>
      <c r="F952" t="s">
        <v>897</v>
      </c>
      <c r="G952" t="s">
        <v>898</v>
      </c>
      <c r="H952" s="6">
        <f>_xlfn.XLOOKUP(A952,Orders[OrderID],Orders[OrderDate])</f>
        <v>43331</v>
      </c>
      <c r="I952" t="str">
        <f>_xlfn.XLOOKUP(A952,Orders[OrderID],Orders[CustomerName])</f>
        <v>Shourya</v>
      </c>
      <c r="J952" t="str">
        <f>_xlfn.XLOOKUP(A952,Orders[OrderID],Orders[State])</f>
        <v xml:space="preserve">Kerala </v>
      </c>
      <c r="K952" t="str">
        <f>_xlfn.XLOOKUP(A952,Orders[OrderID],Orders[City])</f>
        <v>Thiruvananthapuram</v>
      </c>
      <c r="L952" s="3">
        <f>YEAR(Clean_Data[[#This Row],[OrderDate]])</f>
        <v>2018</v>
      </c>
      <c r="M952" s="3">
        <f>MONTH(Clean_Data[[#This Row],[OrderDate]])</f>
        <v>8</v>
      </c>
      <c r="N952" s="8" t="str">
        <f>TEXT(Clean_Data[[#This Row],[OrderDate]],"mmm")</f>
        <v>Aug</v>
      </c>
      <c r="O952" s="8" t="str">
        <f>TEXT(Clean_Data[[#This Row],[OrderDate]], "yyyy-mm")</f>
        <v>2018-08</v>
      </c>
      <c r="P952" s="7">
        <f>Clean_Data[[#This Row],[Profit]]/Clean_Data[[#This Row],[Revenue ]]</f>
        <v>0.15384615384615385</v>
      </c>
      <c r="Q952" t="str">
        <f>"Q"&amp;ROUNDUP(MONTH(Clean_Data[[#This Row],[OrderDate]])/3,0)</f>
        <v>Q3</v>
      </c>
      <c r="R952" t="str">
        <f>TEXT(Clean_Data[[#This Row],[OrderDate]], "dddd")</f>
        <v>Sunday</v>
      </c>
    </row>
    <row r="953" spans="1:18" x14ac:dyDescent="0.25">
      <c r="A953" t="s">
        <v>787</v>
      </c>
      <c r="B953" s="4">
        <v>55</v>
      </c>
      <c r="C953" s="4">
        <v>12</v>
      </c>
      <c r="D953" s="3">
        <v>5</v>
      </c>
      <c r="E953" t="s">
        <v>895</v>
      </c>
      <c r="F953" t="s">
        <v>901</v>
      </c>
      <c r="G953" t="s">
        <v>887</v>
      </c>
      <c r="H953" s="6">
        <f>_xlfn.XLOOKUP(A953,Orders[OrderID],Orders[OrderDate])</f>
        <v>43163</v>
      </c>
      <c r="I953" t="str">
        <f>_xlfn.XLOOKUP(A953,Orders[OrderID],Orders[CustomerName])</f>
        <v>Ashmi</v>
      </c>
      <c r="J953" t="str">
        <f>_xlfn.XLOOKUP(A953,Orders[OrderID],Orders[State])</f>
        <v>Madhya Pradesh</v>
      </c>
      <c r="K953" t="str">
        <f>_xlfn.XLOOKUP(A953,Orders[OrderID],Orders[City])</f>
        <v>Indore</v>
      </c>
      <c r="L953" s="3">
        <f>YEAR(Clean_Data[[#This Row],[OrderDate]])</f>
        <v>2018</v>
      </c>
      <c r="M953" s="3">
        <f>MONTH(Clean_Data[[#This Row],[OrderDate]])</f>
        <v>3</v>
      </c>
      <c r="N953" s="8" t="str">
        <f>TEXT(Clean_Data[[#This Row],[OrderDate]],"mmm")</f>
        <v>Mar</v>
      </c>
      <c r="O953" s="8" t="str">
        <f>TEXT(Clean_Data[[#This Row],[OrderDate]], "yyyy-mm")</f>
        <v>2018-03</v>
      </c>
      <c r="P953" s="7">
        <f>Clean_Data[[#This Row],[Profit]]/Clean_Data[[#This Row],[Revenue ]]</f>
        <v>0.21818181818181817</v>
      </c>
      <c r="Q953" t="str">
        <f>"Q"&amp;ROUNDUP(MONTH(Clean_Data[[#This Row],[OrderDate]])/3,0)</f>
        <v>Q1</v>
      </c>
      <c r="R953" t="str">
        <f>TEXT(Clean_Data[[#This Row],[OrderDate]], "dddd")</f>
        <v>Sunday</v>
      </c>
    </row>
    <row r="954" spans="1:18" x14ac:dyDescent="0.25">
      <c r="A954" t="s">
        <v>610</v>
      </c>
      <c r="B954" s="4">
        <v>157</v>
      </c>
      <c r="C954" s="4">
        <v>5</v>
      </c>
      <c r="D954" s="3">
        <v>9</v>
      </c>
      <c r="E954" t="s">
        <v>895</v>
      </c>
      <c r="F954" t="s">
        <v>897</v>
      </c>
      <c r="G954" t="s">
        <v>898</v>
      </c>
      <c r="H954" s="6">
        <f>_xlfn.XLOOKUP(A954,Orders[OrderID],Orders[OrderDate])</f>
        <v>43193</v>
      </c>
      <c r="I954" t="str">
        <f>_xlfn.XLOOKUP(A954,Orders[OrderID],Orders[CustomerName])</f>
        <v>Divsha</v>
      </c>
      <c r="J954" t="str">
        <f>_xlfn.XLOOKUP(A954,Orders[OrderID],Orders[State])</f>
        <v>Rajasthan</v>
      </c>
      <c r="K954" t="str">
        <f>_xlfn.XLOOKUP(A954,Orders[OrderID],Orders[City])</f>
        <v>Jaipur</v>
      </c>
      <c r="L954" s="3">
        <f>YEAR(Clean_Data[[#This Row],[OrderDate]])</f>
        <v>2018</v>
      </c>
      <c r="M954" s="3">
        <f>MONTH(Clean_Data[[#This Row],[OrderDate]])</f>
        <v>4</v>
      </c>
      <c r="N954" s="8" t="str">
        <f>TEXT(Clean_Data[[#This Row],[OrderDate]],"mmm")</f>
        <v>Apr</v>
      </c>
      <c r="O954" s="8" t="str">
        <f>TEXT(Clean_Data[[#This Row],[OrderDate]], "yyyy-mm")</f>
        <v>2018-04</v>
      </c>
      <c r="P954" s="7">
        <f>Clean_Data[[#This Row],[Profit]]/Clean_Data[[#This Row],[Revenue ]]</f>
        <v>3.1847133757961783E-2</v>
      </c>
      <c r="Q954" t="str">
        <f>"Q"&amp;ROUNDUP(MONTH(Clean_Data[[#This Row],[OrderDate]])/3,0)</f>
        <v>Q2</v>
      </c>
      <c r="R954" t="str">
        <f>TEXT(Clean_Data[[#This Row],[OrderDate]], "dddd")</f>
        <v>Tuesday</v>
      </c>
    </row>
    <row r="955" spans="1:18" x14ac:dyDescent="0.25">
      <c r="A955" t="s">
        <v>258</v>
      </c>
      <c r="B955" s="4">
        <v>200</v>
      </c>
      <c r="C955" s="4">
        <v>-60</v>
      </c>
      <c r="D955" s="3">
        <v>4</v>
      </c>
      <c r="E955" t="s">
        <v>888</v>
      </c>
      <c r="F955" t="s">
        <v>891</v>
      </c>
      <c r="G955" t="s">
        <v>898</v>
      </c>
      <c r="H955" s="6">
        <f>_xlfn.XLOOKUP(A955,Orders[OrderID],Orders[OrderDate])</f>
        <v>43227</v>
      </c>
      <c r="I955" t="str">
        <f>_xlfn.XLOOKUP(A955,Orders[OrderID],Orders[CustomerName])</f>
        <v>Anurag</v>
      </c>
      <c r="J955" t="str">
        <f>_xlfn.XLOOKUP(A955,Orders[OrderID],Orders[State])</f>
        <v>Madhya Pradesh</v>
      </c>
      <c r="K955" t="str">
        <f>_xlfn.XLOOKUP(A955,Orders[OrderID],Orders[City])</f>
        <v>Indore</v>
      </c>
      <c r="L955" s="3">
        <f>YEAR(Clean_Data[[#This Row],[OrderDate]])</f>
        <v>2018</v>
      </c>
      <c r="M955" s="3">
        <f>MONTH(Clean_Data[[#This Row],[OrderDate]])</f>
        <v>5</v>
      </c>
      <c r="N955" s="8" t="str">
        <f>TEXT(Clean_Data[[#This Row],[OrderDate]],"mmm")</f>
        <v>May</v>
      </c>
      <c r="O955" s="8" t="str">
        <f>TEXT(Clean_Data[[#This Row],[OrderDate]], "yyyy-mm")</f>
        <v>2018-05</v>
      </c>
      <c r="P955" s="7">
        <f>Clean_Data[[#This Row],[Profit]]/Clean_Data[[#This Row],[Revenue ]]</f>
        <v>-0.3</v>
      </c>
      <c r="Q955" t="str">
        <f>"Q"&amp;ROUNDUP(MONTH(Clean_Data[[#This Row],[OrderDate]])/3,0)</f>
        <v>Q2</v>
      </c>
      <c r="R955" t="str">
        <f>TEXT(Clean_Data[[#This Row],[OrderDate]], "dddd")</f>
        <v>Monday</v>
      </c>
    </row>
    <row r="956" spans="1:18" x14ac:dyDescent="0.25">
      <c r="A956" t="s">
        <v>354</v>
      </c>
      <c r="B956" s="4">
        <v>230</v>
      </c>
      <c r="C956" s="4">
        <v>5</v>
      </c>
      <c r="D956" s="3">
        <v>2</v>
      </c>
      <c r="E956" t="s">
        <v>895</v>
      </c>
      <c r="F956" t="s">
        <v>897</v>
      </c>
      <c r="G956" t="s">
        <v>898</v>
      </c>
      <c r="H956" s="6">
        <f>_xlfn.XLOOKUP(A956,Orders[OrderID],Orders[OrderDate])</f>
        <v>43130</v>
      </c>
      <c r="I956" t="str">
        <f>_xlfn.XLOOKUP(A956,Orders[OrderID],Orders[CustomerName])</f>
        <v>Atul</v>
      </c>
      <c r="J956" t="str">
        <f>_xlfn.XLOOKUP(A956,Orders[OrderID],Orders[State])</f>
        <v>Delhi</v>
      </c>
      <c r="K956" t="str">
        <f>_xlfn.XLOOKUP(A956,Orders[OrderID],Orders[City])</f>
        <v>Delhi</v>
      </c>
      <c r="L956" s="3">
        <f>YEAR(Clean_Data[[#This Row],[OrderDate]])</f>
        <v>2018</v>
      </c>
      <c r="M956" s="3">
        <f>MONTH(Clean_Data[[#This Row],[OrderDate]])</f>
        <v>1</v>
      </c>
      <c r="N956" s="8" t="str">
        <f>TEXT(Clean_Data[[#This Row],[OrderDate]],"mmm")</f>
        <v>Jan</v>
      </c>
      <c r="O956" s="8" t="str">
        <f>TEXT(Clean_Data[[#This Row],[OrderDate]], "yyyy-mm")</f>
        <v>2018-01</v>
      </c>
      <c r="P956" s="7">
        <f>Clean_Data[[#This Row],[Profit]]/Clean_Data[[#This Row],[Revenue ]]</f>
        <v>2.1739130434782608E-2</v>
      </c>
      <c r="Q956" t="str">
        <f>"Q"&amp;ROUNDUP(MONTH(Clean_Data[[#This Row],[OrderDate]])/3,0)</f>
        <v>Q1</v>
      </c>
      <c r="R956" t="str">
        <f>TEXT(Clean_Data[[#This Row],[OrderDate]], "dddd")</f>
        <v>Tuesday</v>
      </c>
    </row>
    <row r="957" spans="1:18" x14ac:dyDescent="0.25">
      <c r="A957" t="s">
        <v>425</v>
      </c>
      <c r="B957" s="4">
        <v>213</v>
      </c>
      <c r="C957" s="4">
        <v>-145</v>
      </c>
      <c r="D957" s="3">
        <v>3</v>
      </c>
      <c r="E957" t="s">
        <v>888</v>
      </c>
      <c r="F957" t="s">
        <v>891</v>
      </c>
      <c r="G957" t="s">
        <v>907</v>
      </c>
      <c r="H957" s="6">
        <f>_xlfn.XLOOKUP(A957,Orders[OrderID],Orders[OrderDate])</f>
        <v>43169</v>
      </c>
      <c r="I957" t="str">
        <f>_xlfn.XLOOKUP(A957,Orders[OrderID],Orders[CustomerName])</f>
        <v>Sonal</v>
      </c>
      <c r="J957" t="str">
        <f>_xlfn.XLOOKUP(A957,Orders[OrderID],Orders[State])</f>
        <v>Bihar</v>
      </c>
      <c r="K957" t="str">
        <f>_xlfn.XLOOKUP(A957,Orders[OrderID],Orders[City])</f>
        <v>Patna</v>
      </c>
      <c r="L957" s="3">
        <f>YEAR(Clean_Data[[#This Row],[OrderDate]])</f>
        <v>2018</v>
      </c>
      <c r="M957" s="3">
        <f>MONTH(Clean_Data[[#This Row],[OrderDate]])</f>
        <v>3</v>
      </c>
      <c r="N957" s="8" t="str">
        <f>TEXT(Clean_Data[[#This Row],[OrderDate]],"mmm")</f>
        <v>Mar</v>
      </c>
      <c r="O957" s="8" t="str">
        <f>TEXT(Clean_Data[[#This Row],[OrderDate]], "yyyy-mm")</f>
        <v>2018-03</v>
      </c>
      <c r="P957" s="7">
        <f>Clean_Data[[#This Row],[Profit]]/Clean_Data[[#This Row],[Revenue ]]</f>
        <v>-0.68075117370892024</v>
      </c>
      <c r="Q957" t="str">
        <f>"Q"&amp;ROUNDUP(MONTH(Clean_Data[[#This Row],[OrderDate]])/3,0)</f>
        <v>Q1</v>
      </c>
      <c r="R957" t="str">
        <f>TEXT(Clean_Data[[#This Row],[OrderDate]], "dddd")</f>
        <v>Saturday</v>
      </c>
    </row>
    <row r="958" spans="1:18" x14ac:dyDescent="0.25">
      <c r="A958" t="s">
        <v>785</v>
      </c>
      <c r="B958" s="4">
        <v>55</v>
      </c>
      <c r="C958" s="4">
        <v>4</v>
      </c>
      <c r="D958" s="3">
        <v>2</v>
      </c>
      <c r="E958" t="s">
        <v>895</v>
      </c>
      <c r="F958" t="s">
        <v>903</v>
      </c>
      <c r="G958" t="s">
        <v>887</v>
      </c>
      <c r="H958" s="6">
        <f>_xlfn.XLOOKUP(A958,Orders[OrderID],Orders[OrderDate])</f>
        <v>43106</v>
      </c>
      <c r="I958" t="str">
        <f>_xlfn.XLOOKUP(A958,Orders[OrderID],Orders[CustomerName])</f>
        <v>Vivek</v>
      </c>
      <c r="J958" t="str">
        <f>_xlfn.XLOOKUP(A958,Orders[OrderID],Orders[State])</f>
        <v>Goa</v>
      </c>
      <c r="K958" t="str">
        <f>_xlfn.XLOOKUP(A958,Orders[OrderID],Orders[City])</f>
        <v>Goa</v>
      </c>
      <c r="L958" s="3">
        <f>YEAR(Clean_Data[[#This Row],[OrderDate]])</f>
        <v>2018</v>
      </c>
      <c r="M958" s="3">
        <f>MONTH(Clean_Data[[#This Row],[OrderDate]])</f>
        <v>1</v>
      </c>
      <c r="N958" s="8" t="str">
        <f>TEXT(Clean_Data[[#This Row],[OrderDate]],"mmm")</f>
        <v>Jan</v>
      </c>
      <c r="O958" s="8" t="str">
        <f>TEXT(Clean_Data[[#This Row],[OrderDate]], "yyyy-mm")</f>
        <v>2018-01</v>
      </c>
      <c r="P958" s="7">
        <f>Clean_Data[[#This Row],[Profit]]/Clean_Data[[#This Row],[Revenue ]]</f>
        <v>7.2727272727272724E-2</v>
      </c>
      <c r="Q958" t="str">
        <f>"Q"&amp;ROUNDUP(MONTH(Clean_Data[[#This Row],[OrderDate]])/3,0)</f>
        <v>Q1</v>
      </c>
      <c r="R958" t="str">
        <f>TEXT(Clean_Data[[#This Row],[OrderDate]], "dddd")</f>
        <v>Saturday</v>
      </c>
    </row>
    <row r="959" spans="1:18" x14ac:dyDescent="0.25">
      <c r="A959" t="s">
        <v>543</v>
      </c>
      <c r="B959" s="4">
        <v>220</v>
      </c>
      <c r="C959" s="4">
        <v>-19</v>
      </c>
      <c r="D959" s="3">
        <v>2</v>
      </c>
      <c r="E959" t="s">
        <v>895</v>
      </c>
      <c r="F959" t="s">
        <v>897</v>
      </c>
      <c r="G959" t="s">
        <v>907</v>
      </c>
      <c r="H959" s="6">
        <f>_xlfn.XLOOKUP(A959,Orders[OrderID],Orders[OrderDate])</f>
        <v>43342</v>
      </c>
      <c r="I959" t="str">
        <f>_xlfn.XLOOKUP(A959,Orders[OrderID],Orders[CustomerName])</f>
        <v>Surabhi</v>
      </c>
      <c r="J959" t="str">
        <f>_xlfn.XLOOKUP(A959,Orders[OrderID],Orders[State])</f>
        <v>Rajasthan</v>
      </c>
      <c r="K959" t="str">
        <f>_xlfn.XLOOKUP(A959,Orders[OrderID],Orders[City])</f>
        <v>Jaipur</v>
      </c>
      <c r="L959" s="3">
        <f>YEAR(Clean_Data[[#This Row],[OrderDate]])</f>
        <v>2018</v>
      </c>
      <c r="M959" s="3">
        <f>MONTH(Clean_Data[[#This Row],[OrderDate]])</f>
        <v>8</v>
      </c>
      <c r="N959" s="8" t="str">
        <f>TEXT(Clean_Data[[#This Row],[OrderDate]],"mmm")</f>
        <v>Aug</v>
      </c>
      <c r="O959" s="8" t="str">
        <f>TEXT(Clean_Data[[#This Row],[OrderDate]], "yyyy-mm")</f>
        <v>2018-08</v>
      </c>
      <c r="P959" s="7">
        <f>Clean_Data[[#This Row],[Profit]]/Clean_Data[[#This Row],[Revenue ]]</f>
        <v>-8.6363636363636365E-2</v>
      </c>
      <c r="Q959" t="str">
        <f>"Q"&amp;ROUNDUP(MONTH(Clean_Data[[#This Row],[OrderDate]])/3,0)</f>
        <v>Q3</v>
      </c>
      <c r="R959" t="str">
        <f>TEXT(Clean_Data[[#This Row],[OrderDate]], "dddd")</f>
        <v>Thursday</v>
      </c>
    </row>
    <row r="960" spans="1:18" x14ac:dyDescent="0.25">
      <c r="A960" t="s">
        <v>77</v>
      </c>
      <c r="B960" s="4">
        <v>150</v>
      </c>
      <c r="C960" s="4">
        <v>32</v>
      </c>
      <c r="D960" s="3">
        <v>3</v>
      </c>
      <c r="E960" t="s">
        <v>895</v>
      </c>
      <c r="F960" t="s">
        <v>899</v>
      </c>
      <c r="G960" t="s">
        <v>887</v>
      </c>
      <c r="H960" s="6">
        <f>_xlfn.XLOOKUP(A960,Orders[OrderID],Orders[OrderDate])</f>
        <v>43104</v>
      </c>
      <c r="I960" t="str">
        <f>_xlfn.XLOOKUP(A960,Orders[OrderID],Orders[CustomerName])</f>
        <v>Sudhir</v>
      </c>
      <c r="J960" t="str">
        <f>_xlfn.XLOOKUP(A960,Orders[OrderID],Orders[State])</f>
        <v>Nagaland</v>
      </c>
      <c r="K960" t="str">
        <f>_xlfn.XLOOKUP(A960,Orders[OrderID],Orders[City])</f>
        <v>Kohima</v>
      </c>
      <c r="L960" s="3">
        <f>YEAR(Clean_Data[[#This Row],[OrderDate]])</f>
        <v>2018</v>
      </c>
      <c r="M960" s="3">
        <f>MONTH(Clean_Data[[#This Row],[OrderDate]])</f>
        <v>1</v>
      </c>
      <c r="N960" s="8" t="str">
        <f>TEXT(Clean_Data[[#This Row],[OrderDate]],"mmm")</f>
        <v>Jan</v>
      </c>
      <c r="O960" s="8" t="str">
        <f>TEXT(Clean_Data[[#This Row],[OrderDate]], "yyyy-mm")</f>
        <v>2018-01</v>
      </c>
      <c r="P960" s="7">
        <f>Clean_Data[[#This Row],[Profit]]/Clean_Data[[#This Row],[Revenue ]]</f>
        <v>0.21333333333333335</v>
      </c>
      <c r="Q960" t="str">
        <f>"Q"&amp;ROUNDUP(MONTH(Clean_Data[[#This Row],[OrderDate]])/3,0)</f>
        <v>Q1</v>
      </c>
      <c r="R960" t="str">
        <f>TEXT(Clean_Data[[#This Row],[OrderDate]], "dddd")</f>
        <v>Thursday</v>
      </c>
    </row>
    <row r="961" spans="1:18" x14ac:dyDescent="0.25">
      <c r="A961" t="s">
        <v>286</v>
      </c>
      <c r="B961" s="4">
        <v>203</v>
      </c>
      <c r="C961" s="4">
        <v>84</v>
      </c>
      <c r="D961" s="3">
        <v>2</v>
      </c>
      <c r="E961" t="s">
        <v>885</v>
      </c>
      <c r="F961" t="s">
        <v>892</v>
      </c>
      <c r="G961" t="s">
        <v>898</v>
      </c>
      <c r="H961" s="6">
        <f>_xlfn.XLOOKUP(A961,Orders[OrderID],Orders[OrderDate])</f>
        <v>43122</v>
      </c>
      <c r="I961" t="str">
        <f>_xlfn.XLOOKUP(A961,Orders[OrderID],Orders[CustomerName])</f>
        <v>Rhea</v>
      </c>
      <c r="J961" t="str">
        <f>_xlfn.XLOOKUP(A961,Orders[OrderID],Orders[State])</f>
        <v>Maharashtra</v>
      </c>
      <c r="K961" t="str">
        <f>_xlfn.XLOOKUP(A961,Orders[OrderID],Orders[City])</f>
        <v>Mumbai</v>
      </c>
      <c r="L961" s="3">
        <f>YEAR(Clean_Data[[#This Row],[OrderDate]])</f>
        <v>2018</v>
      </c>
      <c r="M961" s="3">
        <f>MONTH(Clean_Data[[#This Row],[OrderDate]])</f>
        <v>1</v>
      </c>
      <c r="N961" s="8" t="str">
        <f>TEXT(Clean_Data[[#This Row],[OrderDate]],"mmm")</f>
        <v>Jan</v>
      </c>
      <c r="O961" s="8" t="str">
        <f>TEXT(Clean_Data[[#This Row],[OrderDate]], "yyyy-mm")</f>
        <v>2018-01</v>
      </c>
      <c r="P961" s="7">
        <f>Clean_Data[[#This Row],[Profit]]/Clean_Data[[#This Row],[Revenue ]]</f>
        <v>0.41379310344827586</v>
      </c>
      <c r="Q961" t="str">
        <f>"Q"&amp;ROUNDUP(MONTH(Clean_Data[[#This Row],[OrderDate]])/3,0)</f>
        <v>Q1</v>
      </c>
      <c r="R961" t="str">
        <f>TEXT(Clean_Data[[#This Row],[OrderDate]], "dddd")</f>
        <v>Monday</v>
      </c>
    </row>
    <row r="962" spans="1:18" x14ac:dyDescent="0.25">
      <c r="A962" t="s">
        <v>350</v>
      </c>
      <c r="B962" s="4">
        <v>93</v>
      </c>
      <c r="C962" s="4">
        <v>31</v>
      </c>
      <c r="D962" s="3">
        <v>3</v>
      </c>
      <c r="E962" t="s">
        <v>885</v>
      </c>
      <c r="F962" t="s">
        <v>905</v>
      </c>
      <c r="G962" t="s">
        <v>898</v>
      </c>
      <c r="H962" s="6">
        <f>_xlfn.XLOOKUP(A962,Orders[OrderID],Orders[OrderDate])</f>
        <v>43168</v>
      </c>
      <c r="I962" t="str">
        <f>_xlfn.XLOOKUP(A962,Orders[OrderID],Orders[CustomerName])</f>
        <v>Kirti</v>
      </c>
      <c r="J962" t="str">
        <f>_xlfn.XLOOKUP(A962,Orders[OrderID],Orders[State])</f>
        <v>Jammu and Kashmir</v>
      </c>
      <c r="K962" t="str">
        <f>_xlfn.XLOOKUP(A962,Orders[OrderID],Orders[City])</f>
        <v>Kashmir</v>
      </c>
      <c r="L962" s="3">
        <f>YEAR(Clean_Data[[#This Row],[OrderDate]])</f>
        <v>2018</v>
      </c>
      <c r="M962" s="3">
        <f>MONTH(Clean_Data[[#This Row],[OrderDate]])</f>
        <v>3</v>
      </c>
      <c r="N962" s="8" t="str">
        <f>TEXT(Clean_Data[[#This Row],[OrderDate]],"mmm")</f>
        <v>Mar</v>
      </c>
      <c r="O962" s="8" t="str">
        <f>TEXT(Clean_Data[[#This Row],[OrderDate]], "yyyy-mm")</f>
        <v>2018-03</v>
      </c>
      <c r="P962" s="7">
        <f>Clean_Data[[#This Row],[Profit]]/Clean_Data[[#This Row],[Revenue ]]</f>
        <v>0.33333333333333331</v>
      </c>
      <c r="Q962" t="str">
        <f>"Q"&amp;ROUNDUP(MONTH(Clean_Data[[#This Row],[OrderDate]])/3,0)</f>
        <v>Q1</v>
      </c>
      <c r="R962" t="str">
        <f>TEXT(Clean_Data[[#This Row],[OrderDate]], "dddd")</f>
        <v>Friday</v>
      </c>
    </row>
    <row r="963" spans="1:18" x14ac:dyDescent="0.25">
      <c r="A963" t="s">
        <v>505</v>
      </c>
      <c r="B963" s="4">
        <v>290</v>
      </c>
      <c r="C963" s="4">
        <v>35</v>
      </c>
      <c r="D963" s="3">
        <v>6</v>
      </c>
      <c r="E963" t="s">
        <v>895</v>
      </c>
      <c r="F963" t="s">
        <v>899</v>
      </c>
      <c r="G963" t="s">
        <v>887</v>
      </c>
      <c r="H963" s="6">
        <f>_xlfn.XLOOKUP(A963,Orders[OrderID],Orders[OrderDate])</f>
        <v>43113</v>
      </c>
      <c r="I963" t="str">
        <f>_xlfn.XLOOKUP(A963,Orders[OrderID],Orders[CustomerName])</f>
        <v>Chetan</v>
      </c>
      <c r="J963" t="str">
        <f>_xlfn.XLOOKUP(A963,Orders[OrderID],Orders[State])</f>
        <v>Gujarat</v>
      </c>
      <c r="K963" t="str">
        <f>_xlfn.XLOOKUP(A963,Orders[OrderID],Orders[City])</f>
        <v>Ahmedabad</v>
      </c>
      <c r="L963" s="3">
        <f>YEAR(Clean_Data[[#This Row],[OrderDate]])</f>
        <v>2018</v>
      </c>
      <c r="M963" s="3">
        <f>MONTH(Clean_Data[[#This Row],[OrderDate]])</f>
        <v>1</v>
      </c>
      <c r="N963" s="8" t="str">
        <f>TEXT(Clean_Data[[#This Row],[OrderDate]],"mmm")</f>
        <v>Jan</v>
      </c>
      <c r="O963" s="8" t="str">
        <f>TEXT(Clean_Data[[#This Row],[OrderDate]], "yyyy-mm")</f>
        <v>2018-01</v>
      </c>
      <c r="P963" s="7">
        <f>Clean_Data[[#This Row],[Profit]]/Clean_Data[[#This Row],[Revenue ]]</f>
        <v>0.1206896551724138</v>
      </c>
      <c r="Q963" t="str">
        <f>"Q"&amp;ROUNDUP(MONTH(Clean_Data[[#This Row],[OrderDate]])/3,0)</f>
        <v>Q1</v>
      </c>
      <c r="R963" t="str">
        <f>TEXT(Clean_Data[[#This Row],[OrderDate]], "dddd")</f>
        <v>Saturday</v>
      </c>
    </row>
    <row r="964" spans="1:18" x14ac:dyDescent="0.25">
      <c r="A964" t="s">
        <v>307</v>
      </c>
      <c r="B964" s="4">
        <v>48</v>
      </c>
      <c r="C964" s="4">
        <v>6</v>
      </c>
      <c r="D964" s="3">
        <v>1</v>
      </c>
      <c r="E964" t="s">
        <v>895</v>
      </c>
      <c r="F964" t="s">
        <v>897</v>
      </c>
      <c r="G964" t="s">
        <v>887</v>
      </c>
      <c r="H964" s="6">
        <f>_xlfn.XLOOKUP(A964,Orders[OrderID],Orders[OrderDate])</f>
        <v>43414</v>
      </c>
      <c r="I964" t="str">
        <f>_xlfn.XLOOKUP(A964,Orders[OrderID],Orders[CustomerName])</f>
        <v>Abhijeet</v>
      </c>
      <c r="J964" t="str">
        <f>_xlfn.XLOOKUP(A964,Orders[OrderID],Orders[State])</f>
        <v>Maharashtra</v>
      </c>
      <c r="K964" t="str">
        <f>_xlfn.XLOOKUP(A964,Orders[OrderID],Orders[City])</f>
        <v>Mumbai</v>
      </c>
      <c r="L964" s="3">
        <f>YEAR(Clean_Data[[#This Row],[OrderDate]])</f>
        <v>2018</v>
      </c>
      <c r="M964" s="3">
        <f>MONTH(Clean_Data[[#This Row],[OrderDate]])</f>
        <v>11</v>
      </c>
      <c r="N964" s="8" t="str">
        <f>TEXT(Clean_Data[[#This Row],[OrderDate]],"mmm")</f>
        <v>Nov</v>
      </c>
      <c r="O964" s="8" t="str">
        <f>TEXT(Clean_Data[[#This Row],[OrderDate]], "yyyy-mm")</f>
        <v>2018-11</v>
      </c>
      <c r="P964" s="7">
        <f>Clean_Data[[#This Row],[Profit]]/Clean_Data[[#This Row],[Revenue ]]</f>
        <v>0.125</v>
      </c>
      <c r="Q964" t="str">
        <f>"Q"&amp;ROUNDUP(MONTH(Clean_Data[[#This Row],[OrderDate]])/3,0)</f>
        <v>Q4</v>
      </c>
      <c r="R964" t="str">
        <f>TEXT(Clean_Data[[#This Row],[OrderDate]], "dddd")</f>
        <v>Saturday</v>
      </c>
    </row>
    <row r="965" spans="1:18" x14ac:dyDescent="0.25">
      <c r="A965" t="s">
        <v>504</v>
      </c>
      <c r="B965" s="4">
        <v>221</v>
      </c>
      <c r="C965" s="4">
        <v>35</v>
      </c>
      <c r="D965" s="3">
        <v>4</v>
      </c>
      <c r="E965" t="s">
        <v>885</v>
      </c>
      <c r="F965" t="s">
        <v>905</v>
      </c>
      <c r="G965" t="s">
        <v>907</v>
      </c>
      <c r="H965" s="6">
        <f>_xlfn.XLOOKUP(A965,Orders[OrderID],Orders[OrderDate])</f>
        <v>43152</v>
      </c>
      <c r="I965" t="str">
        <f>_xlfn.XLOOKUP(A965,Orders[OrderID],Orders[CustomerName])</f>
        <v>Sarita</v>
      </c>
      <c r="J965" t="str">
        <f>_xlfn.XLOOKUP(A965,Orders[OrderID],Orders[State])</f>
        <v>Maharashtra</v>
      </c>
      <c r="K965" t="str">
        <f>_xlfn.XLOOKUP(A965,Orders[OrderID],Orders[City])</f>
        <v>Pune</v>
      </c>
      <c r="L965" s="3">
        <f>YEAR(Clean_Data[[#This Row],[OrderDate]])</f>
        <v>2018</v>
      </c>
      <c r="M965" s="3">
        <f>MONTH(Clean_Data[[#This Row],[OrderDate]])</f>
        <v>2</v>
      </c>
      <c r="N965" s="8" t="str">
        <f>TEXT(Clean_Data[[#This Row],[OrderDate]],"mmm")</f>
        <v>Feb</v>
      </c>
      <c r="O965" s="8" t="str">
        <f>TEXT(Clean_Data[[#This Row],[OrderDate]], "yyyy-mm")</f>
        <v>2018-02</v>
      </c>
      <c r="P965" s="7">
        <f>Clean_Data[[#This Row],[Profit]]/Clean_Data[[#This Row],[Revenue ]]</f>
        <v>0.15837104072398189</v>
      </c>
      <c r="Q965" t="str">
        <f>"Q"&amp;ROUNDUP(MONTH(Clean_Data[[#This Row],[OrderDate]])/3,0)</f>
        <v>Q1</v>
      </c>
      <c r="R965" t="str">
        <f>TEXT(Clean_Data[[#This Row],[OrderDate]], "dddd")</f>
        <v>Wednesday</v>
      </c>
    </row>
    <row r="966" spans="1:18" x14ac:dyDescent="0.25">
      <c r="A966" t="s">
        <v>788</v>
      </c>
      <c r="B966" s="4">
        <v>55</v>
      </c>
      <c r="C966" s="4">
        <v>18</v>
      </c>
      <c r="D966" s="3">
        <v>2</v>
      </c>
      <c r="E966" t="s">
        <v>895</v>
      </c>
      <c r="F966" t="s">
        <v>900</v>
      </c>
      <c r="G966" t="s">
        <v>887</v>
      </c>
      <c r="H966" s="6">
        <f>_xlfn.XLOOKUP(A966,Orders[OrderID],Orders[OrderDate])</f>
        <v>43176</v>
      </c>
      <c r="I966" t="str">
        <f>_xlfn.XLOOKUP(A966,Orders[OrderID],Orders[CustomerName])</f>
        <v>Sanskriti</v>
      </c>
      <c r="J966" t="str">
        <f>_xlfn.XLOOKUP(A966,Orders[OrderID],Orders[State])</f>
        <v>West Bengal</v>
      </c>
      <c r="K966" t="str">
        <f>_xlfn.XLOOKUP(A966,Orders[OrderID],Orders[City])</f>
        <v>Kolkata</v>
      </c>
      <c r="L966" s="3">
        <f>YEAR(Clean_Data[[#This Row],[OrderDate]])</f>
        <v>2018</v>
      </c>
      <c r="M966" s="3">
        <f>MONTH(Clean_Data[[#This Row],[OrderDate]])</f>
        <v>3</v>
      </c>
      <c r="N966" s="8" t="str">
        <f>TEXT(Clean_Data[[#This Row],[OrderDate]],"mmm")</f>
        <v>Mar</v>
      </c>
      <c r="O966" s="8" t="str">
        <f>TEXT(Clean_Data[[#This Row],[OrderDate]], "yyyy-mm")</f>
        <v>2018-03</v>
      </c>
      <c r="P966" s="7">
        <f>Clean_Data[[#This Row],[Profit]]/Clean_Data[[#This Row],[Revenue ]]</f>
        <v>0.32727272727272727</v>
      </c>
      <c r="Q966" t="str">
        <f>"Q"&amp;ROUNDUP(MONTH(Clean_Data[[#This Row],[OrderDate]])/3,0)</f>
        <v>Q1</v>
      </c>
      <c r="R966" t="str">
        <f>TEXT(Clean_Data[[#This Row],[OrderDate]], "dddd")</f>
        <v>Saturday</v>
      </c>
    </row>
    <row r="967" spans="1:18" x14ac:dyDescent="0.25">
      <c r="A967" t="s">
        <v>140</v>
      </c>
      <c r="B967" s="4">
        <v>227</v>
      </c>
      <c r="C967" s="4">
        <v>102</v>
      </c>
      <c r="D967" s="3">
        <v>8</v>
      </c>
      <c r="E967" t="s">
        <v>885</v>
      </c>
      <c r="F967" t="s">
        <v>905</v>
      </c>
      <c r="G967" t="s">
        <v>907</v>
      </c>
      <c r="H967" s="6">
        <f>_xlfn.XLOOKUP(A967,Orders[OrderID],Orders[OrderDate])</f>
        <v>43228</v>
      </c>
      <c r="I967" t="str">
        <f>_xlfn.XLOOKUP(A967,Orders[OrderID],Orders[CustomerName])</f>
        <v>Farah</v>
      </c>
      <c r="J967" t="str">
        <f>_xlfn.XLOOKUP(A967,Orders[OrderID],Orders[State])</f>
        <v>Nagaland</v>
      </c>
      <c r="K967" t="str">
        <f>_xlfn.XLOOKUP(A967,Orders[OrderID],Orders[City])</f>
        <v>Kohima</v>
      </c>
      <c r="L967" s="3">
        <f>YEAR(Clean_Data[[#This Row],[OrderDate]])</f>
        <v>2018</v>
      </c>
      <c r="M967" s="3">
        <f>MONTH(Clean_Data[[#This Row],[OrderDate]])</f>
        <v>5</v>
      </c>
      <c r="N967" s="8" t="str">
        <f>TEXT(Clean_Data[[#This Row],[OrderDate]],"mmm")</f>
        <v>May</v>
      </c>
      <c r="O967" s="8" t="str">
        <f>TEXT(Clean_Data[[#This Row],[OrderDate]], "yyyy-mm")</f>
        <v>2018-05</v>
      </c>
      <c r="P967" s="7">
        <f>Clean_Data[[#This Row],[Profit]]/Clean_Data[[#This Row],[Revenue ]]</f>
        <v>0.44933920704845814</v>
      </c>
      <c r="Q967" t="str">
        <f>"Q"&amp;ROUNDUP(MONTH(Clean_Data[[#This Row],[OrderDate]])/3,0)</f>
        <v>Q2</v>
      </c>
      <c r="R967" t="str">
        <f>TEXT(Clean_Data[[#This Row],[OrderDate]], "dddd")</f>
        <v>Tuesday</v>
      </c>
    </row>
    <row r="968" spans="1:18" x14ac:dyDescent="0.25">
      <c r="A968" t="s">
        <v>784</v>
      </c>
      <c r="B968" s="4">
        <v>55</v>
      </c>
      <c r="C968" s="4">
        <v>-39</v>
      </c>
      <c r="D968" s="3">
        <v>4</v>
      </c>
      <c r="E968" t="s">
        <v>895</v>
      </c>
      <c r="F968" t="s">
        <v>903</v>
      </c>
      <c r="G968" t="s">
        <v>887</v>
      </c>
      <c r="H968" s="6">
        <f>_xlfn.XLOOKUP(A968,Orders[OrderID],Orders[OrderDate])</f>
        <v>43213</v>
      </c>
      <c r="I968" t="str">
        <f>_xlfn.XLOOKUP(A968,Orders[OrderID],Orders[CustomerName])</f>
        <v>Hitika</v>
      </c>
      <c r="J968" t="str">
        <f>_xlfn.XLOOKUP(A968,Orders[OrderID],Orders[State])</f>
        <v>Madhya Pradesh</v>
      </c>
      <c r="K968" t="str">
        <f>_xlfn.XLOOKUP(A968,Orders[OrderID],Orders[City])</f>
        <v>Indore</v>
      </c>
      <c r="L968" s="3">
        <f>YEAR(Clean_Data[[#This Row],[OrderDate]])</f>
        <v>2018</v>
      </c>
      <c r="M968" s="3">
        <f>MONTH(Clean_Data[[#This Row],[OrderDate]])</f>
        <v>4</v>
      </c>
      <c r="N968" s="8" t="str">
        <f>TEXT(Clean_Data[[#This Row],[OrderDate]],"mmm")</f>
        <v>Apr</v>
      </c>
      <c r="O968" s="8" t="str">
        <f>TEXT(Clean_Data[[#This Row],[OrderDate]], "yyyy-mm")</f>
        <v>2018-04</v>
      </c>
      <c r="P968" s="7">
        <f>Clean_Data[[#This Row],[Profit]]/Clean_Data[[#This Row],[Revenue ]]</f>
        <v>-0.70909090909090911</v>
      </c>
      <c r="Q968" t="str">
        <f>"Q"&amp;ROUNDUP(MONTH(Clean_Data[[#This Row],[OrderDate]])/3,0)</f>
        <v>Q2</v>
      </c>
      <c r="R968" t="str">
        <f>TEXT(Clean_Data[[#This Row],[OrderDate]], "dddd")</f>
        <v>Monday</v>
      </c>
    </row>
    <row r="969" spans="1:18" x14ac:dyDescent="0.25">
      <c r="A969" t="s">
        <v>505</v>
      </c>
      <c r="B969" s="4">
        <v>207</v>
      </c>
      <c r="C969" s="4">
        <v>33</v>
      </c>
      <c r="D969" s="3">
        <v>2</v>
      </c>
      <c r="E969" t="s">
        <v>885</v>
      </c>
      <c r="F969" t="s">
        <v>905</v>
      </c>
      <c r="G969" t="s">
        <v>898</v>
      </c>
      <c r="H969" s="6">
        <f>_xlfn.XLOOKUP(A969,Orders[OrderID],Orders[OrderDate])</f>
        <v>43113</v>
      </c>
      <c r="I969" t="str">
        <f>_xlfn.XLOOKUP(A969,Orders[OrderID],Orders[CustomerName])</f>
        <v>Chetan</v>
      </c>
      <c r="J969" t="str">
        <f>_xlfn.XLOOKUP(A969,Orders[OrderID],Orders[State])</f>
        <v>Gujarat</v>
      </c>
      <c r="K969" t="str">
        <f>_xlfn.XLOOKUP(A969,Orders[OrderID],Orders[City])</f>
        <v>Ahmedabad</v>
      </c>
      <c r="L969" s="3">
        <f>YEAR(Clean_Data[[#This Row],[OrderDate]])</f>
        <v>2018</v>
      </c>
      <c r="M969" s="3">
        <f>MONTH(Clean_Data[[#This Row],[OrderDate]])</f>
        <v>1</v>
      </c>
      <c r="N969" s="8" t="str">
        <f>TEXT(Clean_Data[[#This Row],[OrderDate]],"mmm")</f>
        <v>Jan</v>
      </c>
      <c r="O969" s="8" t="str">
        <f>TEXT(Clean_Data[[#This Row],[OrderDate]], "yyyy-mm")</f>
        <v>2018-01</v>
      </c>
      <c r="P969" s="7">
        <f>Clean_Data[[#This Row],[Profit]]/Clean_Data[[#This Row],[Revenue ]]</f>
        <v>0.15942028985507245</v>
      </c>
      <c r="Q969" t="str">
        <f>"Q"&amp;ROUNDUP(MONTH(Clean_Data[[#This Row],[OrderDate]])/3,0)</f>
        <v>Q1</v>
      </c>
      <c r="R969" t="str">
        <f>TEXT(Clean_Data[[#This Row],[OrderDate]], "dddd")</f>
        <v>Saturday</v>
      </c>
    </row>
    <row r="970" spans="1:18" x14ac:dyDescent="0.25">
      <c r="A970" t="s">
        <v>766</v>
      </c>
      <c r="B970" s="4">
        <v>64</v>
      </c>
      <c r="C970" s="4">
        <v>6</v>
      </c>
      <c r="D970" s="3">
        <v>4</v>
      </c>
      <c r="E970" t="s">
        <v>895</v>
      </c>
      <c r="F970" t="s">
        <v>897</v>
      </c>
      <c r="G970" t="s">
        <v>887</v>
      </c>
      <c r="H970" s="6">
        <f>_xlfn.XLOOKUP(A970,Orders[OrderID],Orders[OrderDate])</f>
        <v>43374</v>
      </c>
      <c r="I970" t="str">
        <f>_xlfn.XLOOKUP(A970,Orders[OrderID],Orders[CustomerName])</f>
        <v>Aryan</v>
      </c>
      <c r="J970" t="str">
        <f>_xlfn.XLOOKUP(A970,Orders[OrderID],Orders[State])</f>
        <v>Madhya Pradesh</v>
      </c>
      <c r="K970" t="str">
        <f>_xlfn.XLOOKUP(A970,Orders[OrderID],Orders[City])</f>
        <v>Bhopal</v>
      </c>
      <c r="L970" s="3">
        <f>YEAR(Clean_Data[[#This Row],[OrderDate]])</f>
        <v>2018</v>
      </c>
      <c r="M970" s="3">
        <f>MONTH(Clean_Data[[#This Row],[OrderDate]])</f>
        <v>10</v>
      </c>
      <c r="N970" s="8" t="str">
        <f>TEXT(Clean_Data[[#This Row],[OrderDate]],"mmm")</f>
        <v>Oct</v>
      </c>
      <c r="O970" s="8" t="str">
        <f>TEXT(Clean_Data[[#This Row],[OrderDate]], "yyyy-mm")</f>
        <v>2018-10</v>
      </c>
      <c r="P970" s="7">
        <f>Clean_Data[[#This Row],[Profit]]/Clean_Data[[#This Row],[Revenue ]]</f>
        <v>9.375E-2</v>
      </c>
      <c r="Q970" t="str">
        <f>"Q"&amp;ROUNDUP(MONTH(Clean_Data[[#This Row],[OrderDate]])/3,0)</f>
        <v>Q4</v>
      </c>
      <c r="R970" t="str">
        <f>TEXT(Clean_Data[[#This Row],[OrderDate]], "dddd")</f>
        <v>Monday</v>
      </c>
    </row>
    <row r="971" spans="1:18" x14ac:dyDescent="0.25">
      <c r="A971" t="s">
        <v>164</v>
      </c>
      <c r="B971" s="4">
        <v>89</v>
      </c>
      <c r="C971" s="4">
        <v>6</v>
      </c>
      <c r="D971" s="3">
        <v>5</v>
      </c>
      <c r="E971" t="s">
        <v>895</v>
      </c>
      <c r="F971" t="s">
        <v>897</v>
      </c>
      <c r="G971" t="s">
        <v>887</v>
      </c>
      <c r="H971" s="6">
        <f>_xlfn.XLOOKUP(A971,Orders[OrderID],Orders[OrderDate])</f>
        <v>43120</v>
      </c>
      <c r="I971" t="str">
        <f>_xlfn.XLOOKUP(A971,Orders[OrderID],Orders[CustomerName])</f>
        <v>Oshin</v>
      </c>
      <c r="J971" t="str">
        <f>_xlfn.XLOOKUP(A971,Orders[OrderID],Orders[State])</f>
        <v>Maharashtra</v>
      </c>
      <c r="K971" t="str">
        <f>_xlfn.XLOOKUP(A971,Orders[OrderID],Orders[City])</f>
        <v>Pune</v>
      </c>
      <c r="L971" s="3">
        <f>YEAR(Clean_Data[[#This Row],[OrderDate]])</f>
        <v>2018</v>
      </c>
      <c r="M971" s="3">
        <f>MONTH(Clean_Data[[#This Row],[OrderDate]])</f>
        <v>1</v>
      </c>
      <c r="N971" s="8" t="str">
        <f>TEXT(Clean_Data[[#This Row],[OrderDate]],"mmm")</f>
        <v>Jan</v>
      </c>
      <c r="O971" s="8" t="str">
        <f>TEXT(Clean_Data[[#This Row],[OrderDate]], "yyyy-mm")</f>
        <v>2018-01</v>
      </c>
      <c r="P971" s="7">
        <f>Clean_Data[[#This Row],[Profit]]/Clean_Data[[#This Row],[Revenue ]]</f>
        <v>6.741573033707865E-2</v>
      </c>
      <c r="Q971" t="str">
        <f>"Q"&amp;ROUNDUP(MONTH(Clean_Data[[#This Row],[OrderDate]])/3,0)</f>
        <v>Q1</v>
      </c>
      <c r="R971" t="str">
        <f>TEXT(Clean_Data[[#This Row],[OrderDate]], "dddd")</f>
        <v>Saturday</v>
      </c>
    </row>
    <row r="972" spans="1:18" x14ac:dyDescent="0.25">
      <c r="A972" t="s">
        <v>91</v>
      </c>
      <c r="B972" s="4">
        <v>54</v>
      </c>
      <c r="C972" s="4">
        <v>27</v>
      </c>
      <c r="D972" s="3">
        <v>2</v>
      </c>
      <c r="E972" t="s">
        <v>895</v>
      </c>
      <c r="F972" t="s">
        <v>903</v>
      </c>
      <c r="G972" t="s">
        <v>887</v>
      </c>
      <c r="H972" s="6">
        <f>_xlfn.XLOOKUP(A972,Orders[OrderID],Orders[OrderDate])</f>
        <v>43113</v>
      </c>
      <c r="I972" t="str">
        <f>_xlfn.XLOOKUP(A972,Orders[OrderID],Orders[CustomerName])</f>
        <v>Shruti</v>
      </c>
      <c r="J972" t="str">
        <f>_xlfn.XLOOKUP(A972,Orders[OrderID],Orders[State])</f>
        <v>Madhya Pradesh</v>
      </c>
      <c r="K972" t="str">
        <f>_xlfn.XLOOKUP(A972,Orders[OrderID],Orders[City])</f>
        <v>Indore</v>
      </c>
      <c r="L972" s="3">
        <f>YEAR(Clean_Data[[#This Row],[OrderDate]])</f>
        <v>2018</v>
      </c>
      <c r="M972" s="3">
        <f>MONTH(Clean_Data[[#This Row],[OrderDate]])</f>
        <v>1</v>
      </c>
      <c r="N972" s="8" t="str">
        <f>TEXT(Clean_Data[[#This Row],[OrderDate]],"mmm")</f>
        <v>Jan</v>
      </c>
      <c r="O972" s="8" t="str">
        <f>TEXT(Clean_Data[[#This Row],[OrderDate]], "yyyy-mm")</f>
        <v>2018-01</v>
      </c>
      <c r="P972" s="7">
        <f>Clean_Data[[#This Row],[Profit]]/Clean_Data[[#This Row],[Revenue ]]</f>
        <v>0.5</v>
      </c>
      <c r="Q972" t="str">
        <f>"Q"&amp;ROUNDUP(MONTH(Clean_Data[[#This Row],[OrderDate]])/3,0)</f>
        <v>Q1</v>
      </c>
      <c r="R972" t="str">
        <f>TEXT(Clean_Data[[#This Row],[OrderDate]], "dddd")</f>
        <v>Saturday</v>
      </c>
    </row>
    <row r="973" spans="1:18" x14ac:dyDescent="0.25">
      <c r="A973" t="s">
        <v>288</v>
      </c>
      <c r="B973" s="4">
        <v>84</v>
      </c>
      <c r="C973" s="4">
        <v>41</v>
      </c>
      <c r="D973" s="3">
        <v>3</v>
      </c>
      <c r="E973" t="s">
        <v>895</v>
      </c>
      <c r="F973" t="s">
        <v>906</v>
      </c>
      <c r="G973" t="s">
        <v>893</v>
      </c>
      <c r="H973" s="6">
        <f>_xlfn.XLOOKUP(A973,Orders[OrderID],Orders[OrderDate])</f>
        <v>43428</v>
      </c>
      <c r="I973" t="str">
        <f>_xlfn.XLOOKUP(A973,Orders[OrderID],Orders[CustomerName])</f>
        <v>Mrinal</v>
      </c>
      <c r="J973" t="str">
        <f>_xlfn.XLOOKUP(A973,Orders[OrderID],Orders[State])</f>
        <v>Maharashtra</v>
      </c>
      <c r="K973" t="str">
        <f>_xlfn.XLOOKUP(A973,Orders[OrderID],Orders[City])</f>
        <v>Mumbai</v>
      </c>
      <c r="L973" s="3">
        <f>YEAR(Clean_Data[[#This Row],[OrderDate]])</f>
        <v>2018</v>
      </c>
      <c r="M973" s="3">
        <f>MONTH(Clean_Data[[#This Row],[OrderDate]])</f>
        <v>11</v>
      </c>
      <c r="N973" s="8" t="str">
        <f>TEXT(Clean_Data[[#This Row],[OrderDate]],"mmm")</f>
        <v>Nov</v>
      </c>
      <c r="O973" s="8" t="str">
        <f>TEXT(Clean_Data[[#This Row],[OrderDate]], "yyyy-mm")</f>
        <v>2018-11</v>
      </c>
      <c r="P973" s="7">
        <f>Clean_Data[[#This Row],[Profit]]/Clean_Data[[#This Row],[Revenue ]]</f>
        <v>0.48809523809523808</v>
      </c>
      <c r="Q973" t="str">
        <f>"Q"&amp;ROUNDUP(MONTH(Clean_Data[[#This Row],[OrderDate]])/3,0)</f>
        <v>Q4</v>
      </c>
      <c r="R973" t="str">
        <f>TEXT(Clean_Data[[#This Row],[OrderDate]], "dddd")</f>
        <v>Saturday</v>
      </c>
    </row>
    <row r="974" spans="1:18" x14ac:dyDescent="0.25">
      <c r="A974" t="s">
        <v>528</v>
      </c>
      <c r="B974" s="4">
        <v>209</v>
      </c>
      <c r="C974" s="4">
        <v>-21</v>
      </c>
      <c r="D974" s="3">
        <v>2</v>
      </c>
      <c r="E974" t="s">
        <v>885</v>
      </c>
      <c r="F974" t="s">
        <v>886</v>
      </c>
      <c r="G974" t="s">
        <v>898</v>
      </c>
      <c r="H974" s="6">
        <f>_xlfn.XLOOKUP(A974,Orders[OrderID],Orders[OrderDate])</f>
        <v>43349</v>
      </c>
      <c r="I974" t="str">
        <f>_xlfn.XLOOKUP(A974,Orders[OrderID],Orders[CustomerName])</f>
        <v>Shreya</v>
      </c>
      <c r="J974" t="str">
        <f>_xlfn.XLOOKUP(A974,Orders[OrderID],Orders[State])</f>
        <v xml:space="preserve">Kerala </v>
      </c>
      <c r="K974" t="str">
        <f>_xlfn.XLOOKUP(A974,Orders[OrderID],Orders[City])</f>
        <v>Thiruvananthapuram</v>
      </c>
      <c r="L974" s="3">
        <f>YEAR(Clean_Data[[#This Row],[OrderDate]])</f>
        <v>2018</v>
      </c>
      <c r="M974" s="3">
        <f>MONTH(Clean_Data[[#This Row],[OrderDate]])</f>
        <v>9</v>
      </c>
      <c r="N974" s="8" t="str">
        <f>TEXT(Clean_Data[[#This Row],[OrderDate]],"mmm")</f>
        <v>Sep</v>
      </c>
      <c r="O974" s="8" t="str">
        <f>TEXT(Clean_Data[[#This Row],[OrderDate]], "yyyy-mm")</f>
        <v>2018-09</v>
      </c>
      <c r="P974" s="7">
        <f>Clean_Data[[#This Row],[Profit]]/Clean_Data[[#This Row],[Revenue ]]</f>
        <v>-0.10047846889952153</v>
      </c>
      <c r="Q974" t="str">
        <f>"Q"&amp;ROUNDUP(MONTH(Clean_Data[[#This Row],[OrderDate]])/3,0)</f>
        <v>Q3</v>
      </c>
      <c r="R974" t="str">
        <f>TEXT(Clean_Data[[#This Row],[OrderDate]], "dddd")</f>
        <v>Thursday</v>
      </c>
    </row>
    <row r="975" spans="1:18" x14ac:dyDescent="0.25">
      <c r="A975" t="s">
        <v>330</v>
      </c>
      <c r="B975" s="4">
        <v>79</v>
      </c>
      <c r="C975" s="4">
        <v>33</v>
      </c>
      <c r="D975" s="3">
        <v>4</v>
      </c>
      <c r="E975" t="s">
        <v>895</v>
      </c>
      <c r="F975" t="s">
        <v>903</v>
      </c>
      <c r="G975" t="s">
        <v>898</v>
      </c>
      <c r="H975" s="6">
        <f>_xlfn.XLOOKUP(A975,Orders[OrderID],Orders[OrderDate])</f>
        <v>43181</v>
      </c>
      <c r="I975" t="str">
        <f>_xlfn.XLOOKUP(A975,Orders[OrderID],Orders[CustomerName])</f>
        <v>Aarushi</v>
      </c>
      <c r="J975" t="str">
        <f>_xlfn.XLOOKUP(A975,Orders[OrderID],Orders[State])</f>
        <v>Tamil Nadu</v>
      </c>
      <c r="K975" t="str">
        <f>_xlfn.XLOOKUP(A975,Orders[OrderID],Orders[City])</f>
        <v>Chennai</v>
      </c>
      <c r="L975" s="3">
        <f>YEAR(Clean_Data[[#This Row],[OrderDate]])</f>
        <v>2018</v>
      </c>
      <c r="M975" s="3">
        <f>MONTH(Clean_Data[[#This Row],[OrderDate]])</f>
        <v>3</v>
      </c>
      <c r="N975" s="8" t="str">
        <f>TEXT(Clean_Data[[#This Row],[OrderDate]],"mmm")</f>
        <v>Mar</v>
      </c>
      <c r="O975" s="8" t="str">
        <f>TEXT(Clean_Data[[#This Row],[OrderDate]], "yyyy-mm")</f>
        <v>2018-03</v>
      </c>
      <c r="P975" s="7">
        <f>Clean_Data[[#This Row],[Profit]]/Clean_Data[[#This Row],[Revenue ]]</f>
        <v>0.41772151898734178</v>
      </c>
      <c r="Q975" t="str">
        <f>"Q"&amp;ROUNDUP(MONTH(Clean_Data[[#This Row],[OrderDate]])/3,0)</f>
        <v>Q1</v>
      </c>
      <c r="R975" t="str">
        <f>TEXT(Clean_Data[[#This Row],[OrderDate]], "dddd")</f>
        <v>Thursday</v>
      </c>
    </row>
    <row r="976" spans="1:18" x14ac:dyDescent="0.25">
      <c r="A976" t="s">
        <v>789</v>
      </c>
      <c r="B976" s="4">
        <v>54</v>
      </c>
      <c r="C976" s="4">
        <v>8</v>
      </c>
      <c r="D976" s="3">
        <v>4</v>
      </c>
      <c r="E976" t="s">
        <v>895</v>
      </c>
      <c r="F976" t="s">
        <v>906</v>
      </c>
      <c r="G976" t="s">
        <v>887</v>
      </c>
      <c r="H976" s="6">
        <f>_xlfn.XLOOKUP(A976,Orders[OrderID],Orders[OrderDate])</f>
        <v>43151</v>
      </c>
      <c r="I976" t="str">
        <f>_xlfn.XLOOKUP(A976,Orders[OrderID],Orders[CustomerName])</f>
        <v>Sagar</v>
      </c>
      <c r="J976" t="str">
        <f>_xlfn.XLOOKUP(A976,Orders[OrderID],Orders[State])</f>
        <v>Nagaland</v>
      </c>
      <c r="K976" t="str">
        <f>_xlfn.XLOOKUP(A976,Orders[OrderID],Orders[City])</f>
        <v>Kohima</v>
      </c>
      <c r="L976" s="3">
        <f>YEAR(Clean_Data[[#This Row],[OrderDate]])</f>
        <v>2018</v>
      </c>
      <c r="M976" s="3">
        <f>MONTH(Clean_Data[[#This Row],[OrderDate]])</f>
        <v>2</v>
      </c>
      <c r="N976" s="8" t="str">
        <f>TEXT(Clean_Data[[#This Row],[OrderDate]],"mmm")</f>
        <v>Feb</v>
      </c>
      <c r="O976" s="8" t="str">
        <f>TEXT(Clean_Data[[#This Row],[OrderDate]], "yyyy-mm")</f>
        <v>2018-02</v>
      </c>
      <c r="P976" s="7">
        <f>Clean_Data[[#This Row],[Profit]]/Clean_Data[[#This Row],[Revenue ]]</f>
        <v>0.14814814814814814</v>
      </c>
      <c r="Q976" t="str">
        <f>"Q"&amp;ROUNDUP(MONTH(Clean_Data[[#This Row],[OrderDate]])/3,0)</f>
        <v>Q1</v>
      </c>
      <c r="R976" t="str">
        <f>TEXT(Clean_Data[[#This Row],[OrderDate]], "dddd")</f>
        <v>Tuesday</v>
      </c>
    </row>
    <row r="977" spans="1:18" x14ac:dyDescent="0.25">
      <c r="A977" t="s">
        <v>20</v>
      </c>
      <c r="B977" s="4">
        <v>229</v>
      </c>
      <c r="C977" s="4">
        <v>59</v>
      </c>
      <c r="D977" s="3">
        <v>9</v>
      </c>
      <c r="E977" t="s">
        <v>895</v>
      </c>
      <c r="F977" t="s">
        <v>897</v>
      </c>
      <c r="G977" t="s">
        <v>907</v>
      </c>
      <c r="H977" s="6">
        <f>_xlfn.XLOOKUP(A977,Orders[OrderID],Orders[OrderDate])</f>
        <v>43121</v>
      </c>
      <c r="I977" t="str">
        <f>_xlfn.XLOOKUP(A977,Orders[OrderID],Orders[CustomerName])</f>
        <v>Sudevi</v>
      </c>
      <c r="J977" t="str">
        <f>_xlfn.XLOOKUP(A977,Orders[OrderID],Orders[State])</f>
        <v>Uttar Pradesh</v>
      </c>
      <c r="K977" t="str">
        <f>_xlfn.XLOOKUP(A977,Orders[OrderID],Orders[City])</f>
        <v>Prayagraj</v>
      </c>
      <c r="L977" s="3">
        <f>YEAR(Clean_Data[[#This Row],[OrderDate]])</f>
        <v>2018</v>
      </c>
      <c r="M977" s="3">
        <f>MONTH(Clean_Data[[#This Row],[OrderDate]])</f>
        <v>1</v>
      </c>
      <c r="N977" s="8" t="str">
        <f>TEXT(Clean_Data[[#This Row],[OrderDate]],"mmm")</f>
        <v>Jan</v>
      </c>
      <c r="O977" s="8" t="str">
        <f>TEXT(Clean_Data[[#This Row],[OrderDate]], "yyyy-mm")</f>
        <v>2018-01</v>
      </c>
      <c r="P977" s="7">
        <f>Clean_Data[[#This Row],[Profit]]/Clean_Data[[#This Row],[Revenue ]]</f>
        <v>0.2576419213973799</v>
      </c>
      <c r="Q977" t="str">
        <f>"Q"&amp;ROUNDUP(MONTH(Clean_Data[[#This Row],[OrderDate]])/3,0)</f>
        <v>Q1</v>
      </c>
      <c r="R977" t="str">
        <f>TEXT(Clean_Data[[#This Row],[OrderDate]], "dddd")</f>
        <v>Sunday</v>
      </c>
    </row>
    <row r="978" spans="1:18" x14ac:dyDescent="0.25">
      <c r="A978" t="s">
        <v>604</v>
      </c>
      <c r="B978" s="4">
        <v>158</v>
      </c>
      <c r="C978" s="4">
        <v>38</v>
      </c>
      <c r="D978" s="3">
        <v>3</v>
      </c>
      <c r="E978" t="s">
        <v>895</v>
      </c>
      <c r="F978" t="s">
        <v>899</v>
      </c>
      <c r="G978" t="s">
        <v>898</v>
      </c>
      <c r="H978" s="6">
        <f>_xlfn.XLOOKUP(A978,Orders[OrderID],Orders[OrderDate])</f>
        <v>43444</v>
      </c>
      <c r="I978" t="str">
        <f>_xlfn.XLOOKUP(A978,Orders[OrderID],Orders[CustomerName])</f>
        <v>Suraj</v>
      </c>
      <c r="J978" t="str">
        <f>_xlfn.XLOOKUP(A978,Orders[OrderID],Orders[State])</f>
        <v>Gujarat</v>
      </c>
      <c r="K978" t="str">
        <f>_xlfn.XLOOKUP(A978,Orders[OrderID],Orders[City])</f>
        <v>Surat</v>
      </c>
      <c r="L978" s="3">
        <f>YEAR(Clean_Data[[#This Row],[OrderDate]])</f>
        <v>2018</v>
      </c>
      <c r="M978" s="3">
        <f>MONTH(Clean_Data[[#This Row],[OrderDate]])</f>
        <v>12</v>
      </c>
      <c r="N978" s="8" t="str">
        <f>TEXT(Clean_Data[[#This Row],[OrderDate]],"mmm")</f>
        <v>Dec</v>
      </c>
      <c r="O978" s="8" t="str">
        <f>TEXT(Clean_Data[[#This Row],[OrderDate]], "yyyy-mm")</f>
        <v>2018-12</v>
      </c>
      <c r="P978" s="7">
        <f>Clean_Data[[#This Row],[Profit]]/Clean_Data[[#This Row],[Revenue ]]</f>
        <v>0.24050632911392406</v>
      </c>
      <c r="Q978" t="str">
        <f>"Q"&amp;ROUNDUP(MONTH(Clean_Data[[#This Row],[OrderDate]])/3,0)</f>
        <v>Q4</v>
      </c>
      <c r="R978" t="str">
        <f>TEXT(Clean_Data[[#This Row],[OrderDate]], "dddd")</f>
        <v>Monday</v>
      </c>
    </row>
    <row r="979" spans="1:18" x14ac:dyDescent="0.25">
      <c r="A979" t="s">
        <v>284</v>
      </c>
      <c r="B979" s="4">
        <v>248</v>
      </c>
      <c r="C979" s="4">
        <v>105</v>
      </c>
      <c r="D979" s="3">
        <v>2</v>
      </c>
      <c r="E979" t="s">
        <v>885</v>
      </c>
      <c r="F979" t="s">
        <v>894</v>
      </c>
      <c r="G979" t="s">
        <v>907</v>
      </c>
      <c r="H979" s="6">
        <f>_xlfn.XLOOKUP(A979,Orders[OrderID],Orders[OrderDate])</f>
        <v>43113</v>
      </c>
      <c r="I979" t="str">
        <f>_xlfn.XLOOKUP(A979,Orders[OrderID],Orders[CustomerName])</f>
        <v>Jesal</v>
      </c>
      <c r="J979" t="str">
        <f>_xlfn.XLOOKUP(A979,Orders[OrderID],Orders[State])</f>
        <v>West Bengal</v>
      </c>
      <c r="K979" t="str">
        <f>_xlfn.XLOOKUP(A979,Orders[OrderID],Orders[City])</f>
        <v>Kolkata</v>
      </c>
      <c r="L979" s="3">
        <f>YEAR(Clean_Data[[#This Row],[OrderDate]])</f>
        <v>2018</v>
      </c>
      <c r="M979" s="3">
        <f>MONTH(Clean_Data[[#This Row],[OrderDate]])</f>
        <v>1</v>
      </c>
      <c r="N979" s="8" t="str">
        <f>TEXT(Clean_Data[[#This Row],[OrderDate]],"mmm")</f>
        <v>Jan</v>
      </c>
      <c r="O979" s="8" t="str">
        <f>TEXT(Clean_Data[[#This Row],[OrderDate]], "yyyy-mm")</f>
        <v>2018-01</v>
      </c>
      <c r="P979" s="7">
        <f>Clean_Data[[#This Row],[Profit]]/Clean_Data[[#This Row],[Revenue ]]</f>
        <v>0.42338709677419356</v>
      </c>
      <c r="Q979" t="str">
        <f>"Q"&amp;ROUNDUP(MONTH(Clean_Data[[#This Row],[OrderDate]])/3,0)</f>
        <v>Q1</v>
      </c>
      <c r="R979" t="str">
        <f>TEXT(Clean_Data[[#This Row],[OrderDate]], "dddd")</f>
        <v>Saturday</v>
      </c>
    </row>
    <row r="980" spans="1:18" x14ac:dyDescent="0.25">
      <c r="A980" t="s">
        <v>50</v>
      </c>
      <c r="B980" s="4">
        <v>199</v>
      </c>
      <c r="C980" s="4">
        <v>6</v>
      </c>
      <c r="D980" s="3">
        <v>2</v>
      </c>
      <c r="E980" t="s">
        <v>895</v>
      </c>
      <c r="F980" t="s">
        <v>897</v>
      </c>
      <c r="G980" t="s">
        <v>898</v>
      </c>
      <c r="H980" s="6">
        <f>_xlfn.XLOOKUP(A980,Orders[OrderID],Orders[OrderDate])</f>
        <v>43412</v>
      </c>
      <c r="I980" t="str">
        <f>_xlfn.XLOOKUP(A980,Orders[OrderID],Orders[CustomerName])</f>
        <v>Gaurav</v>
      </c>
      <c r="J980" t="str">
        <f>_xlfn.XLOOKUP(A980,Orders[OrderID],Orders[State])</f>
        <v>Gujarat</v>
      </c>
      <c r="K980" t="str">
        <f>_xlfn.XLOOKUP(A980,Orders[OrderID],Orders[City])</f>
        <v>Ahmedabad</v>
      </c>
      <c r="L980" s="3">
        <f>YEAR(Clean_Data[[#This Row],[OrderDate]])</f>
        <v>2018</v>
      </c>
      <c r="M980" s="3">
        <f>MONTH(Clean_Data[[#This Row],[OrderDate]])</f>
        <v>11</v>
      </c>
      <c r="N980" s="8" t="str">
        <f>TEXT(Clean_Data[[#This Row],[OrderDate]],"mmm")</f>
        <v>Nov</v>
      </c>
      <c r="O980" s="8" t="str">
        <f>TEXT(Clean_Data[[#This Row],[OrderDate]], "yyyy-mm")</f>
        <v>2018-11</v>
      </c>
      <c r="P980" s="7">
        <f>Clean_Data[[#This Row],[Profit]]/Clean_Data[[#This Row],[Revenue ]]</f>
        <v>3.015075376884422E-2</v>
      </c>
      <c r="Q980" t="str">
        <f>"Q"&amp;ROUNDUP(MONTH(Clean_Data[[#This Row],[OrderDate]])/3,0)</f>
        <v>Q4</v>
      </c>
      <c r="R980" t="str">
        <f>TEXT(Clean_Data[[#This Row],[OrderDate]], "dddd")</f>
        <v>Thursday</v>
      </c>
    </row>
    <row r="981" spans="1:18" x14ac:dyDescent="0.25">
      <c r="A981" t="s">
        <v>12</v>
      </c>
      <c r="B981" s="4">
        <v>253</v>
      </c>
      <c r="C981" s="4">
        <v>-11</v>
      </c>
      <c r="D981" s="3">
        <v>1</v>
      </c>
      <c r="E981" t="s">
        <v>895</v>
      </c>
      <c r="F981" t="s">
        <v>896</v>
      </c>
      <c r="G981" t="s">
        <v>907</v>
      </c>
      <c r="H981" s="6">
        <f>_xlfn.XLOOKUP(A981,Orders[OrderID],Orders[OrderDate])</f>
        <v>43461</v>
      </c>
      <c r="I981" t="str">
        <f>_xlfn.XLOOKUP(A981,Orders[OrderID],Orders[CustomerName])</f>
        <v>Gopal</v>
      </c>
      <c r="J981" t="str">
        <f>_xlfn.XLOOKUP(A981,Orders[OrderID],Orders[State])</f>
        <v>Maharashtra</v>
      </c>
      <c r="K981" t="str">
        <f>_xlfn.XLOOKUP(A981,Orders[OrderID],Orders[City])</f>
        <v>Mumbai</v>
      </c>
      <c r="L981" s="3">
        <f>YEAR(Clean_Data[[#This Row],[OrderDate]])</f>
        <v>2018</v>
      </c>
      <c r="M981" s="3">
        <f>MONTH(Clean_Data[[#This Row],[OrderDate]])</f>
        <v>12</v>
      </c>
      <c r="N981" s="8" t="str">
        <f>TEXT(Clean_Data[[#This Row],[OrderDate]],"mmm")</f>
        <v>Dec</v>
      </c>
      <c r="O981" s="8" t="str">
        <f>TEXT(Clean_Data[[#This Row],[OrderDate]], "yyyy-mm")</f>
        <v>2018-12</v>
      </c>
      <c r="P981" s="7">
        <f>Clean_Data[[#This Row],[Profit]]/Clean_Data[[#This Row],[Revenue ]]</f>
        <v>-4.3478260869565216E-2</v>
      </c>
      <c r="Q981" t="str">
        <f>"Q"&amp;ROUNDUP(MONTH(Clean_Data[[#This Row],[OrderDate]])/3,0)</f>
        <v>Q4</v>
      </c>
      <c r="R981" t="str">
        <f>TEXT(Clean_Data[[#This Row],[OrderDate]], "dddd")</f>
        <v>Thursday</v>
      </c>
    </row>
    <row r="982" spans="1:18" x14ac:dyDescent="0.25">
      <c r="A982" t="s">
        <v>122</v>
      </c>
      <c r="B982" s="4">
        <v>257</v>
      </c>
      <c r="C982" s="4">
        <v>-252</v>
      </c>
      <c r="D982" s="3">
        <v>4</v>
      </c>
      <c r="E982" t="s">
        <v>895</v>
      </c>
      <c r="F982" t="s">
        <v>897</v>
      </c>
      <c r="G982" t="s">
        <v>907</v>
      </c>
      <c r="H982" s="6">
        <f>_xlfn.XLOOKUP(A982,Orders[OrderID],Orders[OrderDate])</f>
        <v>43367</v>
      </c>
      <c r="I982" t="str">
        <f>_xlfn.XLOOKUP(A982,Orders[OrderID],Orders[CustomerName])</f>
        <v>Siddharth</v>
      </c>
      <c r="J982" t="str">
        <f>_xlfn.XLOOKUP(A982,Orders[OrderID],Orders[State])</f>
        <v>Madhya Pradesh</v>
      </c>
      <c r="K982" t="str">
        <f>_xlfn.XLOOKUP(A982,Orders[OrderID],Orders[City])</f>
        <v>Indore</v>
      </c>
      <c r="L982" s="3">
        <f>YEAR(Clean_Data[[#This Row],[OrderDate]])</f>
        <v>2018</v>
      </c>
      <c r="M982" s="3">
        <f>MONTH(Clean_Data[[#This Row],[OrderDate]])</f>
        <v>9</v>
      </c>
      <c r="N982" s="8" t="str">
        <f>TEXT(Clean_Data[[#This Row],[OrderDate]],"mmm")</f>
        <v>Sep</v>
      </c>
      <c r="O982" s="8" t="str">
        <f>TEXT(Clean_Data[[#This Row],[OrderDate]], "yyyy-mm")</f>
        <v>2018-09</v>
      </c>
      <c r="P982" s="7">
        <f>Clean_Data[[#This Row],[Profit]]/Clean_Data[[#This Row],[Revenue ]]</f>
        <v>-0.98054474708171202</v>
      </c>
      <c r="Q982" t="str">
        <f>"Q"&amp;ROUNDUP(MONTH(Clean_Data[[#This Row],[OrderDate]])/3,0)</f>
        <v>Q3</v>
      </c>
      <c r="R982" t="str">
        <f>TEXT(Clean_Data[[#This Row],[OrderDate]], "dddd")</f>
        <v>Monday</v>
      </c>
    </row>
    <row r="983" spans="1:18" x14ac:dyDescent="0.25">
      <c r="A983" t="s">
        <v>569</v>
      </c>
      <c r="B983" s="4">
        <v>193</v>
      </c>
      <c r="C983" s="4">
        <v>33</v>
      </c>
      <c r="D983" s="3">
        <v>5</v>
      </c>
      <c r="E983" t="s">
        <v>885</v>
      </c>
      <c r="F983" t="s">
        <v>905</v>
      </c>
      <c r="G983" t="s">
        <v>887</v>
      </c>
      <c r="H983" s="6">
        <f>_xlfn.XLOOKUP(A983,Orders[OrderID],Orders[OrderDate])</f>
        <v>43175</v>
      </c>
      <c r="I983" t="str">
        <f>_xlfn.XLOOKUP(A983,Orders[OrderID],Orders[CustomerName])</f>
        <v>Shefali</v>
      </c>
      <c r="J983" t="str">
        <f>_xlfn.XLOOKUP(A983,Orders[OrderID],Orders[State])</f>
        <v>Rajasthan</v>
      </c>
      <c r="K983" t="str">
        <f>_xlfn.XLOOKUP(A983,Orders[OrderID],Orders[City])</f>
        <v>Jaipur</v>
      </c>
      <c r="L983" s="3">
        <f>YEAR(Clean_Data[[#This Row],[OrderDate]])</f>
        <v>2018</v>
      </c>
      <c r="M983" s="3">
        <f>MONTH(Clean_Data[[#This Row],[OrderDate]])</f>
        <v>3</v>
      </c>
      <c r="N983" s="8" t="str">
        <f>TEXT(Clean_Data[[#This Row],[OrderDate]],"mmm")</f>
        <v>Mar</v>
      </c>
      <c r="O983" s="8" t="str">
        <f>TEXT(Clean_Data[[#This Row],[OrderDate]], "yyyy-mm")</f>
        <v>2018-03</v>
      </c>
      <c r="P983" s="7">
        <f>Clean_Data[[#This Row],[Profit]]/Clean_Data[[#This Row],[Revenue ]]</f>
        <v>0.17098445595854922</v>
      </c>
      <c r="Q983" t="str">
        <f>"Q"&amp;ROUNDUP(MONTH(Clean_Data[[#This Row],[OrderDate]])/3,0)</f>
        <v>Q1</v>
      </c>
      <c r="R983" t="str">
        <f>TEXT(Clean_Data[[#This Row],[OrderDate]], "dddd")</f>
        <v>Friday</v>
      </c>
    </row>
    <row r="984" spans="1:18" x14ac:dyDescent="0.25">
      <c r="A984" t="s">
        <v>694</v>
      </c>
      <c r="B984" s="4">
        <v>109</v>
      </c>
      <c r="C984" s="4">
        <v>35</v>
      </c>
      <c r="D984" s="3">
        <v>6</v>
      </c>
      <c r="E984" t="s">
        <v>895</v>
      </c>
      <c r="F984" t="s">
        <v>906</v>
      </c>
      <c r="G984" t="s">
        <v>887</v>
      </c>
      <c r="H984" s="6">
        <f>_xlfn.XLOOKUP(A984,Orders[OrderID],Orders[OrderDate])</f>
        <v>43181</v>
      </c>
      <c r="I984" t="str">
        <f>_xlfn.XLOOKUP(A984,Orders[OrderID],Orders[CustomerName])</f>
        <v>Sonakshi</v>
      </c>
      <c r="J984" t="str">
        <f>_xlfn.XLOOKUP(A984,Orders[OrderID],Orders[State])</f>
        <v>Jammu and Kashmir</v>
      </c>
      <c r="K984" t="str">
        <f>_xlfn.XLOOKUP(A984,Orders[OrderID],Orders[City])</f>
        <v>Kashmir</v>
      </c>
      <c r="L984" s="3">
        <f>YEAR(Clean_Data[[#This Row],[OrderDate]])</f>
        <v>2018</v>
      </c>
      <c r="M984" s="3">
        <f>MONTH(Clean_Data[[#This Row],[OrderDate]])</f>
        <v>3</v>
      </c>
      <c r="N984" s="8" t="str">
        <f>TEXT(Clean_Data[[#This Row],[OrderDate]],"mmm")</f>
        <v>Mar</v>
      </c>
      <c r="O984" s="8" t="str">
        <f>TEXT(Clean_Data[[#This Row],[OrderDate]], "yyyy-mm")</f>
        <v>2018-03</v>
      </c>
      <c r="P984" s="7">
        <f>Clean_Data[[#This Row],[Profit]]/Clean_Data[[#This Row],[Revenue ]]</f>
        <v>0.32110091743119268</v>
      </c>
      <c r="Q984" t="str">
        <f>"Q"&amp;ROUNDUP(MONTH(Clean_Data[[#This Row],[OrderDate]])/3,0)</f>
        <v>Q1</v>
      </c>
      <c r="R984" t="str">
        <f>TEXT(Clean_Data[[#This Row],[OrderDate]], "dddd")</f>
        <v>Thursday</v>
      </c>
    </row>
    <row r="985" spans="1:18" x14ac:dyDescent="0.25">
      <c r="A985" t="s">
        <v>524</v>
      </c>
      <c r="B985" s="4">
        <v>214</v>
      </c>
      <c r="C985" s="4">
        <v>30</v>
      </c>
      <c r="D985" s="3">
        <v>3</v>
      </c>
      <c r="E985" t="s">
        <v>885</v>
      </c>
      <c r="F985" t="s">
        <v>905</v>
      </c>
      <c r="G985" t="s">
        <v>887</v>
      </c>
      <c r="H985" s="6">
        <f>_xlfn.XLOOKUP(A985,Orders[OrderID],Orders[OrderDate])</f>
        <v>43407</v>
      </c>
      <c r="I985" t="str">
        <f>_xlfn.XLOOKUP(A985,Orders[OrderID],Orders[CustomerName])</f>
        <v>Mrunal</v>
      </c>
      <c r="J985" t="str">
        <f>_xlfn.XLOOKUP(A985,Orders[OrderID],Orders[State])</f>
        <v>Maharashtra</v>
      </c>
      <c r="K985" t="str">
        <f>_xlfn.XLOOKUP(A985,Orders[OrderID],Orders[City])</f>
        <v>Mumbai</v>
      </c>
      <c r="L985" s="3">
        <f>YEAR(Clean_Data[[#This Row],[OrderDate]])</f>
        <v>2018</v>
      </c>
      <c r="M985" s="3">
        <f>MONTH(Clean_Data[[#This Row],[OrderDate]])</f>
        <v>11</v>
      </c>
      <c r="N985" s="8" t="str">
        <f>TEXT(Clean_Data[[#This Row],[OrderDate]],"mmm")</f>
        <v>Nov</v>
      </c>
      <c r="O985" s="8" t="str">
        <f>TEXT(Clean_Data[[#This Row],[OrderDate]], "yyyy-mm")</f>
        <v>2018-11</v>
      </c>
      <c r="P985" s="7">
        <f>Clean_Data[[#This Row],[Profit]]/Clean_Data[[#This Row],[Revenue ]]</f>
        <v>0.14018691588785046</v>
      </c>
      <c r="Q985" t="str">
        <f>"Q"&amp;ROUNDUP(MONTH(Clean_Data[[#This Row],[OrderDate]])/3,0)</f>
        <v>Q4</v>
      </c>
      <c r="R985" t="str">
        <f>TEXT(Clean_Data[[#This Row],[OrderDate]], "dddd")</f>
        <v>Saturday</v>
      </c>
    </row>
    <row r="986" spans="1:18" x14ac:dyDescent="0.25">
      <c r="A986" t="s">
        <v>516</v>
      </c>
      <c r="B986" s="4">
        <v>141</v>
      </c>
      <c r="C986" s="4">
        <v>7</v>
      </c>
      <c r="D986" s="3">
        <v>7</v>
      </c>
      <c r="E986" t="s">
        <v>895</v>
      </c>
      <c r="F986" t="s">
        <v>897</v>
      </c>
      <c r="G986" t="s">
        <v>887</v>
      </c>
      <c r="H986" s="6">
        <f>_xlfn.XLOOKUP(A986,Orders[OrderID],Orders[OrderDate])</f>
        <v>43139</v>
      </c>
      <c r="I986" t="str">
        <f>_xlfn.XLOOKUP(A986,Orders[OrderID],Orders[CustomerName])</f>
        <v>Harsh</v>
      </c>
      <c r="J986" t="str">
        <f>_xlfn.XLOOKUP(A986,Orders[OrderID],Orders[State])</f>
        <v>Delhi</v>
      </c>
      <c r="K986" t="str">
        <f>_xlfn.XLOOKUP(A986,Orders[OrderID],Orders[City])</f>
        <v>Delhi</v>
      </c>
      <c r="L986" s="3">
        <f>YEAR(Clean_Data[[#This Row],[OrderDate]])</f>
        <v>2018</v>
      </c>
      <c r="M986" s="3">
        <f>MONTH(Clean_Data[[#This Row],[OrderDate]])</f>
        <v>2</v>
      </c>
      <c r="N986" s="8" t="str">
        <f>TEXT(Clean_Data[[#This Row],[OrderDate]],"mmm")</f>
        <v>Feb</v>
      </c>
      <c r="O986" s="8" t="str">
        <f>TEXT(Clean_Data[[#This Row],[OrderDate]], "yyyy-mm")</f>
        <v>2018-02</v>
      </c>
      <c r="P986" s="7">
        <f>Clean_Data[[#This Row],[Profit]]/Clean_Data[[#This Row],[Revenue ]]</f>
        <v>4.9645390070921988E-2</v>
      </c>
      <c r="Q986" t="str">
        <f>"Q"&amp;ROUNDUP(MONTH(Clean_Data[[#This Row],[OrderDate]])/3,0)</f>
        <v>Q1</v>
      </c>
      <c r="R986" t="str">
        <f>TEXT(Clean_Data[[#This Row],[OrderDate]], "dddd")</f>
        <v>Thursday</v>
      </c>
    </row>
    <row r="987" spans="1:18" x14ac:dyDescent="0.25">
      <c r="A987" t="s">
        <v>7</v>
      </c>
      <c r="B987" s="4">
        <v>201</v>
      </c>
      <c r="C987" s="4">
        <v>32</v>
      </c>
      <c r="D987" s="3">
        <v>4</v>
      </c>
      <c r="E987" t="s">
        <v>888</v>
      </c>
      <c r="F987" t="s">
        <v>908</v>
      </c>
      <c r="G987" t="s">
        <v>898</v>
      </c>
      <c r="H987" s="6">
        <f>_xlfn.XLOOKUP(A987,Orders[OrderID],Orders[OrderDate])</f>
        <v>43134</v>
      </c>
      <c r="I987" t="str">
        <f>_xlfn.XLOOKUP(A987,Orders[OrderID],Orders[CustomerName])</f>
        <v>Madhav</v>
      </c>
      <c r="J987" t="str">
        <f>_xlfn.XLOOKUP(A987,Orders[OrderID],Orders[State])</f>
        <v>Delhi</v>
      </c>
      <c r="K987" t="str">
        <f>_xlfn.XLOOKUP(A987,Orders[OrderID],Orders[City])</f>
        <v>Delhi</v>
      </c>
      <c r="L987" s="3">
        <f>YEAR(Clean_Data[[#This Row],[OrderDate]])</f>
        <v>2018</v>
      </c>
      <c r="M987" s="3">
        <f>MONTH(Clean_Data[[#This Row],[OrderDate]])</f>
        <v>2</v>
      </c>
      <c r="N987" s="8" t="str">
        <f>TEXT(Clean_Data[[#This Row],[OrderDate]],"mmm")</f>
        <v>Feb</v>
      </c>
      <c r="O987" s="8" t="str">
        <f>TEXT(Clean_Data[[#This Row],[OrderDate]], "yyyy-mm")</f>
        <v>2018-02</v>
      </c>
      <c r="P987" s="7">
        <f>Clean_Data[[#This Row],[Profit]]/Clean_Data[[#This Row],[Revenue ]]</f>
        <v>0.15920398009950248</v>
      </c>
      <c r="Q987" t="str">
        <f>"Q"&amp;ROUNDUP(MONTH(Clean_Data[[#This Row],[OrderDate]])/3,0)</f>
        <v>Q1</v>
      </c>
      <c r="R987" t="str">
        <f>TEXT(Clean_Data[[#This Row],[OrderDate]], "dddd")</f>
        <v>Saturday</v>
      </c>
    </row>
    <row r="988" spans="1:18" x14ac:dyDescent="0.25">
      <c r="A988" t="s">
        <v>351</v>
      </c>
      <c r="B988" s="4">
        <v>54</v>
      </c>
      <c r="C988" s="4">
        <v>12</v>
      </c>
      <c r="D988" s="3">
        <v>4</v>
      </c>
      <c r="E988" t="s">
        <v>895</v>
      </c>
      <c r="F988" t="s">
        <v>909</v>
      </c>
      <c r="G988" t="s">
        <v>887</v>
      </c>
      <c r="H988" s="6">
        <f>_xlfn.XLOOKUP(A988,Orders[OrderID],Orders[OrderDate])</f>
        <v>43177</v>
      </c>
      <c r="I988" t="str">
        <f>_xlfn.XLOOKUP(A988,Orders[OrderID],Orders[CustomerName])</f>
        <v>Shruti</v>
      </c>
      <c r="J988" t="str">
        <f>_xlfn.XLOOKUP(A988,Orders[OrderID],Orders[State])</f>
        <v>Karnataka</v>
      </c>
      <c r="K988" t="str">
        <f>_xlfn.XLOOKUP(A988,Orders[OrderID],Orders[City])</f>
        <v>Bangalore</v>
      </c>
      <c r="L988" s="3">
        <f>YEAR(Clean_Data[[#This Row],[OrderDate]])</f>
        <v>2018</v>
      </c>
      <c r="M988" s="3">
        <f>MONTH(Clean_Data[[#This Row],[OrderDate]])</f>
        <v>3</v>
      </c>
      <c r="N988" s="8" t="str">
        <f>TEXT(Clean_Data[[#This Row],[OrderDate]],"mmm")</f>
        <v>Mar</v>
      </c>
      <c r="O988" s="8" t="str">
        <f>TEXT(Clean_Data[[#This Row],[OrderDate]], "yyyy-mm")</f>
        <v>2018-03</v>
      </c>
      <c r="P988" s="7">
        <f>Clean_Data[[#This Row],[Profit]]/Clean_Data[[#This Row],[Revenue ]]</f>
        <v>0.22222222222222221</v>
      </c>
      <c r="Q988" t="str">
        <f>"Q"&amp;ROUNDUP(MONTH(Clean_Data[[#This Row],[OrderDate]])/3,0)</f>
        <v>Q1</v>
      </c>
      <c r="R988" t="str">
        <f>TEXT(Clean_Data[[#This Row],[OrderDate]], "dddd")</f>
        <v>Sunday</v>
      </c>
    </row>
    <row r="989" spans="1:18" x14ac:dyDescent="0.25">
      <c r="A989" t="s">
        <v>47</v>
      </c>
      <c r="B989" s="4">
        <v>83</v>
      </c>
      <c r="C989" s="4">
        <v>6</v>
      </c>
      <c r="D989" s="3">
        <v>6</v>
      </c>
      <c r="E989" t="s">
        <v>895</v>
      </c>
      <c r="F989" t="s">
        <v>909</v>
      </c>
      <c r="G989" t="s">
        <v>890</v>
      </c>
      <c r="H989" s="6">
        <f>_xlfn.XLOOKUP(A989,Orders[OrderID],Orders[OrderDate])</f>
        <v>43435</v>
      </c>
      <c r="I989" t="str">
        <f>_xlfn.XLOOKUP(A989,Orders[OrderID],Orders[CustomerName])</f>
        <v>Vishakha</v>
      </c>
      <c r="J989" t="str">
        <f>_xlfn.XLOOKUP(A989,Orders[OrderID],Orders[State])</f>
        <v>Uttar Pradesh</v>
      </c>
      <c r="K989" t="str">
        <f>_xlfn.XLOOKUP(A989,Orders[OrderID],Orders[City])</f>
        <v>Prayagraj</v>
      </c>
      <c r="L989" s="3">
        <f>YEAR(Clean_Data[[#This Row],[OrderDate]])</f>
        <v>2018</v>
      </c>
      <c r="M989" s="3">
        <f>MONTH(Clean_Data[[#This Row],[OrderDate]])</f>
        <v>12</v>
      </c>
      <c r="N989" s="8" t="str">
        <f>TEXT(Clean_Data[[#This Row],[OrderDate]],"mmm")</f>
        <v>Dec</v>
      </c>
      <c r="O989" s="8" t="str">
        <f>TEXT(Clean_Data[[#This Row],[OrderDate]], "yyyy-mm")</f>
        <v>2018-12</v>
      </c>
      <c r="P989" s="7">
        <f>Clean_Data[[#This Row],[Profit]]/Clean_Data[[#This Row],[Revenue ]]</f>
        <v>7.2289156626506021E-2</v>
      </c>
      <c r="Q989" t="str">
        <f>"Q"&amp;ROUNDUP(MONTH(Clean_Data[[#This Row],[OrderDate]])/3,0)</f>
        <v>Q4</v>
      </c>
      <c r="R989" t="str">
        <f>TEXT(Clean_Data[[#This Row],[OrderDate]], "dddd")</f>
        <v>Saturday</v>
      </c>
    </row>
    <row r="990" spans="1:18" x14ac:dyDescent="0.25">
      <c r="A990" t="s">
        <v>414</v>
      </c>
      <c r="B990" s="4">
        <v>54</v>
      </c>
      <c r="C990" s="4">
        <v>-3</v>
      </c>
      <c r="D990" s="3">
        <v>3</v>
      </c>
      <c r="E990" t="s">
        <v>895</v>
      </c>
      <c r="F990" t="s">
        <v>897</v>
      </c>
      <c r="G990" t="s">
        <v>887</v>
      </c>
      <c r="H990" s="6">
        <f>_xlfn.XLOOKUP(A990,Orders[OrderID],Orders[OrderDate])</f>
        <v>43230</v>
      </c>
      <c r="I990" t="str">
        <f>_xlfn.XLOOKUP(A990,Orders[OrderID],Orders[CustomerName])</f>
        <v>Sabah</v>
      </c>
      <c r="J990" t="str">
        <f>_xlfn.XLOOKUP(A990,Orders[OrderID],Orders[State])</f>
        <v>Maharashtra</v>
      </c>
      <c r="K990" t="str">
        <f>_xlfn.XLOOKUP(A990,Orders[OrderID],Orders[City])</f>
        <v>Mumbai</v>
      </c>
      <c r="L990" s="3">
        <f>YEAR(Clean_Data[[#This Row],[OrderDate]])</f>
        <v>2018</v>
      </c>
      <c r="M990" s="3">
        <f>MONTH(Clean_Data[[#This Row],[OrderDate]])</f>
        <v>5</v>
      </c>
      <c r="N990" s="8" t="str">
        <f>TEXT(Clean_Data[[#This Row],[OrderDate]],"mmm")</f>
        <v>May</v>
      </c>
      <c r="O990" s="8" t="str">
        <f>TEXT(Clean_Data[[#This Row],[OrderDate]], "yyyy-mm")</f>
        <v>2018-05</v>
      </c>
      <c r="P990" s="7">
        <f>Clean_Data[[#This Row],[Profit]]/Clean_Data[[#This Row],[Revenue ]]</f>
        <v>-5.5555555555555552E-2</v>
      </c>
      <c r="Q990" t="str">
        <f>"Q"&amp;ROUNDUP(MONTH(Clean_Data[[#This Row],[OrderDate]])/3,0)</f>
        <v>Q2</v>
      </c>
      <c r="R990" t="str">
        <f>TEXT(Clean_Data[[#This Row],[OrderDate]], "dddd")</f>
        <v>Thursday</v>
      </c>
    </row>
    <row r="991" spans="1:18" x14ac:dyDescent="0.25">
      <c r="A991" t="s">
        <v>230</v>
      </c>
      <c r="B991" s="4">
        <v>53</v>
      </c>
      <c r="C991" s="4">
        <v>5</v>
      </c>
      <c r="D991" s="3">
        <v>3</v>
      </c>
      <c r="E991" t="s">
        <v>895</v>
      </c>
      <c r="F991" t="s">
        <v>906</v>
      </c>
      <c r="G991" t="s">
        <v>887</v>
      </c>
      <c r="H991" s="6">
        <f>_xlfn.XLOOKUP(A991,Orders[OrderID],Orders[OrderDate])</f>
        <v>43441</v>
      </c>
      <c r="I991" t="str">
        <f>_xlfn.XLOOKUP(A991,Orders[OrderID],Orders[CustomerName])</f>
        <v>Abhishek</v>
      </c>
      <c r="J991" t="str">
        <f>_xlfn.XLOOKUP(A991,Orders[OrderID],Orders[State])</f>
        <v>Rajasthan</v>
      </c>
      <c r="K991" t="str">
        <f>_xlfn.XLOOKUP(A991,Orders[OrderID],Orders[City])</f>
        <v>Udaipur</v>
      </c>
      <c r="L991" s="3">
        <f>YEAR(Clean_Data[[#This Row],[OrderDate]])</f>
        <v>2018</v>
      </c>
      <c r="M991" s="3">
        <f>MONTH(Clean_Data[[#This Row],[OrderDate]])</f>
        <v>12</v>
      </c>
      <c r="N991" s="8" t="str">
        <f>TEXT(Clean_Data[[#This Row],[OrderDate]],"mmm")</f>
        <v>Dec</v>
      </c>
      <c r="O991" s="8" t="str">
        <f>TEXT(Clean_Data[[#This Row],[OrderDate]], "yyyy-mm")</f>
        <v>2018-12</v>
      </c>
      <c r="P991" s="7">
        <f>Clean_Data[[#This Row],[Profit]]/Clean_Data[[#This Row],[Revenue ]]</f>
        <v>9.4339622641509441E-2</v>
      </c>
      <c r="Q991" t="str">
        <f>"Q"&amp;ROUNDUP(MONTH(Clean_Data[[#This Row],[OrderDate]])/3,0)</f>
        <v>Q4</v>
      </c>
      <c r="R991" t="str">
        <f>TEXT(Clean_Data[[#This Row],[OrderDate]], "dddd")</f>
        <v>Friday</v>
      </c>
    </row>
    <row r="992" spans="1:18" x14ac:dyDescent="0.25">
      <c r="A992" t="s">
        <v>263</v>
      </c>
      <c r="B992" s="4">
        <v>258</v>
      </c>
      <c r="C992" s="4">
        <v>-27</v>
      </c>
      <c r="D992" s="3">
        <v>2</v>
      </c>
      <c r="E992" t="s">
        <v>885</v>
      </c>
      <c r="F992" t="s">
        <v>894</v>
      </c>
      <c r="G992" t="s">
        <v>907</v>
      </c>
      <c r="H992" s="6">
        <f>_xlfn.XLOOKUP(A992,Orders[OrderID],Orders[OrderDate])</f>
        <v>43240</v>
      </c>
      <c r="I992" t="str">
        <f>_xlfn.XLOOKUP(A992,Orders[OrderID],Orders[CustomerName])</f>
        <v>Pratyusmita</v>
      </c>
      <c r="J992" t="str">
        <f>_xlfn.XLOOKUP(A992,Orders[OrderID],Orders[State])</f>
        <v>Bihar</v>
      </c>
      <c r="K992" t="str">
        <f>_xlfn.XLOOKUP(A992,Orders[OrderID],Orders[City])</f>
        <v>Patna</v>
      </c>
      <c r="L992" s="3">
        <f>YEAR(Clean_Data[[#This Row],[OrderDate]])</f>
        <v>2018</v>
      </c>
      <c r="M992" s="3">
        <f>MONTH(Clean_Data[[#This Row],[OrderDate]])</f>
        <v>5</v>
      </c>
      <c r="N992" s="8" t="str">
        <f>TEXT(Clean_Data[[#This Row],[OrderDate]],"mmm")</f>
        <v>May</v>
      </c>
      <c r="O992" s="8" t="str">
        <f>TEXT(Clean_Data[[#This Row],[OrderDate]], "yyyy-mm")</f>
        <v>2018-05</v>
      </c>
      <c r="P992" s="7">
        <f>Clean_Data[[#This Row],[Profit]]/Clean_Data[[#This Row],[Revenue ]]</f>
        <v>-0.10465116279069768</v>
      </c>
      <c r="Q992" t="str">
        <f>"Q"&amp;ROUNDUP(MONTH(Clean_Data[[#This Row],[OrderDate]])/3,0)</f>
        <v>Q2</v>
      </c>
      <c r="R992" t="str">
        <f>TEXT(Clean_Data[[#This Row],[OrderDate]], "dddd")</f>
        <v>Sunday</v>
      </c>
    </row>
    <row r="993" spans="1:18" x14ac:dyDescent="0.25">
      <c r="A993" t="s">
        <v>853</v>
      </c>
      <c r="B993" s="4">
        <v>199</v>
      </c>
      <c r="C993" s="4">
        <v>8</v>
      </c>
      <c r="D993" s="3">
        <v>2</v>
      </c>
      <c r="E993" t="s">
        <v>895</v>
      </c>
      <c r="F993" t="s">
        <v>897</v>
      </c>
      <c r="G993" t="s">
        <v>887</v>
      </c>
      <c r="H993" s="6">
        <f>_xlfn.XLOOKUP(A993,Orders[OrderID],Orders[OrderDate])</f>
        <v>43144</v>
      </c>
      <c r="I993" t="str">
        <f>_xlfn.XLOOKUP(A993,Orders[OrderID],Orders[CustomerName])</f>
        <v>Pearl</v>
      </c>
      <c r="J993" t="str">
        <f>_xlfn.XLOOKUP(A993,Orders[OrderID],Orders[State])</f>
        <v>Maharashtra</v>
      </c>
      <c r="K993" t="str">
        <f>_xlfn.XLOOKUP(A993,Orders[OrderID],Orders[City])</f>
        <v>Pune</v>
      </c>
      <c r="L993" s="3">
        <f>YEAR(Clean_Data[[#This Row],[OrderDate]])</f>
        <v>2018</v>
      </c>
      <c r="M993" s="3">
        <f>MONTH(Clean_Data[[#This Row],[OrderDate]])</f>
        <v>2</v>
      </c>
      <c r="N993" s="8" t="str">
        <f>TEXT(Clean_Data[[#This Row],[OrderDate]],"mmm")</f>
        <v>Feb</v>
      </c>
      <c r="O993" s="8" t="str">
        <f>TEXT(Clean_Data[[#This Row],[OrderDate]], "yyyy-mm")</f>
        <v>2018-02</v>
      </c>
      <c r="P993" s="7">
        <f>Clean_Data[[#This Row],[Profit]]/Clean_Data[[#This Row],[Revenue ]]</f>
        <v>4.0201005025125629E-2</v>
      </c>
      <c r="Q993" t="str">
        <f>"Q"&amp;ROUNDUP(MONTH(Clean_Data[[#This Row],[OrderDate]])/3,0)</f>
        <v>Q1</v>
      </c>
      <c r="R993" t="str">
        <f>TEXT(Clean_Data[[#This Row],[OrderDate]], "dddd")</f>
        <v>Tuesday</v>
      </c>
    </row>
    <row r="994" spans="1:18" x14ac:dyDescent="0.25">
      <c r="A994" t="s">
        <v>356</v>
      </c>
      <c r="B994" s="4">
        <v>82</v>
      </c>
      <c r="C994" s="4">
        <v>-27</v>
      </c>
      <c r="D994" s="3">
        <v>3</v>
      </c>
      <c r="E994" t="s">
        <v>895</v>
      </c>
      <c r="F994" t="s">
        <v>900</v>
      </c>
      <c r="G994" t="s">
        <v>890</v>
      </c>
      <c r="H994" s="6">
        <f>_xlfn.XLOOKUP(A994,Orders[OrderID],Orders[OrderDate])</f>
        <v>43127</v>
      </c>
      <c r="I994" t="str">
        <f>_xlfn.XLOOKUP(A994,Orders[OrderID],Orders[CustomerName])</f>
        <v>Shivangi</v>
      </c>
      <c r="J994" t="str">
        <f>_xlfn.XLOOKUP(A994,Orders[OrderID],Orders[State])</f>
        <v>Madhya Pradesh</v>
      </c>
      <c r="K994" t="str">
        <f>_xlfn.XLOOKUP(A994,Orders[OrderID],Orders[City])</f>
        <v>Indore</v>
      </c>
      <c r="L994" s="3">
        <f>YEAR(Clean_Data[[#This Row],[OrderDate]])</f>
        <v>2018</v>
      </c>
      <c r="M994" s="3">
        <f>MONTH(Clean_Data[[#This Row],[OrderDate]])</f>
        <v>1</v>
      </c>
      <c r="N994" s="8" t="str">
        <f>TEXT(Clean_Data[[#This Row],[OrderDate]],"mmm")</f>
        <v>Jan</v>
      </c>
      <c r="O994" s="8" t="str">
        <f>TEXT(Clean_Data[[#This Row],[OrderDate]], "yyyy-mm")</f>
        <v>2018-01</v>
      </c>
      <c r="P994" s="7">
        <f>Clean_Data[[#This Row],[Profit]]/Clean_Data[[#This Row],[Revenue ]]</f>
        <v>-0.32926829268292684</v>
      </c>
      <c r="Q994" t="str">
        <f>"Q"&amp;ROUNDUP(MONTH(Clean_Data[[#This Row],[OrderDate]])/3,0)</f>
        <v>Q1</v>
      </c>
      <c r="R994" t="str">
        <f>TEXT(Clean_Data[[#This Row],[OrderDate]], "dddd")</f>
        <v>Saturday</v>
      </c>
    </row>
    <row r="995" spans="1:18" x14ac:dyDescent="0.25">
      <c r="A995" t="s">
        <v>358</v>
      </c>
      <c r="B995" s="4">
        <v>139</v>
      </c>
      <c r="C995" s="4">
        <v>36</v>
      </c>
      <c r="D995" s="3">
        <v>3</v>
      </c>
      <c r="E995" t="s">
        <v>895</v>
      </c>
      <c r="F995" t="s">
        <v>903</v>
      </c>
      <c r="G995" t="s">
        <v>887</v>
      </c>
      <c r="H995" s="6">
        <f>_xlfn.XLOOKUP(A995,Orders[OrderID],Orders[OrderDate])</f>
        <v>43169</v>
      </c>
      <c r="I995" t="str">
        <f>_xlfn.XLOOKUP(A995,Orders[OrderID],Orders[CustomerName])</f>
        <v>Mayank</v>
      </c>
      <c r="J995" t="str">
        <f>_xlfn.XLOOKUP(A995,Orders[OrderID],Orders[State])</f>
        <v>Maharashtra</v>
      </c>
      <c r="K995" t="str">
        <f>_xlfn.XLOOKUP(A995,Orders[OrderID],Orders[City])</f>
        <v>Mumbai</v>
      </c>
      <c r="L995" s="3">
        <f>YEAR(Clean_Data[[#This Row],[OrderDate]])</f>
        <v>2018</v>
      </c>
      <c r="M995" s="3">
        <f>MONTH(Clean_Data[[#This Row],[OrderDate]])</f>
        <v>3</v>
      </c>
      <c r="N995" s="8" t="str">
        <f>TEXT(Clean_Data[[#This Row],[OrderDate]],"mmm")</f>
        <v>Mar</v>
      </c>
      <c r="O995" s="8" t="str">
        <f>TEXT(Clean_Data[[#This Row],[OrderDate]], "yyyy-mm")</f>
        <v>2018-03</v>
      </c>
      <c r="P995" s="7">
        <f>Clean_Data[[#This Row],[Profit]]/Clean_Data[[#This Row],[Revenue ]]</f>
        <v>0.25899280575539568</v>
      </c>
      <c r="Q995" t="str">
        <f>"Q"&amp;ROUNDUP(MONTH(Clean_Data[[#This Row],[OrderDate]])/3,0)</f>
        <v>Q1</v>
      </c>
      <c r="R995" t="str">
        <f>TEXT(Clean_Data[[#This Row],[OrderDate]], "dddd")</f>
        <v>Saturday</v>
      </c>
    </row>
    <row r="996" spans="1:18" x14ac:dyDescent="0.25">
      <c r="A996" t="s">
        <v>16</v>
      </c>
      <c r="B996" s="4">
        <v>53</v>
      </c>
      <c r="C996" s="4">
        <v>15</v>
      </c>
      <c r="D996" s="3">
        <v>2</v>
      </c>
      <c r="E996" t="s">
        <v>895</v>
      </c>
      <c r="F996" t="s">
        <v>903</v>
      </c>
      <c r="G996" t="s">
        <v>887</v>
      </c>
      <c r="H996" s="6">
        <f>_xlfn.XLOOKUP(A996,Orders[OrderID],Orders[OrderDate])</f>
        <v>43333</v>
      </c>
      <c r="I996" t="str">
        <f>_xlfn.XLOOKUP(A996,Orders[OrderID],Orders[CustomerName])</f>
        <v>Vishakha</v>
      </c>
      <c r="J996" t="str">
        <f>_xlfn.XLOOKUP(A996,Orders[OrderID],Orders[State])</f>
        <v>Madhya Pradesh</v>
      </c>
      <c r="K996" t="str">
        <f>_xlfn.XLOOKUP(A996,Orders[OrderID],Orders[City])</f>
        <v>Indore</v>
      </c>
      <c r="L996" s="3">
        <f>YEAR(Clean_Data[[#This Row],[OrderDate]])</f>
        <v>2018</v>
      </c>
      <c r="M996" s="3">
        <f>MONTH(Clean_Data[[#This Row],[OrderDate]])</f>
        <v>8</v>
      </c>
      <c r="N996" s="8" t="str">
        <f>TEXT(Clean_Data[[#This Row],[OrderDate]],"mmm")</f>
        <v>Aug</v>
      </c>
      <c r="O996" s="8" t="str">
        <f>TEXT(Clean_Data[[#This Row],[OrderDate]], "yyyy-mm")</f>
        <v>2018-08</v>
      </c>
      <c r="P996" s="7">
        <f>Clean_Data[[#This Row],[Profit]]/Clean_Data[[#This Row],[Revenue ]]</f>
        <v>0.28301886792452829</v>
      </c>
      <c r="Q996" t="str">
        <f>"Q"&amp;ROUNDUP(MONTH(Clean_Data[[#This Row],[OrderDate]])/3,0)</f>
        <v>Q3</v>
      </c>
      <c r="R996" t="str">
        <f>TEXT(Clean_Data[[#This Row],[OrderDate]], "dddd")</f>
        <v>Tuesday</v>
      </c>
    </row>
    <row r="997" spans="1:18" x14ac:dyDescent="0.25">
      <c r="A997" t="s">
        <v>606</v>
      </c>
      <c r="B997" s="4">
        <v>53</v>
      </c>
      <c r="C997" s="4">
        <v>1</v>
      </c>
      <c r="D997" s="3">
        <v>4</v>
      </c>
      <c r="E997" t="s">
        <v>895</v>
      </c>
      <c r="F997" t="s">
        <v>903</v>
      </c>
      <c r="G997" t="s">
        <v>887</v>
      </c>
      <c r="H997" s="6">
        <f>_xlfn.XLOOKUP(A997,Orders[OrderID],Orders[OrderDate])</f>
        <v>43212</v>
      </c>
      <c r="I997" t="str">
        <f>_xlfn.XLOOKUP(A997,Orders[OrderID],Orders[CustomerName])</f>
        <v>Atharv</v>
      </c>
      <c r="J997" t="str">
        <f>_xlfn.XLOOKUP(A997,Orders[OrderID],Orders[State])</f>
        <v>West Bengal</v>
      </c>
      <c r="K997" t="str">
        <f>_xlfn.XLOOKUP(A997,Orders[OrderID],Orders[City])</f>
        <v>Kolkata</v>
      </c>
      <c r="L997" s="3">
        <f>YEAR(Clean_Data[[#This Row],[OrderDate]])</f>
        <v>2018</v>
      </c>
      <c r="M997" s="3">
        <f>MONTH(Clean_Data[[#This Row],[OrderDate]])</f>
        <v>4</v>
      </c>
      <c r="N997" s="8" t="str">
        <f>TEXT(Clean_Data[[#This Row],[OrderDate]],"mmm")</f>
        <v>Apr</v>
      </c>
      <c r="O997" s="8" t="str">
        <f>TEXT(Clean_Data[[#This Row],[OrderDate]], "yyyy-mm")</f>
        <v>2018-04</v>
      </c>
      <c r="P997" s="7">
        <f>Clean_Data[[#This Row],[Profit]]/Clean_Data[[#This Row],[Revenue ]]</f>
        <v>1.8867924528301886E-2</v>
      </c>
      <c r="Q997" t="str">
        <f>"Q"&amp;ROUNDUP(MONTH(Clean_Data[[#This Row],[OrderDate]])/3,0)</f>
        <v>Q2</v>
      </c>
      <c r="R997" t="str">
        <f>TEXT(Clean_Data[[#This Row],[OrderDate]], "dddd")</f>
        <v>Sunday</v>
      </c>
    </row>
    <row r="998" spans="1:18" x14ac:dyDescent="0.25">
      <c r="A998" t="s">
        <v>707</v>
      </c>
      <c r="B998" s="4">
        <v>101</v>
      </c>
      <c r="C998" s="4">
        <v>38</v>
      </c>
      <c r="D998" s="3">
        <v>2</v>
      </c>
      <c r="E998" t="s">
        <v>888</v>
      </c>
      <c r="F998" t="s">
        <v>908</v>
      </c>
      <c r="G998" t="s">
        <v>887</v>
      </c>
      <c r="H998" s="6">
        <f>_xlfn.XLOOKUP(A998,Orders[OrderID],Orders[OrderDate])</f>
        <v>43393</v>
      </c>
      <c r="I998" t="str">
        <f>_xlfn.XLOOKUP(A998,Orders[OrderID],Orders[CustomerName])</f>
        <v>Shyam</v>
      </c>
      <c r="J998" t="str">
        <f>_xlfn.XLOOKUP(A998,Orders[OrderID],Orders[State])</f>
        <v>Madhya Pradesh</v>
      </c>
      <c r="K998" t="str">
        <f>_xlfn.XLOOKUP(A998,Orders[OrderID],Orders[City])</f>
        <v>Indore</v>
      </c>
      <c r="L998" s="3">
        <f>YEAR(Clean_Data[[#This Row],[OrderDate]])</f>
        <v>2018</v>
      </c>
      <c r="M998" s="3">
        <f>MONTH(Clean_Data[[#This Row],[OrderDate]])</f>
        <v>10</v>
      </c>
      <c r="N998" s="8" t="str">
        <f>TEXT(Clean_Data[[#This Row],[OrderDate]],"mmm")</f>
        <v>Oct</v>
      </c>
      <c r="O998" s="8" t="str">
        <f>TEXT(Clean_Data[[#This Row],[OrderDate]], "yyyy-mm")</f>
        <v>2018-10</v>
      </c>
      <c r="P998" s="7">
        <f>Clean_Data[[#This Row],[Profit]]/Clean_Data[[#This Row],[Revenue ]]</f>
        <v>0.37623762376237624</v>
      </c>
      <c r="Q998" t="str">
        <f>"Q"&amp;ROUNDUP(MONTH(Clean_Data[[#This Row],[OrderDate]])/3,0)</f>
        <v>Q4</v>
      </c>
      <c r="R998" t="str">
        <f>TEXT(Clean_Data[[#This Row],[OrderDate]], "dddd")</f>
        <v>Saturday</v>
      </c>
    </row>
    <row r="999" spans="1:18" x14ac:dyDescent="0.25">
      <c r="A999" t="s">
        <v>486</v>
      </c>
      <c r="B999" s="4">
        <v>262</v>
      </c>
      <c r="C999" s="4">
        <v>215</v>
      </c>
      <c r="D999" s="3">
        <v>2</v>
      </c>
      <c r="E999" t="s">
        <v>885</v>
      </c>
      <c r="F999" t="s">
        <v>892</v>
      </c>
      <c r="G999" t="s">
        <v>907</v>
      </c>
      <c r="H999" s="6">
        <f>_xlfn.XLOOKUP(A999,Orders[OrderID],Orders[OrderDate])</f>
        <v>43330</v>
      </c>
      <c r="I999" t="str">
        <f>_xlfn.XLOOKUP(A999,Orders[OrderID],Orders[CustomerName])</f>
        <v>Akshay</v>
      </c>
      <c r="J999" t="str">
        <f>_xlfn.XLOOKUP(A999,Orders[OrderID],Orders[State])</f>
        <v>Bihar</v>
      </c>
      <c r="K999" t="str">
        <f>_xlfn.XLOOKUP(A999,Orders[OrderID],Orders[City])</f>
        <v>Patna</v>
      </c>
      <c r="L999" s="3">
        <f>YEAR(Clean_Data[[#This Row],[OrderDate]])</f>
        <v>2018</v>
      </c>
      <c r="M999" s="3">
        <f>MONTH(Clean_Data[[#This Row],[OrderDate]])</f>
        <v>8</v>
      </c>
      <c r="N999" s="8" t="str">
        <f>TEXT(Clean_Data[[#This Row],[OrderDate]],"mmm")</f>
        <v>Aug</v>
      </c>
      <c r="O999" s="8" t="str">
        <f>TEXT(Clean_Data[[#This Row],[OrderDate]], "yyyy-mm")</f>
        <v>2018-08</v>
      </c>
      <c r="P999" s="7">
        <f>Clean_Data[[#This Row],[Profit]]/Clean_Data[[#This Row],[Revenue ]]</f>
        <v>0.82061068702290074</v>
      </c>
      <c r="Q999" t="str">
        <f>"Q"&amp;ROUNDUP(MONTH(Clean_Data[[#This Row],[OrderDate]])/3,0)</f>
        <v>Q3</v>
      </c>
      <c r="R999" t="str">
        <f>TEXT(Clean_Data[[#This Row],[OrderDate]], "dddd")</f>
        <v>Saturday</v>
      </c>
    </row>
    <row r="1000" spans="1:18" x14ac:dyDescent="0.25">
      <c r="A1000" t="s">
        <v>335</v>
      </c>
      <c r="B1000" s="4">
        <v>82</v>
      </c>
      <c r="C1000" s="4">
        <v>-39</v>
      </c>
      <c r="D1000" s="3">
        <v>5</v>
      </c>
      <c r="E1000" t="s">
        <v>895</v>
      </c>
      <c r="F1000" t="s">
        <v>906</v>
      </c>
      <c r="G1000" t="s">
        <v>890</v>
      </c>
      <c r="H1000" s="6">
        <f>_xlfn.XLOOKUP(A1000,Orders[OrderID],Orders[OrderDate])</f>
        <v>43269</v>
      </c>
      <c r="I1000" t="str">
        <f>_xlfn.XLOOKUP(A1000,Orders[OrderID],Orders[CustomerName])</f>
        <v>Parna</v>
      </c>
      <c r="J1000" t="str">
        <f>_xlfn.XLOOKUP(A1000,Orders[OrderID],Orders[State])</f>
        <v>Madhya Pradesh</v>
      </c>
      <c r="K1000" t="str">
        <f>_xlfn.XLOOKUP(A1000,Orders[OrderID],Orders[City])</f>
        <v>Bhopal</v>
      </c>
      <c r="L1000" s="3">
        <f>YEAR(Clean_Data[[#This Row],[OrderDate]])</f>
        <v>2018</v>
      </c>
      <c r="M1000" s="3">
        <f>MONTH(Clean_Data[[#This Row],[OrderDate]])</f>
        <v>6</v>
      </c>
      <c r="N1000" s="8" t="str">
        <f>TEXT(Clean_Data[[#This Row],[OrderDate]],"mmm")</f>
        <v>Jun</v>
      </c>
      <c r="O1000" s="8" t="str">
        <f>TEXT(Clean_Data[[#This Row],[OrderDate]], "yyyy-mm")</f>
        <v>2018-06</v>
      </c>
      <c r="P1000" s="7">
        <f>Clean_Data[[#This Row],[Profit]]/Clean_Data[[#This Row],[Revenue ]]</f>
        <v>-0.47560975609756095</v>
      </c>
      <c r="Q1000" t="str">
        <f>"Q"&amp;ROUNDUP(MONTH(Clean_Data[[#This Row],[OrderDate]])/3,0)</f>
        <v>Q2</v>
      </c>
      <c r="R1000" t="str">
        <f>TEXT(Clean_Data[[#This Row],[OrderDate]], "dddd")</f>
        <v>Monday</v>
      </c>
    </row>
    <row r="1001" spans="1:18" x14ac:dyDescent="0.25">
      <c r="A1001" t="s">
        <v>239</v>
      </c>
      <c r="B1001" s="4">
        <v>154</v>
      </c>
      <c r="C1001" s="4">
        <v>39</v>
      </c>
      <c r="D1001" s="3">
        <v>3</v>
      </c>
      <c r="E1001" t="s">
        <v>895</v>
      </c>
      <c r="F1001" t="s">
        <v>899</v>
      </c>
      <c r="G1001" t="s">
        <v>887</v>
      </c>
      <c r="H1001" s="6">
        <f>_xlfn.XLOOKUP(A1001,Orders[OrderID],Orders[OrderDate])</f>
        <v>43216</v>
      </c>
      <c r="I1001" t="str">
        <f>_xlfn.XLOOKUP(A1001,Orders[OrderID],Orders[CustomerName])</f>
        <v>Parth</v>
      </c>
      <c r="J1001" t="str">
        <f>_xlfn.XLOOKUP(A1001,Orders[OrderID],Orders[State])</f>
        <v>Maharashtra</v>
      </c>
      <c r="K1001" t="str">
        <f>_xlfn.XLOOKUP(A1001,Orders[OrderID],Orders[City])</f>
        <v>Pune</v>
      </c>
      <c r="L1001" s="3">
        <f>YEAR(Clean_Data[[#This Row],[OrderDate]])</f>
        <v>2018</v>
      </c>
      <c r="M1001" s="3">
        <f>MONTH(Clean_Data[[#This Row],[OrderDate]])</f>
        <v>4</v>
      </c>
      <c r="N1001" s="8" t="str">
        <f>TEXT(Clean_Data[[#This Row],[OrderDate]],"mmm")</f>
        <v>Apr</v>
      </c>
      <c r="O1001" s="8" t="str">
        <f>TEXT(Clean_Data[[#This Row],[OrderDate]], "yyyy-mm")</f>
        <v>2018-04</v>
      </c>
      <c r="P1001" s="7">
        <f>Clean_Data[[#This Row],[Profit]]/Clean_Data[[#This Row],[Revenue ]]</f>
        <v>0.25324675324675322</v>
      </c>
      <c r="Q1001" t="str">
        <f>"Q"&amp;ROUNDUP(MONTH(Clean_Data[[#This Row],[OrderDate]])/3,0)</f>
        <v>Q2</v>
      </c>
      <c r="R1001" t="str">
        <f>TEXT(Clean_Data[[#This Row],[OrderDate]], "dddd")</f>
        <v>Thursday</v>
      </c>
    </row>
    <row r="1002" spans="1:18" x14ac:dyDescent="0.25">
      <c r="A1002" t="s">
        <v>792</v>
      </c>
      <c r="B1002" s="4">
        <v>52</v>
      </c>
      <c r="C1002" s="4">
        <v>18</v>
      </c>
      <c r="D1002" s="3">
        <v>2</v>
      </c>
      <c r="E1002" t="s">
        <v>895</v>
      </c>
      <c r="F1002" t="s">
        <v>903</v>
      </c>
      <c r="G1002" t="s">
        <v>887</v>
      </c>
      <c r="H1002" s="6">
        <f>_xlfn.XLOOKUP(A1002,Orders[OrderID],Orders[OrderDate])</f>
        <v>43460</v>
      </c>
      <c r="I1002" t="str">
        <f>_xlfn.XLOOKUP(A1002,Orders[OrderID],Orders[CustomerName])</f>
        <v>Akshata</v>
      </c>
      <c r="J1002" t="str">
        <f>_xlfn.XLOOKUP(A1002,Orders[OrderID],Orders[State])</f>
        <v>Gujarat</v>
      </c>
      <c r="K1002" t="str">
        <f>_xlfn.XLOOKUP(A1002,Orders[OrderID],Orders[City])</f>
        <v>Surat</v>
      </c>
      <c r="L1002" s="3">
        <f>YEAR(Clean_Data[[#This Row],[OrderDate]])</f>
        <v>2018</v>
      </c>
      <c r="M1002" s="3">
        <f>MONTH(Clean_Data[[#This Row],[OrderDate]])</f>
        <v>12</v>
      </c>
      <c r="N1002" s="8" t="str">
        <f>TEXT(Clean_Data[[#This Row],[OrderDate]],"mmm")</f>
        <v>Dec</v>
      </c>
      <c r="O1002" s="8" t="str">
        <f>TEXT(Clean_Data[[#This Row],[OrderDate]], "yyyy-mm")</f>
        <v>2018-12</v>
      </c>
      <c r="P1002" s="7">
        <f>Clean_Data[[#This Row],[Profit]]/Clean_Data[[#This Row],[Revenue ]]</f>
        <v>0.34615384615384615</v>
      </c>
      <c r="Q1002" t="str">
        <f>"Q"&amp;ROUNDUP(MONTH(Clean_Data[[#This Row],[OrderDate]])/3,0)</f>
        <v>Q4</v>
      </c>
      <c r="R1002" t="str">
        <f>TEXT(Clean_Data[[#This Row],[OrderDate]], "dddd")</f>
        <v>Wednesday</v>
      </c>
    </row>
    <row r="1003" spans="1:18" x14ac:dyDescent="0.25">
      <c r="A1003" t="s">
        <v>96</v>
      </c>
      <c r="B1003" s="4">
        <v>1599</v>
      </c>
      <c r="C1003" s="4">
        <v>37</v>
      </c>
      <c r="D1003" s="3">
        <v>6</v>
      </c>
      <c r="E1003" t="s">
        <v>885</v>
      </c>
      <c r="F1003" t="s">
        <v>886</v>
      </c>
      <c r="G1003" t="s">
        <v>898</v>
      </c>
      <c r="H1003" s="6">
        <f>_xlfn.XLOOKUP(A1003,Orders[OrderID],Orders[OrderDate])</f>
        <v>43457</v>
      </c>
      <c r="I1003" t="str">
        <f>_xlfn.XLOOKUP(A1003,Orders[OrderID],Orders[CustomerName])</f>
        <v>Neha</v>
      </c>
      <c r="J1003" t="str">
        <f>_xlfn.XLOOKUP(A1003,Orders[OrderID],Orders[State])</f>
        <v>Rajasthan</v>
      </c>
      <c r="K1003" t="str">
        <f>_xlfn.XLOOKUP(A1003,Orders[OrderID],Orders[City])</f>
        <v>Udaipur</v>
      </c>
      <c r="L1003" s="3">
        <f>YEAR(Clean_Data[[#This Row],[OrderDate]])</f>
        <v>2018</v>
      </c>
      <c r="M1003" s="3">
        <f>MONTH(Clean_Data[[#This Row],[OrderDate]])</f>
        <v>12</v>
      </c>
      <c r="N1003" s="8" t="str">
        <f>TEXT(Clean_Data[[#This Row],[OrderDate]],"mmm")</f>
        <v>Dec</v>
      </c>
      <c r="O1003" s="8" t="str">
        <f>TEXT(Clean_Data[[#This Row],[OrderDate]], "yyyy-mm")</f>
        <v>2018-12</v>
      </c>
      <c r="P1003" s="7">
        <f>Clean_Data[[#This Row],[Profit]]/Clean_Data[[#This Row],[Revenue ]]</f>
        <v>2.3139462163852407E-2</v>
      </c>
      <c r="Q1003" t="str">
        <f>"Q"&amp;ROUNDUP(MONTH(Clean_Data[[#This Row],[OrderDate]])/3,0)</f>
        <v>Q4</v>
      </c>
      <c r="R1003" t="str">
        <f>TEXT(Clean_Data[[#This Row],[OrderDate]], "dddd")</f>
        <v>Sunday</v>
      </c>
    </row>
    <row r="1004" spans="1:18" x14ac:dyDescent="0.25">
      <c r="A1004" t="s">
        <v>467</v>
      </c>
      <c r="B1004" s="4">
        <v>338</v>
      </c>
      <c r="C1004" s="4">
        <v>41</v>
      </c>
      <c r="D1004" s="3">
        <v>7</v>
      </c>
      <c r="E1004" t="s">
        <v>895</v>
      </c>
      <c r="F1004" t="s">
        <v>899</v>
      </c>
      <c r="G1004" t="s">
        <v>898</v>
      </c>
      <c r="H1004" s="6">
        <f>_xlfn.XLOOKUP(A1004,Orders[OrderID],Orders[OrderDate])</f>
        <v>43132</v>
      </c>
      <c r="I1004" t="str">
        <f>_xlfn.XLOOKUP(A1004,Orders[OrderID],Orders[CustomerName])</f>
        <v>Anjali</v>
      </c>
      <c r="J1004" t="str">
        <f>_xlfn.XLOOKUP(A1004,Orders[OrderID],Orders[State])</f>
        <v>Delhi</v>
      </c>
      <c r="K1004" t="str">
        <f>_xlfn.XLOOKUP(A1004,Orders[OrderID],Orders[City])</f>
        <v>Delhi</v>
      </c>
      <c r="L1004" s="3">
        <f>YEAR(Clean_Data[[#This Row],[OrderDate]])</f>
        <v>2018</v>
      </c>
      <c r="M1004" s="3">
        <f>MONTH(Clean_Data[[#This Row],[OrderDate]])</f>
        <v>2</v>
      </c>
      <c r="N1004" s="8" t="str">
        <f>TEXT(Clean_Data[[#This Row],[OrderDate]],"mmm")</f>
        <v>Feb</v>
      </c>
      <c r="O1004" s="8" t="str">
        <f>TEXT(Clean_Data[[#This Row],[OrderDate]], "yyyy-mm")</f>
        <v>2018-02</v>
      </c>
      <c r="P1004" s="7">
        <f>Clean_Data[[#This Row],[Profit]]/Clean_Data[[#This Row],[Revenue ]]</f>
        <v>0.12130177514792899</v>
      </c>
      <c r="Q1004" t="str">
        <f>"Q"&amp;ROUNDUP(MONTH(Clean_Data[[#This Row],[OrderDate]])/3,0)</f>
        <v>Q1</v>
      </c>
      <c r="R1004" t="str">
        <f>TEXT(Clean_Data[[#This Row],[OrderDate]], "dddd")</f>
        <v>Thursday</v>
      </c>
    </row>
    <row r="1005" spans="1:18" x14ac:dyDescent="0.25">
      <c r="A1005" t="s">
        <v>269</v>
      </c>
      <c r="B1005" s="4">
        <v>51</v>
      </c>
      <c r="C1005" s="4">
        <v>-49</v>
      </c>
      <c r="D1005" s="3">
        <v>2</v>
      </c>
      <c r="E1005" t="s">
        <v>885</v>
      </c>
      <c r="F1005" t="s">
        <v>886</v>
      </c>
      <c r="G1005" t="s">
        <v>887</v>
      </c>
      <c r="H1005" s="6">
        <f>_xlfn.XLOOKUP(A1005,Orders[OrderID],Orders[OrderDate])</f>
        <v>43136</v>
      </c>
      <c r="I1005" t="str">
        <f>_xlfn.XLOOKUP(A1005,Orders[OrderID],Orders[CustomerName])</f>
        <v>Diwakar</v>
      </c>
      <c r="J1005" t="str">
        <f>_xlfn.XLOOKUP(A1005,Orders[OrderID],Orders[State])</f>
        <v>Delhi</v>
      </c>
      <c r="K1005" t="str">
        <f>_xlfn.XLOOKUP(A1005,Orders[OrderID],Orders[City])</f>
        <v>Delhi</v>
      </c>
      <c r="L1005" s="3">
        <f>YEAR(Clean_Data[[#This Row],[OrderDate]])</f>
        <v>2018</v>
      </c>
      <c r="M1005" s="3">
        <f>MONTH(Clean_Data[[#This Row],[OrderDate]])</f>
        <v>2</v>
      </c>
      <c r="N1005" s="8" t="str">
        <f>TEXT(Clean_Data[[#This Row],[OrderDate]],"mmm")</f>
        <v>Feb</v>
      </c>
      <c r="O1005" s="8" t="str">
        <f>TEXT(Clean_Data[[#This Row],[OrderDate]], "yyyy-mm")</f>
        <v>2018-02</v>
      </c>
      <c r="P1005" s="7">
        <f>Clean_Data[[#This Row],[Profit]]/Clean_Data[[#This Row],[Revenue ]]</f>
        <v>-0.96078431372549022</v>
      </c>
      <c r="Q1005" t="str">
        <f>"Q"&amp;ROUNDUP(MONTH(Clean_Data[[#This Row],[OrderDate]])/3,0)</f>
        <v>Q1</v>
      </c>
      <c r="R1005" t="str">
        <f>TEXT(Clean_Data[[#This Row],[OrderDate]], "dddd")</f>
        <v>Monday</v>
      </c>
    </row>
    <row r="1006" spans="1:18" x14ac:dyDescent="0.25">
      <c r="A1006" t="s">
        <v>539</v>
      </c>
      <c r="B1006" s="4">
        <v>224</v>
      </c>
      <c r="C1006" s="4">
        <v>-81</v>
      </c>
      <c r="D1006" s="3">
        <v>3</v>
      </c>
      <c r="E1006" t="s">
        <v>888</v>
      </c>
      <c r="F1006" t="s">
        <v>889</v>
      </c>
      <c r="G1006" t="s">
        <v>887</v>
      </c>
      <c r="H1006" s="6">
        <f>_xlfn.XLOOKUP(A1006,Orders[OrderID],Orders[OrderDate])</f>
        <v>43237</v>
      </c>
      <c r="I1006" t="str">
        <f>_xlfn.XLOOKUP(A1006,Orders[OrderID],Orders[CustomerName])</f>
        <v>Subhashree</v>
      </c>
      <c r="J1006" t="str">
        <f>_xlfn.XLOOKUP(A1006,Orders[OrderID],Orders[State])</f>
        <v>Jammu and Kashmir</v>
      </c>
      <c r="K1006" t="str">
        <f>_xlfn.XLOOKUP(A1006,Orders[OrderID],Orders[City])</f>
        <v>Kashmir</v>
      </c>
      <c r="L1006" s="3">
        <f>YEAR(Clean_Data[[#This Row],[OrderDate]])</f>
        <v>2018</v>
      </c>
      <c r="M1006" s="3">
        <f>MONTH(Clean_Data[[#This Row],[OrderDate]])</f>
        <v>5</v>
      </c>
      <c r="N1006" s="8" t="str">
        <f>TEXT(Clean_Data[[#This Row],[OrderDate]],"mmm")</f>
        <v>May</v>
      </c>
      <c r="O1006" s="8" t="str">
        <f>TEXT(Clean_Data[[#This Row],[OrderDate]], "yyyy-mm")</f>
        <v>2018-05</v>
      </c>
      <c r="P1006" s="7">
        <f>Clean_Data[[#This Row],[Profit]]/Clean_Data[[#This Row],[Revenue ]]</f>
        <v>-0.36160714285714285</v>
      </c>
      <c r="Q1006" t="str">
        <f>"Q"&amp;ROUNDUP(MONTH(Clean_Data[[#This Row],[OrderDate]])/3,0)</f>
        <v>Q2</v>
      </c>
      <c r="R1006" t="str">
        <f>TEXT(Clean_Data[[#This Row],[OrderDate]], "dddd")</f>
        <v>Thursday</v>
      </c>
    </row>
    <row r="1007" spans="1:18" x14ac:dyDescent="0.25">
      <c r="A1007" t="s">
        <v>40</v>
      </c>
      <c r="B1007" s="4">
        <v>207</v>
      </c>
      <c r="C1007" s="4">
        <v>37</v>
      </c>
      <c r="D1007" s="3">
        <v>4</v>
      </c>
      <c r="E1007" t="s">
        <v>895</v>
      </c>
      <c r="F1007" t="s">
        <v>899</v>
      </c>
      <c r="G1007" t="s">
        <v>887</v>
      </c>
      <c r="H1007" s="6">
        <f>_xlfn.XLOOKUP(A1007,Orders[OrderID],Orders[OrderDate])</f>
        <v>43189</v>
      </c>
      <c r="I1007" t="str">
        <f>_xlfn.XLOOKUP(A1007,Orders[OrderID],Orders[CustomerName])</f>
        <v>Bhishm</v>
      </c>
      <c r="J1007" t="str">
        <f>_xlfn.XLOOKUP(A1007,Orders[OrderID],Orders[State])</f>
        <v>Maharashtra</v>
      </c>
      <c r="K1007" t="str">
        <f>_xlfn.XLOOKUP(A1007,Orders[OrderID],Orders[City])</f>
        <v>Mumbai</v>
      </c>
      <c r="L1007" s="3">
        <f>YEAR(Clean_Data[[#This Row],[OrderDate]])</f>
        <v>2018</v>
      </c>
      <c r="M1007" s="3">
        <f>MONTH(Clean_Data[[#This Row],[OrderDate]])</f>
        <v>3</v>
      </c>
      <c r="N1007" s="8" t="str">
        <f>TEXT(Clean_Data[[#This Row],[OrderDate]],"mmm")</f>
        <v>Mar</v>
      </c>
      <c r="O1007" s="8" t="str">
        <f>TEXT(Clean_Data[[#This Row],[OrderDate]], "yyyy-mm")</f>
        <v>2018-03</v>
      </c>
      <c r="P1007" s="7">
        <f>Clean_Data[[#This Row],[Profit]]/Clean_Data[[#This Row],[Revenue ]]</f>
        <v>0.17874396135265699</v>
      </c>
      <c r="Q1007" t="str">
        <f>"Q"&amp;ROUNDUP(MONTH(Clean_Data[[#This Row],[OrderDate]])/3,0)</f>
        <v>Q1</v>
      </c>
      <c r="R1007" t="str">
        <f>TEXT(Clean_Data[[#This Row],[OrderDate]], "dddd")</f>
        <v>Friday</v>
      </c>
    </row>
    <row r="1008" spans="1:18" x14ac:dyDescent="0.25">
      <c r="A1008" t="s">
        <v>794</v>
      </c>
      <c r="B1008" s="4">
        <v>51</v>
      </c>
      <c r="C1008" s="4">
        <v>14</v>
      </c>
      <c r="D1008" s="3">
        <v>2</v>
      </c>
      <c r="E1008" t="s">
        <v>895</v>
      </c>
      <c r="F1008" t="s">
        <v>903</v>
      </c>
      <c r="G1008" t="s">
        <v>887</v>
      </c>
      <c r="H1008" s="6">
        <f>_xlfn.XLOOKUP(A1008,Orders[OrderID],Orders[OrderDate])</f>
        <v>43420</v>
      </c>
      <c r="I1008" t="str">
        <f>_xlfn.XLOOKUP(A1008,Orders[OrderID],Orders[CustomerName])</f>
        <v>Komal</v>
      </c>
      <c r="J1008" t="str">
        <f>_xlfn.XLOOKUP(A1008,Orders[OrderID],Orders[State])</f>
        <v>Himachal Pradesh</v>
      </c>
      <c r="K1008" t="str">
        <f>_xlfn.XLOOKUP(A1008,Orders[OrderID],Orders[City])</f>
        <v>Simla</v>
      </c>
      <c r="L1008" s="3">
        <f>YEAR(Clean_Data[[#This Row],[OrderDate]])</f>
        <v>2018</v>
      </c>
      <c r="M1008" s="3">
        <f>MONTH(Clean_Data[[#This Row],[OrderDate]])</f>
        <v>11</v>
      </c>
      <c r="N1008" s="8" t="str">
        <f>TEXT(Clean_Data[[#This Row],[OrderDate]],"mmm")</f>
        <v>Nov</v>
      </c>
      <c r="O1008" s="8" t="str">
        <f>TEXT(Clean_Data[[#This Row],[OrderDate]], "yyyy-mm")</f>
        <v>2018-11</v>
      </c>
      <c r="P1008" s="7">
        <f>Clean_Data[[#This Row],[Profit]]/Clean_Data[[#This Row],[Revenue ]]</f>
        <v>0.27450980392156865</v>
      </c>
      <c r="Q1008" t="str">
        <f>"Q"&amp;ROUNDUP(MONTH(Clean_Data[[#This Row],[OrderDate]])/3,0)</f>
        <v>Q4</v>
      </c>
      <c r="R1008" t="str">
        <f>TEXT(Clean_Data[[#This Row],[OrderDate]], "dddd")</f>
        <v>Friday</v>
      </c>
    </row>
    <row r="1009" spans="1:18" x14ac:dyDescent="0.25">
      <c r="A1009" t="s">
        <v>390</v>
      </c>
      <c r="B1009" s="4">
        <v>82</v>
      </c>
      <c r="C1009" s="4">
        <v>8</v>
      </c>
      <c r="D1009" s="3">
        <v>3</v>
      </c>
      <c r="E1009" t="s">
        <v>885</v>
      </c>
      <c r="F1009" t="s">
        <v>905</v>
      </c>
      <c r="G1009" t="s">
        <v>890</v>
      </c>
      <c r="H1009" s="6">
        <f>_xlfn.XLOOKUP(A1009,Orders[OrderID],Orders[OrderDate])</f>
        <v>43188</v>
      </c>
      <c r="I1009" t="str">
        <f>_xlfn.XLOOKUP(A1009,Orders[OrderID],Orders[CustomerName])</f>
        <v>Pinky</v>
      </c>
      <c r="J1009" t="str">
        <f>_xlfn.XLOOKUP(A1009,Orders[OrderID],Orders[State])</f>
        <v>Jammu and Kashmir</v>
      </c>
      <c r="K1009" t="str">
        <f>_xlfn.XLOOKUP(A1009,Orders[OrderID],Orders[City])</f>
        <v>Kashmir</v>
      </c>
      <c r="L1009" s="3">
        <f>YEAR(Clean_Data[[#This Row],[OrderDate]])</f>
        <v>2018</v>
      </c>
      <c r="M1009" s="3">
        <f>MONTH(Clean_Data[[#This Row],[OrderDate]])</f>
        <v>3</v>
      </c>
      <c r="N1009" s="8" t="str">
        <f>TEXT(Clean_Data[[#This Row],[OrderDate]],"mmm")</f>
        <v>Mar</v>
      </c>
      <c r="O1009" s="8" t="str">
        <f>TEXT(Clean_Data[[#This Row],[OrderDate]], "yyyy-mm")</f>
        <v>2018-03</v>
      </c>
      <c r="P1009" s="7">
        <f>Clean_Data[[#This Row],[Profit]]/Clean_Data[[#This Row],[Revenue ]]</f>
        <v>9.7560975609756101E-2</v>
      </c>
      <c r="Q1009" t="str">
        <f>"Q"&amp;ROUNDUP(MONTH(Clean_Data[[#This Row],[OrderDate]])/3,0)</f>
        <v>Q1</v>
      </c>
      <c r="R1009" t="str">
        <f>TEXT(Clean_Data[[#This Row],[OrderDate]], "dddd")</f>
        <v>Thursday</v>
      </c>
    </row>
    <row r="1010" spans="1:18" x14ac:dyDescent="0.25">
      <c r="A1010" t="s">
        <v>800</v>
      </c>
      <c r="B1010" s="4">
        <v>50</v>
      </c>
      <c r="C1010" s="4">
        <v>-17</v>
      </c>
      <c r="D1010" s="3">
        <v>2</v>
      </c>
      <c r="E1010" t="s">
        <v>895</v>
      </c>
      <c r="F1010" t="s">
        <v>903</v>
      </c>
      <c r="G1010" t="s">
        <v>887</v>
      </c>
      <c r="H1010" s="6">
        <f>_xlfn.XLOOKUP(A1010,Orders[OrderID],Orders[OrderDate])</f>
        <v>43174</v>
      </c>
      <c r="I1010" t="str">
        <f>_xlfn.XLOOKUP(A1010,Orders[OrderID],Orders[CustomerName])</f>
        <v>Tushina</v>
      </c>
      <c r="J1010" t="str">
        <f>_xlfn.XLOOKUP(A1010,Orders[OrderID],Orders[State])</f>
        <v>Goa</v>
      </c>
      <c r="K1010" t="str">
        <f>_xlfn.XLOOKUP(A1010,Orders[OrderID],Orders[City])</f>
        <v>Goa</v>
      </c>
      <c r="L1010" s="3">
        <f>YEAR(Clean_Data[[#This Row],[OrderDate]])</f>
        <v>2018</v>
      </c>
      <c r="M1010" s="3">
        <f>MONTH(Clean_Data[[#This Row],[OrderDate]])</f>
        <v>3</v>
      </c>
      <c r="N1010" s="8" t="str">
        <f>TEXT(Clean_Data[[#This Row],[OrderDate]],"mmm")</f>
        <v>Mar</v>
      </c>
      <c r="O1010" s="8" t="str">
        <f>TEXT(Clean_Data[[#This Row],[OrderDate]], "yyyy-mm")</f>
        <v>2018-03</v>
      </c>
      <c r="P1010" s="7">
        <f>Clean_Data[[#This Row],[Profit]]/Clean_Data[[#This Row],[Revenue ]]</f>
        <v>-0.34</v>
      </c>
      <c r="Q1010" t="str">
        <f>"Q"&amp;ROUNDUP(MONTH(Clean_Data[[#This Row],[OrderDate]])/3,0)</f>
        <v>Q1</v>
      </c>
      <c r="R1010" t="str">
        <f>TEXT(Clean_Data[[#This Row],[OrderDate]], "dddd")</f>
        <v>Thursday</v>
      </c>
    </row>
    <row r="1011" spans="1:18" x14ac:dyDescent="0.25">
      <c r="A1011" t="s">
        <v>46</v>
      </c>
      <c r="B1011" s="4">
        <v>263</v>
      </c>
      <c r="C1011" s="4">
        <v>-31</v>
      </c>
      <c r="D1011" s="3">
        <v>9</v>
      </c>
      <c r="E1011" t="s">
        <v>885</v>
      </c>
      <c r="F1011" t="s">
        <v>886</v>
      </c>
      <c r="G1011" t="s">
        <v>907</v>
      </c>
      <c r="H1011" s="6">
        <f>_xlfn.XLOOKUP(A1011,Orders[OrderID],Orders[OrderDate])</f>
        <v>43337</v>
      </c>
      <c r="I1011" t="str">
        <f>_xlfn.XLOOKUP(A1011,Orders[OrderID],Orders[CustomerName])</f>
        <v>Madhav</v>
      </c>
      <c r="J1011" t="str">
        <f>_xlfn.XLOOKUP(A1011,Orders[OrderID],Orders[State])</f>
        <v>Uttar Pradesh</v>
      </c>
      <c r="K1011" t="str">
        <f>_xlfn.XLOOKUP(A1011,Orders[OrderID],Orders[City])</f>
        <v>Mathura</v>
      </c>
      <c r="L1011" s="3">
        <f>YEAR(Clean_Data[[#This Row],[OrderDate]])</f>
        <v>2018</v>
      </c>
      <c r="M1011" s="3">
        <f>MONTH(Clean_Data[[#This Row],[OrderDate]])</f>
        <v>8</v>
      </c>
      <c r="N1011" s="8" t="str">
        <f>TEXT(Clean_Data[[#This Row],[OrderDate]],"mmm")</f>
        <v>Aug</v>
      </c>
      <c r="O1011" s="8" t="str">
        <f>TEXT(Clean_Data[[#This Row],[OrderDate]], "yyyy-mm")</f>
        <v>2018-08</v>
      </c>
      <c r="P1011" s="7">
        <f>Clean_Data[[#This Row],[Profit]]/Clean_Data[[#This Row],[Revenue ]]</f>
        <v>-0.11787072243346007</v>
      </c>
      <c r="Q1011" t="str">
        <f>"Q"&amp;ROUNDUP(MONTH(Clean_Data[[#This Row],[OrderDate]])/3,0)</f>
        <v>Q3</v>
      </c>
      <c r="R1011" t="str">
        <f>TEXT(Clean_Data[[#This Row],[OrderDate]], "dddd")</f>
        <v>Saturday</v>
      </c>
    </row>
    <row r="1012" spans="1:18" x14ac:dyDescent="0.25">
      <c r="A1012" t="s">
        <v>524</v>
      </c>
      <c r="B1012" s="4">
        <v>50</v>
      </c>
      <c r="C1012" s="4">
        <v>7</v>
      </c>
      <c r="D1012" s="3">
        <v>6</v>
      </c>
      <c r="E1012" t="s">
        <v>895</v>
      </c>
      <c r="F1012" t="s">
        <v>901</v>
      </c>
      <c r="G1012" t="s">
        <v>887</v>
      </c>
      <c r="H1012" s="6">
        <f>_xlfn.XLOOKUP(A1012,Orders[OrderID],Orders[OrderDate])</f>
        <v>43407</v>
      </c>
      <c r="I1012" t="str">
        <f>_xlfn.XLOOKUP(A1012,Orders[OrderID],Orders[CustomerName])</f>
        <v>Mrunal</v>
      </c>
      <c r="J1012" t="str">
        <f>_xlfn.XLOOKUP(A1012,Orders[OrderID],Orders[State])</f>
        <v>Maharashtra</v>
      </c>
      <c r="K1012" t="str">
        <f>_xlfn.XLOOKUP(A1012,Orders[OrderID],Orders[City])</f>
        <v>Mumbai</v>
      </c>
      <c r="L1012" s="3">
        <f>YEAR(Clean_Data[[#This Row],[OrderDate]])</f>
        <v>2018</v>
      </c>
      <c r="M1012" s="3">
        <f>MONTH(Clean_Data[[#This Row],[OrderDate]])</f>
        <v>11</v>
      </c>
      <c r="N1012" s="8" t="str">
        <f>TEXT(Clean_Data[[#This Row],[OrderDate]],"mmm")</f>
        <v>Nov</v>
      </c>
      <c r="O1012" s="8" t="str">
        <f>TEXT(Clean_Data[[#This Row],[OrderDate]], "yyyy-mm")</f>
        <v>2018-11</v>
      </c>
      <c r="P1012" s="7">
        <f>Clean_Data[[#This Row],[Profit]]/Clean_Data[[#This Row],[Revenue ]]</f>
        <v>0.14000000000000001</v>
      </c>
      <c r="Q1012" t="str">
        <f>"Q"&amp;ROUNDUP(MONTH(Clean_Data[[#This Row],[OrderDate]])/3,0)</f>
        <v>Q4</v>
      </c>
      <c r="R1012" t="str">
        <f>TEXT(Clean_Data[[#This Row],[OrderDate]], "dddd")</f>
        <v>Saturday</v>
      </c>
    </row>
    <row r="1013" spans="1:18" x14ac:dyDescent="0.25">
      <c r="A1013" t="s">
        <v>421</v>
      </c>
      <c r="B1013" s="4">
        <v>245</v>
      </c>
      <c r="C1013" s="4">
        <v>-3</v>
      </c>
      <c r="D1013" s="3">
        <v>4</v>
      </c>
      <c r="E1013" t="s">
        <v>885</v>
      </c>
      <c r="F1013" t="s">
        <v>894</v>
      </c>
      <c r="G1013" t="s">
        <v>898</v>
      </c>
      <c r="H1013" s="6">
        <f>_xlfn.XLOOKUP(A1013,Orders[OrderID],Orders[OrderDate])</f>
        <v>43259</v>
      </c>
      <c r="I1013" t="str">
        <f>_xlfn.XLOOKUP(A1013,Orders[OrderID],Orders[CustomerName])</f>
        <v>Shreya</v>
      </c>
      <c r="J1013" t="str">
        <f>_xlfn.XLOOKUP(A1013,Orders[OrderID],Orders[State])</f>
        <v xml:space="preserve">Kerala </v>
      </c>
      <c r="K1013" t="str">
        <f>_xlfn.XLOOKUP(A1013,Orders[OrderID],Orders[City])</f>
        <v>Thiruvananthapuram</v>
      </c>
      <c r="L1013" s="3">
        <f>YEAR(Clean_Data[[#This Row],[OrderDate]])</f>
        <v>2018</v>
      </c>
      <c r="M1013" s="3">
        <f>MONTH(Clean_Data[[#This Row],[OrderDate]])</f>
        <v>6</v>
      </c>
      <c r="N1013" s="8" t="str">
        <f>TEXT(Clean_Data[[#This Row],[OrderDate]],"mmm")</f>
        <v>Jun</v>
      </c>
      <c r="O1013" s="8" t="str">
        <f>TEXT(Clean_Data[[#This Row],[OrderDate]], "yyyy-mm")</f>
        <v>2018-06</v>
      </c>
      <c r="P1013" s="7">
        <f>Clean_Data[[#This Row],[Profit]]/Clean_Data[[#This Row],[Revenue ]]</f>
        <v>-1.2244897959183673E-2</v>
      </c>
      <c r="Q1013" t="str">
        <f>"Q"&amp;ROUNDUP(MONTH(Clean_Data[[#This Row],[OrderDate]])/3,0)</f>
        <v>Q2</v>
      </c>
      <c r="R1013" t="str">
        <f>TEXT(Clean_Data[[#This Row],[OrderDate]], "dddd")</f>
        <v>Friday</v>
      </c>
    </row>
    <row r="1014" spans="1:18" x14ac:dyDescent="0.25">
      <c r="A1014" t="s">
        <v>309</v>
      </c>
      <c r="B1014" s="4">
        <v>82</v>
      </c>
      <c r="C1014" s="4">
        <v>24</v>
      </c>
      <c r="D1014" s="3">
        <v>6</v>
      </c>
      <c r="E1014" t="s">
        <v>895</v>
      </c>
      <c r="F1014" t="s">
        <v>899</v>
      </c>
      <c r="G1014" t="s">
        <v>890</v>
      </c>
      <c r="H1014" s="6">
        <f>_xlfn.XLOOKUP(A1014,Orders[OrderID],Orders[OrderDate])</f>
        <v>43118</v>
      </c>
      <c r="I1014" t="str">
        <f>_xlfn.XLOOKUP(A1014,Orders[OrderID],Orders[CustomerName])</f>
        <v>Muskan</v>
      </c>
      <c r="J1014" t="str">
        <f>_xlfn.XLOOKUP(A1014,Orders[OrderID],Orders[State])</f>
        <v>Madhya Pradesh</v>
      </c>
      <c r="K1014" t="str">
        <f>_xlfn.XLOOKUP(A1014,Orders[OrderID],Orders[City])</f>
        <v>Indore</v>
      </c>
      <c r="L1014" s="3">
        <f>YEAR(Clean_Data[[#This Row],[OrderDate]])</f>
        <v>2018</v>
      </c>
      <c r="M1014" s="3">
        <f>MONTH(Clean_Data[[#This Row],[OrderDate]])</f>
        <v>1</v>
      </c>
      <c r="N1014" s="8" t="str">
        <f>TEXT(Clean_Data[[#This Row],[OrderDate]],"mmm")</f>
        <v>Jan</v>
      </c>
      <c r="O1014" s="8" t="str">
        <f>TEXT(Clean_Data[[#This Row],[OrderDate]], "yyyy-mm")</f>
        <v>2018-01</v>
      </c>
      <c r="P1014" s="7">
        <f>Clean_Data[[#This Row],[Profit]]/Clean_Data[[#This Row],[Revenue ]]</f>
        <v>0.29268292682926828</v>
      </c>
      <c r="Q1014" t="str">
        <f>"Q"&amp;ROUNDUP(MONTH(Clean_Data[[#This Row],[OrderDate]])/3,0)</f>
        <v>Q1</v>
      </c>
      <c r="R1014" t="str">
        <f>TEXT(Clean_Data[[#This Row],[OrderDate]], "dddd")</f>
        <v>Thursday</v>
      </c>
    </row>
    <row r="1015" spans="1:18" x14ac:dyDescent="0.25">
      <c r="A1015" t="s">
        <v>362</v>
      </c>
      <c r="B1015" s="4">
        <v>229</v>
      </c>
      <c r="C1015" s="4">
        <v>-41</v>
      </c>
      <c r="D1015" s="3">
        <v>8</v>
      </c>
      <c r="E1015" t="s">
        <v>885</v>
      </c>
      <c r="F1015" t="s">
        <v>905</v>
      </c>
      <c r="G1015" t="s">
        <v>887</v>
      </c>
      <c r="H1015" s="6">
        <f>_xlfn.XLOOKUP(A1015,Orders[OrderID],Orders[OrderDate])</f>
        <v>43363</v>
      </c>
      <c r="I1015" t="str">
        <f>_xlfn.XLOOKUP(A1015,Orders[OrderID],Orders[CustomerName])</f>
        <v>Asish</v>
      </c>
      <c r="J1015" t="str">
        <f>_xlfn.XLOOKUP(A1015,Orders[OrderID],Orders[State])</f>
        <v>Jammu and Kashmir</v>
      </c>
      <c r="K1015" t="str">
        <f>_xlfn.XLOOKUP(A1015,Orders[OrderID],Orders[City])</f>
        <v>Kashmir</v>
      </c>
      <c r="L1015" s="3">
        <f>YEAR(Clean_Data[[#This Row],[OrderDate]])</f>
        <v>2018</v>
      </c>
      <c r="M1015" s="3">
        <f>MONTH(Clean_Data[[#This Row],[OrderDate]])</f>
        <v>9</v>
      </c>
      <c r="N1015" s="8" t="str">
        <f>TEXT(Clean_Data[[#This Row],[OrderDate]],"mmm")</f>
        <v>Sep</v>
      </c>
      <c r="O1015" s="8" t="str">
        <f>TEXT(Clean_Data[[#This Row],[OrderDate]], "yyyy-mm")</f>
        <v>2018-09</v>
      </c>
      <c r="P1015" s="7">
        <f>Clean_Data[[#This Row],[Profit]]/Clean_Data[[#This Row],[Revenue ]]</f>
        <v>-0.17903930131004367</v>
      </c>
      <c r="Q1015" t="str">
        <f>"Q"&amp;ROUNDUP(MONTH(Clean_Data[[#This Row],[OrderDate]])/3,0)</f>
        <v>Q3</v>
      </c>
      <c r="R1015" t="str">
        <f>TEXT(Clean_Data[[#This Row],[OrderDate]], "dddd")</f>
        <v>Thursday</v>
      </c>
    </row>
    <row r="1016" spans="1:18" x14ac:dyDescent="0.25">
      <c r="A1016" t="s">
        <v>284</v>
      </c>
      <c r="B1016" s="4">
        <v>50</v>
      </c>
      <c r="C1016" s="4">
        <v>14</v>
      </c>
      <c r="D1016" s="3">
        <v>1</v>
      </c>
      <c r="E1016" t="s">
        <v>885</v>
      </c>
      <c r="F1016" t="s">
        <v>886</v>
      </c>
      <c r="G1016" t="s">
        <v>887</v>
      </c>
      <c r="H1016" s="6">
        <f>_xlfn.XLOOKUP(A1016,Orders[OrderID],Orders[OrderDate])</f>
        <v>43113</v>
      </c>
      <c r="I1016" t="str">
        <f>_xlfn.XLOOKUP(A1016,Orders[OrderID],Orders[CustomerName])</f>
        <v>Jesal</v>
      </c>
      <c r="J1016" t="str">
        <f>_xlfn.XLOOKUP(A1016,Orders[OrderID],Orders[State])</f>
        <v>West Bengal</v>
      </c>
      <c r="K1016" t="str">
        <f>_xlfn.XLOOKUP(A1016,Orders[OrderID],Orders[City])</f>
        <v>Kolkata</v>
      </c>
      <c r="L1016" s="3">
        <f>YEAR(Clean_Data[[#This Row],[OrderDate]])</f>
        <v>2018</v>
      </c>
      <c r="M1016" s="3">
        <f>MONTH(Clean_Data[[#This Row],[OrderDate]])</f>
        <v>1</v>
      </c>
      <c r="N1016" s="8" t="str">
        <f>TEXT(Clean_Data[[#This Row],[OrderDate]],"mmm")</f>
        <v>Jan</v>
      </c>
      <c r="O1016" s="8" t="str">
        <f>TEXT(Clean_Data[[#This Row],[OrderDate]], "yyyy-mm")</f>
        <v>2018-01</v>
      </c>
      <c r="P1016" s="7">
        <f>Clean_Data[[#This Row],[Profit]]/Clean_Data[[#This Row],[Revenue ]]</f>
        <v>0.28000000000000003</v>
      </c>
      <c r="Q1016" t="str">
        <f>"Q"&amp;ROUNDUP(MONTH(Clean_Data[[#This Row],[OrderDate]])/3,0)</f>
        <v>Q1</v>
      </c>
      <c r="R1016" t="str">
        <f>TEXT(Clean_Data[[#This Row],[OrderDate]], "dddd")</f>
        <v>Saturday</v>
      </c>
    </row>
    <row r="1017" spans="1:18" x14ac:dyDescent="0.25">
      <c r="A1017" t="s">
        <v>425</v>
      </c>
      <c r="B1017" s="4">
        <v>220</v>
      </c>
      <c r="C1017" s="4">
        <v>40</v>
      </c>
      <c r="D1017" s="3">
        <v>2</v>
      </c>
      <c r="E1017" t="s">
        <v>885</v>
      </c>
      <c r="F1017" t="s">
        <v>905</v>
      </c>
      <c r="G1017" t="s">
        <v>887</v>
      </c>
      <c r="H1017" s="6">
        <f>_xlfn.XLOOKUP(A1017,Orders[OrderID],Orders[OrderDate])</f>
        <v>43169</v>
      </c>
      <c r="I1017" t="str">
        <f>_xlfn.XLOOKUP(A1017,Orders[OrderID],Orders[CustomerName])</f>
        <v>Sonal</v>
      </c>
      <c r="J1017" t="str">
        <f>_xlfn.XLOOKUP(A1017,Orders[OrderID],Orders[State])</f>
        <v>Bihar</v>
      </c>
      <c r="K1017" t="str">
        <f>_xlfn.XLOOKUP(A1017,Orders[OrderID],Orders[City])</f>
        <v>Patna</v>
      </c>
      <c r="L1017" s="3">
        <f>YEAR(Clean_Data[[#This Row],[OrderDate]])</f>
        <v>2018</v>
      </c>
      <c r="M1017" s="3">
        <f>MONTH(Clean_Data[[#This Row],[OrderDate]])</f>
        <v>3</v>
      </c>
      <c r="N1017" s="8" t="str">
        <f>TEXT(Clean_Data[[#This Row],[OrderDate]],"mmm")</f>
        <v>Mar</v>
      </c>
      <c r="O1017" s="8" t="str">
        <f>TEXT(Clean_Data[[#This Row],[OrderDate]], "yyyy-mm")</f>
        <v>2018-03</v>
      </c>
      <c r="P1017" s="7">
        <f>Clean_Data[[#This Row],[Profit]]/Clean_Data[[#This Row],[Revenue ]]</f>
        <v>0.18181818181818182</v>
      </c>
      <c r="Q1017" t="str">
        <f>"Q"&amp;ROUNDUP(MONTH(Clean_Data[[#This Row],[OrderDate]])/3,0)</f>
        <v>Q1</v>
      </c>
      <c r="R1017" t="str">
        <f>TEXT(Clean_Data[[#This Row],[OrderDate]], "dddd")</f>
        <v>Saturday</v>
      </c>
    </row>
    <row r="1018" spans="1:18" x14ac:dyDescent="0.25">
      <c r="A1018" t="s">
        <v>204</v>
      </c>
      <c r="B1018" s="4">
        <v>263</v>
      </c>
      <c r="C1018" s="4">
        <v>-63</v>
      </c>
      <c r="D1018" s="3">
        <v>2</v>
      </c>
      <c r="E1018" t="s">
        <v>885</v>
      </c>
      <c r="F1018" t="s">
        <v>886</v>
      </c>
      <c r="G1018" t="s">
        <v>907</v>
      </c>
      <c r="H1018" s="6">
        <f>_xlfn.XLOOKUP(A1018,Orders[OrderID],Orders[OrderDate])</f>
        <v>43219</v>
      </c>
      <c r="I1018" t="str">
        <f>_xlfn.XLOOKUP(A1018,Orders[OrderID],Orders[CustomerName])</f>
        <v>Kirti</v>
      </c>
      <c r="J1018" t="str">
        <f>_xlfn.XLOOKUP(A1018,Orders[OrderID],Orders[State])</f>
        <v>Jammu and Kashmir</v>
      </c>
      <c r="K1018" t="str">
        <f>_xlfn.XLOOKUP(A1018,Orders[OrderID],Orders[City])</f>
        <v>Kashmir</v>
      </c>
      <c r="L1018" s="3">
        <f>YEAR(Clean_Data[[#This Row],[OrderDate]])</f>
        <v>2018</v>
      </c>
      <c r="M1018" s="3">
        <f>MONTH(Clean_Data[[#This Row],[OrderDate]])</f>
        <v>4</v>
      </c>
      <c r="N1018" s="8" t="str">
        <f>TEXT(Clean_Data[[#This Row],[OrderDate]],"mmm")</f>
        <v>Apr</v>
      </c>
      <c r="O1018" s="8" t="str">
        <f>TEXT(Clean_Data[[#This Row],[OrderDate]], "yyyy-mm")</f>
        <v>2018-04</v>
      </c>
      <c r="P1018" s="7">
        <f>Clean_Data[[#This Row],[Profit]]/Clean_Data[[#This Row],[Revenue ]]</f>
        <v>-0.23954372623574144</v>
      </c>
      <c r="Q1018" t="str">
        <f>"Q"&amp;ROUNDUP(MONTH(Clean_Data[[#This Row],[OrderDate]])/3,0)</f>
        <v>Q2</v>
      </c>
      <c r="R1018" t="str">
        <f>TEXT(Clean_Data[[#This Row],[OrderDate]], "dddd")</f>
        <v>Sunday</v>
      </c>
    </row>
    <row r="1019" spans="1:18" x14ac:dyDescent="0.25">
      <c r="A1019" t="s">
        <v>26</v>
      </c>
      <c r="B1019" s="4">
        <v>81</v>
      </c>
      <c r="C1019" s="4">
        <v>-41</v>
      </c>
      <c r="D1019" s="3">
        <v>5</v>
      </c>
      <c r="E1019" t="s">
        <v>895</v>
      </c>
      <c r="F1019" t="s">
        <v>904</v>
      </c>
      <c r="G1019" t="s">
        <v>890</v>
      </c>
      <c r="H1019" s="6">
        <f>_xlfn.XLOOKUP(A1019,Orders[OrderID],Orders[OrderDate])</f>
        <v>43186</v>
      </c>
      <c r="I1019" t="str">
        <f>_xlfn.XLOOKUP(A1019,Orders[OrderID],Orders[CustomerName])</f>
        <v>Sarita</v>
      </c>
      <c r="J1019" t="str">
        <f>_xlfn.XLOOKUP(A1019,Orders[OrderID],Orders[State])</f>
        <v>Maharashtra</v>
      </c>
      <c r="K1019" t="str">
        <f>_xlfn.XLOOKUP(A1019,Orders[OrderID],Orders[City])</f>
        <v>Pune</v>
      </c>
      <c r="L1019" s="3">
        <f>YEAR(Clean_Data[[#This Row],[OrderDate]])</f>
        <v>2018</v>
      </c>
      <c r="M1019" s="3">
        <f>MONTH(Clean_Data[[#This Row],[OrderDate]])</f>
        <v>3</v>
      </c>
      <c r="N1019" s="8" t="str">
        <f>TEXT(Clean_Data[[#This Row],[OrderDate]],"mmm")</f>
        <v>Mar</v>
      </c>
      <c r="O1019" s="8" t="str">
        <f>TEXT(Clean_Data[[#This Row],[OrderDate]], "yyyy-mm")</f>
        <v>2018-03</v>
      </c>
      <c r="P1019" s="7">
        <f>Clean_Data[[#This Row],[Profit]]/Clean_Data[[#This Row],[Revenue ]]</f>
        <v>-0.50617283950617287</v>
      </c>
      <c r="Q1019" t="str">
        <f>"Q"&amp;ROUNDUP(MONTH(Clean_Data[[#This Row],[OrderDate]])/3,0)</f>
        <v>Q1</v>
      </c>
      <c r="R1019" t="str">
        <f>TEXT(Clean_Data[[#This Row],[OrderDate]], "dddd")</f>
        <v>Tuesday</v>
      </c>
    </row>
    <row r="1020" spans="1:18" x14ac:dyDescent="0.25">
      <c r="A1020" t="s">
        <v>796</v>
      </c>
      <c r="B1020" s="4">
        <v>50</v>
      </c>
      <c r="C1020" s="4">
        <v>-17</v>
      </c>
      <c r="D1020" s="3">
        <v>2</v>
      </c>
      <c r="E1020" t="s">
        <v>895</v>
      </c>
      <c r="F1020" t="s">
        <v>903</v>
      </c>
      <c r="G1020" t="s">
        <v>887</v>
      </c>
      <c r="H1020" s="6">
        <f>_xlfn.XLOOKUP(A1020,Orders[OrderID],Orders[OrderDate])</f>
        <v>43351</v>
      </c>
      <c r="I1020" t="str">
        <f>_xlfn.XLOOKUP(A1020,Orders[OrderID],Orders[CustomerName])</f>
        <v>Duhita</v>
      </c>
      <c r="J1020" t="str">
        <f>_xlfn.XLOOKUP(A1020,Orders[OrderID],Orders[State])</f>
        <v>Haryana</v>
      </c>
      <c r="K1020" t="str">
        <f>_xlfn.XLOOKUP(A1020,Orders[OrderID],Orders[City])</f>
        <v>Chandigarh</v>
      </c>
      <c r="L1020" s="3">
        <f>YEAR(Clean_Data[[#This Row],[OrderDate]])</f>
        <v>2018</v>
      </c>
      <c r="M1020" s="3">
        <f>MONTH(Clean_Data[[#This Row],[OrderDate]])</f>
        <v>9</v>
      </c>
      <c r="N1020" s="8" t="str">
        <f>TEXT(Clean_Data[[#This Row],[OrderDate]],"mmm")</f>
        <v>Sep</v>
      </c>
      <c r="O1020" s="8" t="str">
        <f>TEXT(Clean_Data[[#This Row],[OrderDate]], "yyyy-mm")</f>
        <v>2018-09</v>
      </c>
      <c r="P1020" s="7">
        <f>Clean_Data[[#This Row],[Profit]]/Clean_Data[[#This Row],[Revenue ]]</f>
        <v>-0.34</v>
      </c>
      <c r="Q1020" t="str">
        <f>"Q"&amp;ROUNDUP(MONTH(Clean_Data[[#This Row],[OrderDate]])/3,0)</f>
        <v>Q3</v>
      </c>
      <c r="R1020" t="str">
        <f>TEXT(Clean_Data[[#This Row],[OrderDate]], "dddd")</f>
        <v>Saturday</v>
      </c>
    </row>
    <row r="1021" spans="1:18" x14ac:dyDescent="0.25">
      <c r="A1021" t="s">
        <v>26</v>
      </c>
      <c r="B1021" s="4">
        <v>49</v>
      </c>
      <c r="C1021" s="4">
        <v>5</v>
      </c>
      <c r="D1021" s="3">
        <v>4</v>
      </c>
      <c r="E1021" t="s">
        <v>895</v>
      </c>
      <c r="F1021" t="s">
        <v>899</v>
      </c>
      <c r="G1021" t="s">
        <v>887</v>
      </c>
      <c r="H1021" s="6">
        <f>_xlfn.XLOOKUP(A1021,Orders[OrderID],Orders[OrderDate])</f>
        <v>43186</v>
      </c>
      <c r="I1021" t="str">
        <f>_xlfn.XLOOKUP(A1021,Orders[OrderID],Orders[CustomerName])</f>
        <v>Sarita</v>
      </c>
      <c r="J1021" t="str">
        <f>_xlfn.XLOOKUP(A1021,Orders[OrderID],Orders[State])</f>
        <v>Maharashtra</v>
      </c>
      <c r="K1021" t="str">
        <f>_xlfn.XLOOKUP(A1021,Orders[OrderID],Orders[City])</f>
        <v>Pune</v>
      </c>
      <c r="L1021" s="3">
        <f>YEAR(Clean_Data[[#This Row],[OrderDate]])</f>
        <v>2018</v>
      </c>
      <c r="M1021" s="3">
        <f>MONTH(Clean_Data[[#This Row],[OrderDate]])</f>
        <v>3</v>
      </c>
      <c r="N1021" s="8" t="str">
        <f>TEXT(Clean_Data[[#This Row],[OrderDate]],"mmm")</f>
        <v>Mar</v>
      </c>
      <c r="O1021" s="8" t="str">
        <f>TEXT(Clean_Data[[#This Row],[OrderDate]], "yyyy-mm")</f>
        <v>2018-03</v>
      </c>
      <c r="P1021" s="7">
        <f>Clean_Data[[#This Row],[Profit]]/Clean_Data[[#This Row],[Revenue ]]</f>
        <v>0.10204081632653061</v>
      </c>
      <c r="Q1021" t="str">
        <f>"Q"&amp;ROUNDUP(MONTH(Clean_Data[[#This Row],[OrderDate]])/3,0)</f>
        <v>Q1</v>
      </c>
      <c r="R1021" t="str">
        <f>TEXT(Clean_Data[[#This Row],[OrderDate]], "dddd")</f>
        <v>Tuesday</v>
      </c>
    </row>
    <row r="1022" spans="1:18" x14ac:dyDescent="0.25">
      <c r="A1022" t="s">
        <v>470</v>
      </c>
      <c r="B1022" s="4">
        <v>237</v>
      </c>
      <c r="C1022" s="4">
        <v>47</v>
      </c>
      <c r="D1022" s="3">
        <v>9</v>
      </c>
      <c r="E1022" t="s">
        <v>895</v>
      </c>
      <c r="F1022" t="s">
        <v>906</v>
      </c>
      <c r="G1022" t="s">
        <v>898</v>
      </c>
      <c r="H1022" s="6">
        <f>_xlfn.XLOOKUP(A1022,Orders[OrderID],Orders[OrderDate])</f>
        <v>43410</v>
      </c>
      <c r="I1022" t="str">
        <f>_xlfn.XLOOKUP(A1022,Orders[OrderID],Orders[CustomerName])</f>
        <v>Kushal</v>
      </c>
      <c r="J1022" t="str">
        <f>_xlfn.XLOOKUP(A1022,Orders[OrderID],Orders[State])</f>
        <v>Nagaland</v>
      </c>
      <c r="K1022" t="str">
        <f>_xlfn.XLOOKUP(A1022,Orders[OrderID],Orders[City])</f>
        <v>Kohima</v>
      </c>
      <c r="L1022" s="3">
        <f>YEAR(Clean_Data[[#This Row],[OrderDate]])</f>
        <v>2018</v>
      </c>
      <c r="M1022" s="3">
        <f>MONTH(Clean_Data[[#This Row],[OrderDate]])</f>
        <v>11</v>
      </c>
      <c r="N1022" s="8" t="str">
        <f>TEXT(Clean_Data[[#This Row],[OrderDate]],"mmm")</f>
        <v>Nov</v>
      </c>
      <c r="O1022" s="8" t="str">
        <f>TEXT(Clean_Data[[#This Row],[OrderDate]], "yyyy-mm")</f>
        <v>2018-11</v>
      </c>
      <c r="P1022" s="7">
        <f>Clean_Data[[#This Row],[Profit]]/Clean_Data[[#This Row],[Revenue ]]</f>
        <v>0.19831223628691982</v>
      </c>
      <c r="Q1022" t="str">
        <f>"Q"&amp;ROUNDUP(MONTH(Clean_Data[[#This Row],[OrderDate]])/3,0)</f>
        <v>Q4</v>
      </c>
      <c r="R1022" t="str">
        <f>TEXT(Clean_Data[[#This Row],[OrderDate]], "dddd")</f>
        <v>Tuesday</v>
      </c>
    </row>
    <row r="1023" spans="1:18" x14ac:dyDescent="0.25">
      <c r="A1023" t="s">
        <v>375</v>
      </c>
      <c r="B1023" s="4">
        <v>264</v>
      </c>
      <c r="C1023" s="4">
        <v>-30</v>
      </c>
      <c r="D1023" s="3">
        <v>3</v>
      </c>
      <c r="E1023" t="s">
        <v>888</v>
      </c>
      <c r="F1023" t="s">
        <v>908</v>
      </c>
      <c r="G1023" t="s">
        <v>907</v>
      </c>
      <c r="H1023" s="6">
        <f>_xlfn.XLOOKUP(A1023,Orders[OrderID],Orders[OrderDate])</f>
        <v>43261</v>
      </c>
      <c r="I1023" t="str">
        <f>_xlfn.XLOOKUP(A1023,Orders[OrderID],Orders[CustomerName])</f>
        <v>Sheetal</v>
      </c>
      <c r="J1023" t="str">
        <f>_xlfn.XLOOKUP(A1023,Orders[OrderID],Orders[State])</f>
        <v>Madhya Pradesh</v>
      </c>
      <c r="K1023" t="str">
        <f>_xlfn.XLOOKUP(A1023,Orders[OrderID],Orders[City])</f>
        <v>Indore</v>
      </c>
      <c r="L1023" s="3">
        <f>YEAR(Clean_Data[[#This Row],[OrderDate]])</f>
        <v>2018</v>
      </c>
      <c r="M1023" s="3">
        <f>MONTH(Clean_Data[[#This Row],[OrderDate]])</f>
        <v>6</v>
      </c>
      <c r="N1023" s="8" t="str">
        <f>TEXT(Clean_Data[[#This Row],[OrderDate]],"mmm")</f>
        <v>Jun</v>
      </c>
      <c r="O1023" s="8" t="str">
        <f>TEXT(Clean_Data[[#This Row],[OrderDate]], "yyyy-mm")</f>
        <v>2018-06</v>
      </c>
      <c r="P1023" s="7">
        <f>Clean_Data[[#This Row],[Profit]]/Clean_Data[[#This Row],[Revenue ]]</f>
        <v>-0.11363636363636363</v>
      </c>
      <c r="Q1023" t="str">
        <f>"Q"&amp;ROUNDUP(MONTH(Clean_Data[[#This Row],[OrderDate]])/3,0)</f>
        <v>Q2</v>
      </c>
      <c r="R1023" t="str">
        <f>TEXT(Clean_Data[[#This Row],[OrderDate]], "dddd")</f>
        <v>Sunday</v>
      </c>
    </row>
    <row r="1024" spans="1:18" x14ac:dyDescent="0.25">
      <c r="A1024" t="s">
        <v>258</v>
      </c>
      <c r="B1024" s="4">
        <v>49</v>
      </c>
      <c r="C1024" s="4">
        <v>3</v>
      </c>
      <c r="D1024" s="3">
        <v>1</v>
      </c>
      <c r="E1024" t="s">
        <v>895</v>
      </c>
      <c r="F1024" t="s">
        <v>909</v>
      </c>
      <c r="G1024" t="s">
        <v>887</v>
      </c>
      <c r="H1024" s="6">
        <f>_xlfn.XLOOKUP(A1024,Orders[OrderID],Orders[OrderDate])</f>
        <v>43227</v>
      </c>
      <c r="I1024" t="str">
        <f>_xlfn.XLOOKUP(A1024,Orders[OrderID],Orders[CustomerName])</f>
        <v>Anurag</v>
      </c>
      <c r="J1024" t="str">
        <f>_xlfn.XLOOKUP(A1024,Orders[OrderID],Orders[State])</f>
        <v>Madhya Pradesh</v>
      </c>
      <c r="K1024" t="str">
        <f>_xlfn.XLOOKUP(A1024,Orders[OrderID],Orders[City])</f>
        <v>Indore</v>
      </c>
      <c r="L1024" s="3">
        <f>YEAR(Clean_Data[[#This Row],[OrderDate]])</f>
        <v>2018</v>
      </c>
      <c r="M1024" s="3">
        <f>MONTH(Clean_Data[[#This Row],[OrderDate]])</f>
        <v>5</v>
      </c>
      <c r="N1024" s="8" t="str">
        <f>TEXT(Clean_Data[[#This Row],[OrderDate]],"mmm")</f>
        <v>May</v>
      </c>
      <c r="O1024" s="8" t="str">
        <f>TEXT(Clean_Data[[#This Row],[OrderDate]], "yyyy-mm")</f>
        <v>2018-05</v>
      </c>
      <c r="P1024" s="7">
        <f>Clean_Data[[#This Row],[Profit]]/Clean_Data[[#This Row],[Revenue ]]</f>
        <v>6.1224489795918366E-2</v>
      </c>
      <c r="Q1024" t="str">
        <f>"Q"&amp;ROUNDUP(MONTH(Clean_Data[[#This Row],[OrderDate]])/3,0)</f>
        <v>Q2</v>
      </c>
      <c r="R1024" t="str">
        <f>TEXT(Clean_Data[[#This Row],[OrderDate]], "dddd")</f>
        <v>Monday</v>
      </c>
    </row>
    <row r="1025" spans="1:18" x14ac:dyDescent="0.25">
      <c r="A1025" t="s">
        <v>122</v>
      </c>
      <c r="B1025" s="4">
        <v>63</v>
      </c>
      <c r="C1025" s="4">
        <v>-24</v>
      </c>
      <c r="D1025" s="3">
        <v>6</v>
      </c>
      <c r="E1025" t="s">
        <v>895</v>
      </c>
      <c r="F1025" t="s">
        <v>900</v>
      </c>
      <c r="G1025" t="s">
        <v>887</v>
      </c>
      <c r="H1025" s="6">
        <f>_xlfn.XLOOKUP(A1025,Orders[OrderID],Orders[OrderDate])</f>
        <v>43367</v>
      </c>
      <c r="I1025" t="str">
        <f>_xlfn.XLOOKUP(A1025,Orders[OrderID],Orders[CustomerName])</f>
        <v>Siddharth</v>
      </c>
      <c r="J1025" t="str">
        <f>_xlfn.XLOOKUP(A1025,Orders[OrderID],Orders[State])</f>
        <v>Madhya Pradesh</v>
      </c>
      <c r="K1025" t="str">
        <f>_xlfn.XLOOKUP(A1025,Orders[OrderID],Orders[City])</f>
        <v>Indore</v>
      </c>
      <c r="L1025" s="3">
        <f>YEAR(Clean_Data[[#This Row],[OrderDate]])</f>
        <v>2018</v>
      </c>
      <c r="M1025" s="3">
        <f>MONTH(Clean_Data[[#This Row],[OrderDate]])</f>
        <v>9</v>
      </c>
      <c r="N1025" s="8" t="str">
        <f>TEXT(Clean_Data[[#This Row],[OrderDate]],"mmm")</f>
        <v>Sep</v>
      </c>
      <c r="O1025" s="8" t="str">
        <f>TEXT(Clean_Data[[#This Row],[OrderDate]], "yyyy-mm")</f>
        <v>2018-09</v>
      </c>
      <c r="P1025" s="7">
        <f>Clean_Data[[#This Row],[Profit]]/Clean_Data[[#This Row],[Revenue ]]</f>
        <v>-0.38095238095238093</v>
      </c>
      <c r="Q1025" t="str">
        <f>"Q"&amp;ROUNDUP(MONTH(Clean_Data[[#This Row],[OrderDate]])/3,0)</f>
        <v>Q3</v>
      </c>
      <c r="R1025" t="str">
        <f>TEXT(Clean_Data[[#This Row],[OrderDate]], "dddd")</f>
        <v>Monday</v>
      </c>
    </row>
    <row r="1026" spans="1:18" x14ac:dyDescent="0.25">
      <c r="A1026" t="s">
        <v>304</v>
      </c>
      <c r="B1026" s="4">
        <v>81</v>
      </c>
      <c r="C1026" s="4">
        <v>-51</v>
      </c>
      <c r="D1026" s="3">
        <v>7</v>
      </c>
      <c r="E1026" t="s">
        <v>895</v>
      </c>
      <c r="F1026" t="s">
        <v>903</v>
      </c>
      <c r="G1026" t="s">
        <v>890</v>
      </c>
      <c r="H1026" s="6">
        <f>_xlfn.XLOOKUP(A1026,Orders[OrderID],Orders[OrderDate])</f>
        <v>43282</v>
      </c>
      <c r="I1026" t="str">
        <f>_xlfn.XLOOKUP(A1026,Orders[OrderID],Orders[CustomerName])</f>
        <v>Kishwar</v>
      </c>
      <c r="J1026" t="str">
        <f>_xlfn.XLOOKUP(A1026,Orders[OrderID],Orders[State])</f>
        <v>Madhya Pradesh</v>
      </c>
      <c r="K1026" t="str">
        <f>_xlfn.XLOOKUP(A1026,Orders[OrderID],Orders[City])</f>
        <v>Indore</v>
      </c>
      <c r="L1026" s="3">
        <f>YEAR(Clean_Data[[#This Row],[OrderDate]])</f>
        <v>2018</v>
      </c>
      <c r="M1026" s="3">
        <f>MONTH(Clean_Data[[#This Row],[OrderDate]])</f>
        <v>7</v>
      </c>
      <c r="N1026" s="8" t="str">
        <f>TEXT(Clean_Data[[#This Row],[OrderDate]],"mmm")</f>
        <v>Jul</v>
      </c>
      <c r="O1026" s="8" t="str">
        <f>TEXT(Clean_Data[[#This Row],[OrderDate]], "yyyy-mm")</f>
        <v>2018-07</v>
      </c>
      <c r="P1026" s="7">
        <f>Clean_Data[[#This Row],[Profit]]/Clean_Data[[#This Row],[Revenue ]]</f>
        <v>-0.62962962962962965</v>
      </c>
      <c r="Q1026" t="str">
        <f>"Q"&amp;ROUNDUP(MONTH(Clean_Data[[#This Row],[OrderDate]])/3,0)</f>
        <v>Q3</v>
      </c>
      <c r="R1026" t="str">
        <f>TEXT(Clean_Data[[#This Row],[OrderDate]], "dddd")</f>
        <v>Sunday</v>
      </c>
    </row>
    <row r="1027" spans="1:18" x14ac:dyDescent="0.25">
      <c r="A1027" t="s">
        <v>324</v>
      </c>
      <c r="B1027" s="4">
        <v>264</v>
      </c>
      <c r="C1027" s="4">
        <v>71</v>
      </c>
      <c r="D1027" s="3">
        <v>10</v>
      </c>
      <c r="E1027" t="s">
        <v>888</v>
      </c>
      <c r="F1027" t="s">
        <v>908</v>
      </c>
      <c r="G1027" t="s">
        <v>907</v>
      </c>
      <c r="H1027" s="6">
        <f>_xlfn.XLOOKUP(A1027,Orders[OrderID],Orders[OrderDate])</f>
        <v>43407</v>
      </c>
      <c r="I1027" t="str">
        <f>_xlfn.XLOOKUP(A1027,Orders[OrderID],Orders[CustomerName])</f>
        <v>Aniket</v>
      </c>
      <c r="J1027" t="str">
        <f>_xlfn.XLOOKUP(A1027,Orders[OrderID],Orders[State])</f>
        <v>Haryana</v>
      </c>
      <c r="K1027" t="str">
        <f>_xlfn.XLOOKUP(A1027,Orders[OrderID],Orders[City])</f>
        <v>Chandigarh</v>
      </c>
      <c r="L1027" s="3">
        <f>YEAR(Clean_Data[[#This Row],[OrderDate]])</f>
        <v>2018</v>
      </c>
      <c r="M1027" s="3">
        <f>MONTH(Clean_Data[[#This Row],[OrderDate]])</f>
        <v>11</v>
      </c>
      <c r="N1027" s="8" t="str">
        <f>TEXT(Clean_Data[[#This Row],[OrderDate]],"mmm")</f>
        <v>Nov</v>
      </c>
      <c r="O1027" s="8" t="str">
        <f>TEXT(Clean_Data[[#This Row],[OrderDate]], "yyyy-mm")</f>
        <v>2018-11</v>
      </c>
      <c r="P1027" s="7">
        <f>Clean_Data[[#This Row],[Profit]]/Clean_Data[[#This Row],[Revenue ]]</f>
        <v>0.26893939393939392</v>
      </c>
      <c r="Q1027" t="str">
        <f>"Q"&amp;ROUNDUP(MONTH(Clean_Data[[#This Row],[OrderDate]])/3,0)</f>
        <v>Q4</v>
      </c>
      <c r="R1027" t="str">
        <f>TEXT(Clean_Data[[#This Row],[OrderDate]], "dddd")</f>
        <v>Saturday</v>
      </c>
    </row>
    <row r="1028" spans="1:18" x14ac:dyDescent="0.25">
      <c r="A1028" t="s">
        <v>235</v>
      </c>
      <c r="B1028" s="4">
        <v>48</v>
      </c>
      <c r="C1028" s="4">
        <v>11</v>
      </c>
      <c r="D1028" s="3">
        <v>2</v>
      </c>
      <c r="E1028" t="s">
        <v>895</v>
      </c>
      <c r="F1028" t="s">
        <v>909</v>
      </c>
      <c r="G1028" t="s">
        <v>887</v>
      </c>
      <c r="H1028" s="6">
        <f>_xlfn.XLOOKUP(A1028,Orders[OrderID],Orders[OrderDate])</f>
        <v>43114</v>
      </c>
      <c r="I1028" t="str">
        <f>_xlfn.XLOOKUP(A1028,Orders[OrderID],Orders[CustomerName])</f>
        <v>Trupti</v>
      </c>
      <c r="J1028" t="str">
        <f>_xlfn.XLOOKUP(A1028,Orders[OrderID],Orders[State])</f>
        <v>Gujarat</v>
      </c>
      <c r="K1028" t="str">
        <f>_xlfn.XLOOKUP(A1028,Orders[OrderID],Orders[City])</f>
        <v>Ahmedabad</v>
      </c>
      <c r="L1028" s="3">
        <f>YEAR(Clean_Data[[#This Row],[OrderDate]])</f>
        <v>2018</v>
      </c>
      <c r="M1028" s="3">
        <f>MONTH(Clean_Data[[#This Row],[OrderDate]])</f>
        <v>1</v>
      </c>
      <c r="N1028" s="8" t="str">
        <f>TEXT(Clean_Data[[#This Row],[OrderDate]],"mmm")</f>
        <v>Jan</v>
      </c>
      <c r="O1028" s="8" t="str">
        <f>TEXT(Clean_Data[[#This Row],[OrderDate]], "yyyy-mm")</f>
        <v>2018-01</v>
      </c>
      <c r="P1028" s="7">
        <f>Clean_Data[[#This Row],[Profit]]/Clean_Data[[#This Row],[Revenue ]]</f>
        <v>0.22916666666666666</v>
      </c>
      <c r="Q1028" t="str">
        <f>"Q"&amp;ROUNDUP(MONTH(Clean_Data[[#This Row],[OrderDate]])/3,0)</f>
        <v>Q1</v>
      </c>
      <c r="R1028" t="str">
        <f>TEXT(Clean_Data[[#This Row],[OrderDate]], "dddd")</f>
        <v>Sunday</v>
      </c>
    </row>
    <row r="1029" spans="1:18" x14ac:dyDescent="0.25">
      <c r="A1029" t="s">
        <v>42</v>
      </c>
      <c r="B1029" s="4">
        <v>48</v>
      </c>
      <c r="C1029" s="4">
        <v>15</v>
      </c>
      <c r="D1029" s="3">
        <v>1</v>
      </c>
      <c r="E1029" t="s">
        <v>895</v>
      </c>
      <c r="F1029" t="s">
        <v>899</v>
      </c>
      <c r="G1029" t="s">
        <v>887</v>
      </c>
      <c r="H1029" s="6">
        <f>_xlfn.XLOOKUP(A1029,Orders[OrderID],Orders[OrderDate])</f>
        <v>43135</v>
      </c>
      <c r="I1029" t="str">
        <f>_xlfn.XLOOKUP(A1029,Orders[OrderID],Orders[CustomerName])</f>
        <v>Yogesh</v>
      </c>
      <c r="J1029" t="str">
        <f>_xlfn.XLOOKUP(A1029,Orders[OrderID],Orders[State])</f>
        <v>Maharashtra</v>
      </c>
      <c r="K1029" t="str">
        <f>_xlfn.XLOOKUP(A1029,Orders[OrderID],Orders[City])</f>
        <v>Pune</v>
      </c>
      <c r="L1029" s="3">
        <f>YEAR(Clean_Data[[#This Row],[OrderDate]])</f>
        <v>2018</v>
      </c>
      <c r="M1029" s="3">
        <f>MONTH(Clean_Data[[#This Row],[OrderDate]])</f>
        <v>2</v>
      </c>
      <c r="N1029" s="8" t="str">
        <f>TEXT(Clean_Data[[#This Row],[OrderDate]],"mmm")</f>
        <v>Feb</v>
      </c>
      <c r="O1029" s="8" t="str">
        <f>TEXT(Clean_Data[[#This Row],[OrderDate]], "yyyy-mm")</f>
        <v>2018-02</v>
      </c>
      <c r="P1029" s="7">
        <f>Clean_Data[[#This Row],[Profit]]/Clean_Data[[#This Row],[Revenue ]]</f>
        <v>0.3125</v>
      </c>
      <c r="Q1029" t="str">
        <f>"Q"&amp;ROUNDUP(MONTH(Clean_Data[[#This Row],[OrderDate]])/3,0)</f>
        <v>Q1</v>
      </c>
      <c r="R1029" t="str">
        <f>TEXT(Clean_Data[[#This Row],[OrderDate]], "dddd")</f>
        <v>Sunday</v>
      </c>
    </row>
    <row r="1030" spans="1:18" x14ac:dyDescent="0.25">
      <c r="A1030" t="s">
        <v>224</v>
      </c>
      <c r="B1030" s="4">
        <v>245</v>
      </c>
      <c r="C1030" s="4">
        <v>-78</v>
      </c>
      <c r="D1030" s="3">
        <v>2</v>
      </c>
      <c r="E1030" t="s">
        <v>885</v>
      </c>
      <c r="F1030" t="s">
        <v>892</v>
      </c>
      <c r="G1030" t="s">
        <v>898</v>
      </c>
      <c r="H1030" s="6">
        <f>_xlfn.XLOOKUP(A1030,Orders[OrderID],Orders[OrderDate])</f>
        <v>43226</v>
      </c>
      <c r="I1030" t="str">
        <f>_xlfn.XLOOKUP(A1030,Orders[OrderID],Orders[CustomerName])</f>
        <v>Chirag</v>
      </c>
      <c r="J1030" t="str">
        <f>_xlfn.XLOOKUP(A1030,Orders[OrderID],Orders[State])</f>
        <v>Maharashtra</v>
      </c>
      <c r="K1030" t="str">
        <f>_xlfn.XLOOKUP(A1030,Orders[OrderID],Orders[City])</f>
        <v>Mumbai</v>
      </c>
      <c r="L1030" s="3">
        <f>YEAR(Clean_Data[[#This Row],[OrderDate]])</f>
        <v>2018</v>
      </c>
      <c r="M1030" s="3">
        <f>MONTH(Clean_Data[[#This Row],[OrderDate]])</f>
        <v>5</v>
      </c>
      <c r="N1030" s="8" t="str">
        <f>TEXT(Clean_Data[[#This Row],[OrderDate]],"mmm")</f>
        <v>May</v>
      </c>
      <c r="O1030" s="8" t="str">
        <f>TEXT(Clean_Data[[#This Row],[OrderDate]], "yyyy-mm")</f>
        <v>2018-05</v>
      </c>
      <c r="P1030" s="7">
        <f>Clean_Data[[#This Row],[Profit]]/Clean_Data[[#This Row],[Revenue ]]</f>
        <v>-0.3183673469387755</v>
      </c>
      <c r="Q1030" t="str">
        <f>"Q"&amp;ROUNDUP(MONTH(Clean_Data[[#This Row],[OrderDate]])/3,0)</f>
        <v>Q2</v>
      </c>
      <c r="R1030" t="str">
        <f>TEXT(Clean_Data[[#This Row],[OrderDate]], "dddd")</f>
        <v>Sunday</v>
      </c>
    </row>
    <row r="1031" spans="1:18" x14ac:dyDescent="0.25">
      <c r="A1031" t="s">
        <v>633</v>
      </c>
      <c r="B1031" s="4">
        <v>146</v>
      </c>
      <c r="C1031" s="4">
        <v>42</v>
      </c>
      <c r="D1031" s="3">
        <v>5</v>
      </c>
      <c r="E1031" t="s">
        <v>895</v>
      </c>
      <c r="F1031" t="s">
        <v>899</v>
      </c>
      <c r="G1031" t="s">
        <v>898</v>
      </c>
      <c r="H1031" s="6">
        <f>_xlfn.XLOOKUP(A1031,Orders[OrderID],Orders[OrderDate])</f>
        <v>43431</v>
      </c>
      <c r="I1031" t="str">
        <f>_xlfn.XLOOKUP(A1031,Orders[OrderID],Orders[CustomerName])</f>
        <v>Saptadeep</v>
      </c>
      <c r="J1031" t="str">
        <f>_xlfn.XLOOKUP(A1031,Orders[OrderID],Orders[State])</f>
        <v>Gujarat</v>
      </c>
      <c r="K1031" t="str">
        <f>_xlfn.XLOOKUP(A1031,Orders[OrderID],Orders[City])</f>
        <v>Surat</v>
      </c>
      <c r="L1031" s="3">
        <f>YEAR(Clean_Data[[#This Row],[OrderDate]])</f>
        <v>2018</v>
      </c>
      <c r="M1031" s="3">
        <f>MONTH(Clean_Data[[#This Row],[OrderDate]])</f>
        <v>11</v>
      </c>
      <c r="N1031" s="8" t="str">
        <f>TEXT(Clean_Data[[#This Row],[OrderDate]],"mmm")</f>
        <v>Nov</v>
      </c>
      <c r="O1031" s="8" t="str">
        <f>TEXT(Clean_Data[[#This Row],[OrderDate]], "yyyy-mm")</f>
        <v>2018-11</v>
      </c>
      <c r="P1031" s="7">
        <f>Clean_Data[[#This Row],[Profit]]/Clean_Data[[#This Row],[Revenue ]]</f>
        <v>0.28767123287671231</v>
      </c>
      <c r="Q1031" t="str">
        <f>"Q"&amp;ROUNDUP(MONTH(Clean_Data[[#This Row],[OrderDate]])/3,0)</f>
        <v>Q4</v>
      </c>
      <c r="R1031" t="str">
        <f>TEXT(Clean_Data[[#This Row],[OrderDate]], "dddd")</f>
        <v>Tuesday</v>
      </c>
    </row>
    <row r="1032" spans="1:18" x14ac:dyDescent="0.25">
      <c r="A1032" t="s">
        <v>277</v>
      </c>
      <c r="B1032" s="4">
        <v>245</v>
      </c>
      <c r="C1032" s="4">
        <v>10</v>
      </c>
      <c r="D1032" s="3">
        <v>2</v>
      </c>
      <c r="E1032" t="s">
        <v>888</v>
      </c>
      <c r="F1032" t="s">
        <v>891</v>
      </c>
      <c r="G1032" t="s">
        <v>887</v>
      </c>
      <c r="H1032" s="6">
        <f>_xlfn.XLOOKUP(A1032,Orders[OrderID],Orders[OrderDate])</f>
        <v>43111</v>
      </c>
      <c r="I1032" t="str">
        <f>_xlfn.XLOOKUP(A1032,Orders[OrderID],Orders[CustomerName])</f>
        <v>Mhatre</v>
      </c>
      <c r="J1032" t="str">
        <f>_xlfn.XLOOKUP(A1032,Orders[OrderID],Orders[State])</f>
        <v>Madhya Pradesh</v>
      </c>
      <c r="K1032" t="str">
        <f>_xlfn.XLOOKUP(A1032,Orders[OrderID],Orders[City])</f>
        <v>Indore</v>
      </c>
      <c r="L1032" s="3">
        <f>YEAR(Clean_Data[[#This Row],[OrderDate]])</f>
        <v>2018</v>
      </c>
      <c r="M1032" s="3">
        <f>MONTH(Clean_Data[[#This Row],[OrderDate]])</f>
        <v>1</v>
      </c>
      <c r="N1032" s="8" t="str">
        <f>TEXT(Clean_Data[[#This Row],[OrderDate]],"mmm")</f>
        <v>Jan</v>
      </c>
      <c r="O1032" s="8" t="str">
        <f>TEXT(Clean_Data[[#This Row],[OrderDate]], "yyyy-mm")</f>
        <v>2018-01</v>
      </c>
      <c r="P1032" s="7">
        <f>Clean_Data[[#This Row],[Profit]]/Clean_Data[[#This Row],[Revenue ]]</f>
        <v>4.0816326530612242E-2</v>
      </c>
      <c r="Q1032" t="str">
        <f>"Q"&amp;ROUNDUP(MONTH(Clean_Data[[#This Row],[OrderDate]])/3,0)</f>
        <v>Q1</v>
      </c>
      <c r="R1032" t="str">
        <f>TEXT(Clean_Data[[#This Row],[OrderDate]], "dddd")</f>
        <v>Thursday</v>
      </c>
    </row>
    <row r="1033" spans="1:18" x14ac:dyDescent="0.25">
      <c r="A1033" t="s">
        <v>246</v>
      </c>
      <c r="B1033" s="4">
        <v>245</v>
      </c>
      <c r="C1033" s="4">
        <v>91</v>
      </c>
      <c r="D1033" s="3">
        <v>2</v>
      </c>
      <c r="E1033" t="s">
        <v>888</v>
      </c>
      <c r="F1033" t="s">
        <v>891</v>
      </c>
      <c r="G1033" t="s">
        <v>898</v>
      </c>
      <c r="H1033" s="6">
        <f>_xlfn.XLOOKUP(A1033,Orders[OrderID],Orders[OrderDate])</f>
        <v>43128</v>
      </c>
      <c r="I1033" t="str">
        <f>_xlfn.XLOOKUP(A1033,Orders[OrderID],Orders[CustomerName])</f>
        <v>Amruta</v>
      </c>
      <c r="J1033" t="str">
        <f>_xlfn.XLOOKUP(A1033,Orders[OrderID],Orders[State])</f>
        <v>Delhi</v>
      </c>
      <c r="K1033" t="str">
        <f>_xlfn.XLOOKUP(A1033,Orders[OrderID],Orders[City])</f>
        <v>Delhi</v>
      </c>
      <c r="L1033" s="3">
        <f>YEAR(Clean_Data[[#This Row],[OrderDate]])</f>
        <v>2018</v>
      </c>
      <c r="M1033" s="3">
        <f>MONTH(Clean_Data[[#This Row],[OrderDate]])</f>
        <v>1</v>
      </c>
      <c r="N1033" s="8" t="str">
        <f>TEXT(Clean_Data[[#This Row],[OrderDate]],"mmm")</f>
        <v>Jan</v>
      </c>
      <c r="O1033" s="8" t="str">
        <f>TEXT(Clean_Data[[#This Row],[OrderDate]], "yyyy-mm")</f>
        <v>2018-01</v>
      </c>
      <c r="P1033" s="7">
        <f>Clean_Data[[#This Row],[Profit]]/Clean_Data[[#This Row],[Revenue ]]</f>
        <v>0.37142857142857144</v>
      </c>
      <c r="Q1033" t="str">
        <f>"Q"&amp;ROUNDUP(MONTH(Clean_Data[[#This Row],[OrderDate]])/3,0)</f>
        <v>Q1</v>
      </c>
      <c r="R1033" t="str">
        <f>TEXT(Clean_Data[[#This Row],[OrderDate]], "dddd")</f>
        <v>Sunday</v>
      </c>
    </row>
    <row r="1034" spans="1:18" x14ac:dyDescent="0.25">
      <c r="A1034" t="s">
        <v>53</v>
      </c>
      <c r="B1034" s="4">
        <v>80</v>
      </c>
      <c r="C1034" s="4">
        <v>3</v>
      </c>
      <c r="D1034" s="3">
        <v>3</v>
      </c>
      <c r="E1034" t="s">
        <v>895</v>
      </c>
      <c r="F1034" t="s">
        <v>903</v>
      </c>
      <c r="G1034" t="s">
        <v>890</v>
      </c>
      <c r="H1034" s="6">
        <f>_xlfn.XLOOKUP(A1034,Orders[OrderID],Orders[OrderDate])</f>
        <v>43419</v>
      </c>
      <c r="I1034" t="str">
        <f>_xlfn.XLOOKUP(A1034,Orders[OrderID],Orders[CustomerName])</f>
        <v>Amol</v>
      </c>
      <c r="J1034" t="str">
        <f>_xlfn.XLOOKUP(A1034,Orders[OrderID],Orders[State])</f>
        <v>Bihar</v>
      </c>
      <c r="K1034" t="str">
        <f>_xlfn.XLOOKUP(A1034,Orders[OrderID],Orders[City])</f>
        <v>Patna</v>
      </c>
      <c r="L1034" s="3">
        <f>YEAR(Clean_Data[[#This Row],[OrderDate]])</f>
        <v>2018</v>
      </c>
      <c r="M1034" s="3">
        <f>MONTH(Clean_Data[[#This Row],[OrderDate]])</f>
        <v>11</v>
      </c>
      <c r="N1034" s="8" t="str">
        <f>TEXT(Clean_Data[[#This Row],[OrderDate]],"mmm")</f>
        <v>Nov</v>
      </c>
      <c r="O1034" s="8" t="str">
        <f>TEXT(Clean_Data[[#This Row],[OrderDate]], "yyyy-mm")</f>
        <v>2018-11</v>
      </c>
      <c r="P1034" s="7">
        <f>Clean_Data[[#This Row],[Profit]]/Clean_Data[[#This Row],[Revenue ]]</f>
        <v>3.7499999999999999E-2</v>
      </c>
      <c r="Q1034" t="str">
        <f>"Q"&amp;ROUNDUP(MONTH(Clean_Data[[#This Row],[OrderDate]])/3,0)</f>
        <v>Q4</v>
      </c>
      <c r="R1034" t="str">
        <f>TEXT(Clean_Data[[#This Row],[OrderDate]], "dddd")</f>
        <v>Thursday</v>
      </c>
    </row>
    <row r="1035" spans="1:18" x14ac:dyDescent="0.25">
      <c r="A1035" t="s">
        <v>183</v>
      </c>
      <c r="B1035" s="4">
        <v>269</v>
      </c>
      <c r="C1035" s="4">
        <v>33</v>
      </c>
      <c r="D1035" s="3">
        <v>5</v>
      </c>
      <c r="E1035" t="s">
        <v>888</v>
      </c>
      <c r="F1035" t="s">
        <v>889</v>
      </c>
      <c r="G1035" t="s">
        <v>907</v>
      </c>
      <c r="H1035" s="6">
        <f>_xlfn.XLOOKUP(A1035,Orders[OrderID],Orders[OrderDate])</f>
        <v>43428</v>
      </c>
      <c r="I1035" t="str">
        <f>_xlfn.XLOOKUP(A1035,Orders[OrderID],Orders[CustomerName])</f>
        <v>Dashyam</v>
      </c>
      <c r="J1035" t="str">
        <f>_xlfn.XLOOKUP(A1035,Orders[OrderID],Orders[State])</f>
        <v>Gujarat</v>
      </c>
      <c r="K1035" t="str">
        <f>_xlfn.XLOOKUP(A1035,Orders[OrderID],Orders[City])</f>
        <v>Surat</v>
      </c>
      <c r="L1035" s="3">
        <f>YEAR(Clean_Data[[#This Row],[OrderDate]])</f>
        <v>2018</v>
      </c>
      <c r="M1035" s="3">
        <f>MONTH(Clean_Data[[#This Row],[OrderDate]])</f>
        <v>11</v>
      </c>
      <c r="N1035" s="8" t="str">
        <f>TEXT(Clean_Data[[#This Row],[OrderDate]],"mmm")</f>
        <v>Nov</v>
      </c>
      <c r="O1035" s="8" t="str">
        <f>TEXT(Clean_Data[[#This Row],[OrderDate]], "yyyy-mm")</f>
        <v>2018-11</v>
      </c>
      <c r="P1035" s="7">
        <f>Clean_Data[[#This Row],[Profit]]/Clean_Data[[#This Row],[Revenue ]]</f>
        <v>0.12267657992565056</v>
      </c>
      <c r="Q1035" t="str">
        <f>"Q"&amp;ROUNDUP(MONTH(Clean_Data[[#This Row],[OrderDate]])/3,0)</f>
        <v>Q4</v>
      </c>
      <c r="R1035" t="str">
        <f>TEXT(Clean_Data[[#This Row],[OrderDate]], "dddd")</f>
        <v>Saturday</v>
      </c>
    </row>
    <row r="1036" spans="1:18" x14ac:dyDescent="0.25">
      <c r="A1036" t="s">
        <v>744</v>
      </c>
      <c r="B1036" s="4">
        <v>80</v>
      </c>
      <c r="C1036" s="4">
        <v>22</v>
      </c>
      <c r="D1036" s="3">
        <v>3</v>
      </c>
      <c r="E1036" t="s">
        <v>895</v>
      </c>
      <c r="F1036" t="s">
        <v>903</v>
      </c>
      <c r="G1036" t="s">
        <v>890</v>
      </c>
      <c r="H1036" s="6">
        <f>_xlfn.XLOOKUP(A1036,Orders[OrderID],Orders[OrderDate])</f>
        <v>43186</v>
      </c>
      <c r="I1036" t="str">
        <f>_xlfn.XLOOKUP(A1036,Orders[OrderID],Orders[CustomerName])</f>
        <v>Sagar</v>
      </c>
      <c r="J1036" t="str">
        <f>_xlfn.XLOOKUP(A1036,Orders[OrderID],Orders[State])</f>
        <v>Nagaland</v>
      </c>
      <c r="K1036" t="str">
        <f>_xlfn.XLOOKUP(A1036,Orders[OrderID],Orders[City])</f>
        <v>Kohima</v>
      </c>
      <c r="L1036" s="3">
        <f>YEAR(Clean_Data[[#This Row],[OrderDate]])</f>
        <v>2018</v>
      </c>
      <c r="M1036" s="3">
        <f>MONTH(Clean_Data[[#This Row],[OrderDate]])</f>
        <v>3</v>
      </c>
      <c r="N1036" s="8" t="str">
        <f>TEXT(Clean_Data[[#This Row],[OrderDate]],"mmm")</f>
        <v>Mar</v>
      </c>
      <c r="O1036" s="8" t="str">
        <f>TEXT(Clean_Data[[#This Row],[OrderDate]], "yyyy-mm")</f>
        <v>2018-03</v>
      </c>
      <c r="P1036" s="7">
        <f>Clean_Data[[#This Row],[Profit]]/Clean_Data[[#This Row],[Revenue ]]</f>
        <v>0.27500000000000002</v>
      </c>
      <c r="Q1036" t="str">
        <f>"Q"&amp;ROUNDUP(MONTH(Clean_Data[[#This Row],[OrderDate]])/3,0)</f>
        <v>Q1</v>
      </c>
      <c r="R1036" t="str">
        <f>TEXT(Clean_Data[[#This Row],[OrderDate]], "dddd")</f>
        <v>Tuesday</v>
      </c>
    </row>
    <row r="1037" spans="1:18" x14ac:dyDescent="0.25">
      <c r="A1037" t="s">
        <v>395</v>
      </c>
      <c r="B1037" s="4">
        <v>284</v>
      </c>
      <c r="C1037" s="4">
        <v>44</v>
      </c>
      <c r="D1037" s="3">
        <v>6</v>
      </c>
      <c r="E1037" t="s">
        <v>895</v>
      </c>
      <c r="F1037" t="s">
        <v>899</v>
      </c>
      <c r="G1037" t="s">
        <v>887</v>
      </c>
      <c r="H1037" s="6">
        <f>_xlfn.XLOOKUP(A1037,Orders[OrderID],Orders[OrderDate])</f>
        <v>43165</v>
      </c>
      <c r="I1037" t="str">
        <f>_xlfn.XLOOKUP(A1037,Orders[OrderID],Orders[CustomerName])</f>
        <v>Paridhi</v>
      </c>
      <c r="J1037" t="str">
        <f>_xlfn.XLOOKUP(A1037,Orders[OrderID],Orders[State])</f>
        <v>Rajasthan</v>
      </c>
      <c r="K1037" t="str">
        <f>_xlfn.XLOOKUP(A1037,Orders[OrderID],Orders[City])</f>
        <v>Jaipur</v>
      </c>
      <c r="L1037" s="3">
        <f>YEAR(Clean_Data[[#This Row],[OrderDate]])</f>
        <v>2018</v>
      </c>
      <c r="M1037" s="3">
        <f>MONTH(Clean_Data[[#This Row],[OrderDate]])</f>
        <v>3</v>
      </c>
      <c r="N1037" s="8" t="str">
        <f>TEXT(Clean_Data[[#This Row],[OrderDate]],"mmm")</f>
        <v>Mar</v>
      </c>
      <c r="O1037" s="8" t="str">
        <f>TEXT(Clean_Data[[#This Row],[OrderDate]], "yyyy-mm")</f>
        <v>2018-03</v>
      </c>
      <c r="P1037" s="7">
        <f>Clean_Data[[#This Row],[Profit]]/Clean_Data[[#This Row],[Revenue ]]</f>
        <v>0.15492957746478872</v>
      </c>
      <c r="Q1037" t="str">
        <f>"Q"&amp;ROUNDUP(MONTH(Clean_Data[[#This Row],[OrderDate]])/3,0)</f>
        <v>Q1</v>
      </c>
      <c r="R1037" t="str">
        <f>TEXT(Clean_Data[[#This Row],[OrderDate]], "dddd")</f>
        <v>Tuesday</v>
      </c>
    </row>
    <row r="1038" spans="1:18" x14ac:dyDescent="0.25">
      <c r="A1038" t="s">
        <v>491</v>
      </c>
      <c r="B1038" s="4">
        <v>313</v>
      </c>
      <c r="C1038" s="4">
        <v>44</v>
      </c>
      <c r="D1038" s="3">
        <v>3</v>
      </c>
      <c r="E1038" t="s">
        <v>885</v>
      </c>
      <c r="F1038" t="s">
        <v>886</v>
      </c>
      <c r="G1038" t="s">
        <v>887</v>
      </c>
      <c r="H1038" s="6">
        <f>_xlfn.XLOOKUP(A1038,Orders[OrderID],Orders[OrderDate])</f>
        <v>43179</v>
      </c>
      <c r="I1038" t="str">
        <f>_xlfn.XLOOKUP(A1038,Orders[OrderID],Orders[CustomerName])</f>
        <v>Sweta</v>
      </c>
      <c r="J1038" t="str">
        <f>_xlfn.XLOOKUP(A1038,Orders[OrderID],Orders[State])</f>
        <v>Maharashtra</v>
      </c>
      <c r="K1038" t="str">
        <f>_xlfn.XLOOKUP(A1038,Orders[OrderID],Orders[City])</f>
        <v>Mumbai</v>
      </c>
      <c r="L1038" s="3">
        <f>YEAR(Clean_Data[[#This Row],[OrderDate]])</f>
        <v>2018</v>
      </c>
      <c r="M1038" s="3">
        <f>MONTH(Clean_Data[[#This Row],[OrderDate]])</f>
        <v>3</v>
      </c>
      <c r="N1038" s="8" t="str">
        <f>TEXT(Clean_Data[[#This Row],[OrderDate]],"mmm")</f>
        <v>Mar</v>
      </c>
      <c r="O1038" s="8" t="str">
        <f>TEXT(Clean_Data[[#This Row],[OrderDate]], "yyyy-mm")</f>
        <v>2018-03</v>
      </c>
      <c r="P1038" s="7">
        <f>Clean_Data[[#This Row],[Profit]]/Clean_Data[[#This Row],[Revenue ]]</f>
        <v>0.14057507987220447</v>
      </c>
      <c r="Q1038" t="str">
        <f>"Q"&amp;ROUNDUP(MONTH(Clean_Data[[#This Row],[OrderDate]])/3,0)</f>
        <v>Q1</v>
      </c>
      <c r="R1038" t="str">
        <f>TEXT(Clean_Data[[#This Row],[OrderDate]], "dddd")</f>
        <v>Tuesday</v>
      </c>
    </row>
    <row r="1039" spans="1:18" x14ac:dyDescent="0.25">
      <c r="A1039" t="s">
        <v>742</v>
      </c>
      <c r="B1039" s="4">
        <v>80</v>
      </c>
      <c r="C1039" s="4">
        <v>-26</v>
      </c>
      <c r="D1039" s="3">
        <v>9</v>
      </c>
      <c r="E1039" t="s">
        <v>895</v>
      </c>
      <c r="F1039" t="s">
        <v>901</v>
      </c>
      <c r="G1039" t="s">
        <v>890</v>
      </c>
      <c r="H1039" s="6">
        <f>_xlfn.XLOOKUP(A1039,Orders[OrderID],Orders[OrderDate])</f>
        <v>43454</v>
      </c>
      <c r="I1039" t="str">
        <f>_xlfn.XLOOKUP(A1039,Orders[OrderID],Orders[CustomerName])</f>
        <v>Utkarsh</v>
      </c>
      <c r="J1039" t="str">
        <f>_xlfn.XLOOKUP(A1039,Orders[OrderID],Orders[State])</f>
        <v>Gujarat</v>
      </c>
      <c r="K1039" t="str">
        <f>_xlfn.XLOOKUP(A1039,Orders[OrderID],Orders[City])</f>
        <v>Surat</v>
      </c>
      <c r="L1039" s="3">
        <f>YEAR(Clean_Data[[#This Row],[OrderDate]])</f>
        <v>2018</v>
      </c>
      <c r="M1039" s="3">
        <f>MONTH(Clean_Data[[#This Row],[OrderDate]])</f>
        <v>12</v>
      </c>
      <c r="N1039" s="8" t="str">
        <f>TEXT(Clean_Data[[#This Row],[OrderDate]],"mmm")</f>
        <v>Dec</v>
      </c>
      <c r="O1039" s="8" t="str">
        <f>TEXT(Clean_Data[[#This Row],[OrderDate]], "yyyy-mm")</f>
        <v>2018-12</v>
      </c>
      <c r="P1039" s="7">
        <f>Clean_Data[[#This Row],[Profit]]/Clean_Data[[#This Row],[Revenue ]]</f>
        <v>-0.32500000000000001</v>
      </c>
      <c r="Q1039" t="str">
        <f>"Q"&amp;ROUNDUP(MONTH(Clean_Data[[#This Row],[OrderDate]])/3,0)</f>
        <v>Q4</v>
      </c>
      <c r="R1039" t="str">
        <f>TEXT(Clean_Data[[#This Row],[OrderDate]], "dddd")</f>
        <v>Thursday</v>
      </c>
    </row>
    <row r="1040" spans="1:18" x14ac:dyDescent="0.25">
      <c r="A1040" t="s">
        <v>801</v>
      </c>
      <c r="B1040" s="4">
        <v>48</v>
      </c>
      <c r="C1040" s="4">
        <v>-8</v>
      </c>
      <c r="D1040" s="3">
        <v>8</v>
      </c>
      <c r="E1040" t="s">
        <v>895</v>
      </c>
      <c r="F1040" t="s">
        <v>903</v>
      </c>
      <c r="G1040" t="s">
        <v>887</v>
      </c>
      <c r="H1040" s="6">
        <f>_xlfn.XLOOKUP(A1040,Orders[OrderID],Orders[OrderDate])</f>
        <v>43298</v>
      </c>
      <c r="I1040" t="str">
        <f>_xlfn.XLOOKUP(A1040,Orders[OrderID],Orders[CustomerName])</f>
        <v>Inderpreet</v>
      </c>
      <c r="J1040" t="str">
        <f>_xlfn.XLOOKUP(A1040,Orders[OrderID],Orders[State])</f>
        <v>Himachal Pradesh</v>
      </c>
      <c r="K1040" t="str">
        <f>_xlfn.XLOOKUP(A1040,Orders[OrderID],Orders[City])</f>
        <v>Simla</v>
      </c>
      <c r="L1040" s="3">
        <f>YEAR(Clean_Data[[#This Row],[OrderDate]])</f>
        <v>2018</v>
      </c>
      <c r="M1040" s="3">
        <f>MONTH(Clean_Data[[#This Row],[OrderDate]])</f>
        <v>7</v>
      </c>
      <c r="N1040" s="8" t="str">
        <f>TEXT(Clean_Data[[#This Row],[OrderDate]],"mmm")</f>
        <v>Jul</v>
      </c>
      <c r="O1040" s="8" t="str">
        <f>TEXT(Clean_Data[[#This Row],[OrderDate]], "yyyy-mm")</f>
        <v>2018-07</v>
      </c>
      <c r="P1040" s="7">
        <f>Clean_Data[[#This Row],[Profit]]/Clean_Data[[#This Row],[Revenue ]]</f>
        <v>-0.16666666666666666</v>
      </c>
      <c r="Q1040" t="str">
        <f>"Q"&amp;ROUNDUP(MONTH(Clean_Data[[#This Row],[OrderDate]])/3,0)</f>
        <v>Q3</v>
      </c>
      <c r="R1040" t="str">
        <f>TEXT(Clean_Data[[#This Row],[OrderDate]], "dddd")</f>
        <v>Tuesday</v>
      </c>
    </row>
    <row r="1041" spans="1:18" x14ac:dyDescent="0.25">
      <c r="A1041" t="s">
        <v>731</v>
      </c>
      <c r="B1041" s="4">
        <v>87</v>
      </c>
      <c r="C1041" s="4">
        <v>16</v>
      </c>
      <c r="D1041" s="3">
        <v>2</v>
      </c>
      <c r="E1041" t="s">
        <v>895</v>
      </c>
      <c r="F1041" t="s">
        <v>897</v>
      </c>
      <c r="G1041" t="s">
        <v>898</v>
      </c>
      <c r="H1041" s="6">
        <f>_xlfn.XLOOKUP(A1041,Orders[OrderID],Orders[OrderDate])</f>
        <v>43322</v>
      </c>
      <c r="I1041" t="str">
        <f>_xlfn.XLOOKUP(A1041,Orders[OrderID],Orders[CustomerName])</f>
        <v>Shivam</v>
      </c>
      <c r="J1041" t="str">
        <f>_xlfn.XLOOKUP(A1041,Orders[OrderID],Orders[State])</f>
        <v>Maharashtra</v>
      </c>
      <c r="K1041" t="str">
        <f>_xlfn.XLOOKUP(A1041,Orders[OrderID],Orders[City])</f>
        <v>Pune</v>
      </c>
      <c r="L1041" s="3">
        <f>YEAR(Clean_Data[[#This Row],[OrderDate]])</f>
        <v>2018</v>
      </c>
      <c r="M1041" s="3">
        <f>MONTH(Clean_Data[[#This Row],[OrderDate]])</f>
        <v>8</v>
      </c>
      <c r="N1041" s="8" t="str">
        <f>TEXT(Clean_Data[[#This Row],[OrderDate]],"mmm")</f>
        <v>Aug</v>
      </c>
      <c r="O1041" s="8" t="str">
        <f>TEXT(Clean_Data[[#This Row],[OrderDate]], "yyyy-mm")</f>
        <v>2018-08</v>
      </c>
      <c r="P1041" s="7">
        <f>Clean_Data[[#This Row],[Profit]]/Clean_Data[[#This Row],[Revenue ]]</f>
        <v>0.18390804597701149</v>
      </c>
      <c r="Q1041" t="str">
        <f>"Q"&amp;ROUNDUP(MONTH(Clean_Data[[#This Row],[OrderDate]])/3,0)</f>
        <v>Q3</v>
      </c>
      <c r="R1041" t="str">
        <f>TEXT(Clean_Data[[#This Row],[OrderDate]], "dddd")</f>
        <v>Friday</v>
      </c>
    </row>
    <row r="1042" spans="1:18" x14ac:dyDescent="0.25">
      <c r="A1042" t="s">
        <v>212</v>
      </c>
      <c r="B1042" s="4">
        <v>47</v>
      </c>
      <c r="C1042" s="4">
        <v>-114</v>
      </c>
      <c r="D1042" s="3">
        <v>5</v>
      </c>
      <c r="E1042" t="s">
        <v>888</v>
      </c>
      <c r="F1042" t="s">
        <v>908</v>
      </c>
      <c r="G1042" t="s">
        <v>887</v>
      </c>
      <c r="H1042" s="6">
        <f>_xlfn.XLOOKUP(A1042,Orders[OrderID],Orders[OrderDate])</f>
        <v>43329</v>
      </c>
      <c r="I1042" t="str">
        <f>_xlfn.XLOOKUP(A1042,Orders[OrderID],Orders[CustomerName])</f>
        <v>Shivam</v>
      </c>
      <c r="J1042" t="str">
        <f>_xlfn.XLOOKUP(A1042,Orders[OrderID],Orders[State])</f>
        <v>Uttar Pradesh</v>
      </c>
      <c r="K1042" t="str">
        <f>_xlfn.XLOOKUP(A1042,Orders[OrderID],Orders[City])</f>
        <v>Lucknow</v>
      </c>
      <c r="L1042" s="3">
        <f>YEAR(Clean_Data[[#This Row],[OrderDate]])</f>
        <v>2018</v>
      </c>
      <c r="M1042" s="3">
        <f>MONTH(Clean_Data[[#This Row],[OrderDate]])</f>
        <v>8</v>
      </c>
      <c r="N1042" s="8" t="str">
        <f>TEXT(Clean_Data[[#This Row],[OrderDate]],"mmm")</f>
        <v>Aug</v>
      </c>
      <c r="O1042" s="8" t="str">
        <f>TEXT(Clean_Data[[#This Row],[OrderDate]], "yyyy-mm")</f>
        <v>2018-08</v>
      </c>
      <c r="P1042" s="7">
        <f>Clean_Data[[#This Row],[Profit]]/Clean_Data[[#This Row],[Revenue ]]</f>
        <v>-2.4255319148936172</v>
      </c>
      <c r="Q1042" t="str">
        <f>"Q"&amp;ROUNDUP(MONTH(Clean_Data[[#This Row],[OrderDate]])/3,0)</f>
        <v>Q3</v>
      </c>
      <c r="R1042" t="str">
        <f>TEXT(Clean_Data[[#This Row],[OrderDate]], "dddd")</f>
        <v>Friday</v>
      </c>
    </row>
    <row r="1043" spans="1:18" x14ac:dyDescent="0.25">
      <c r="A1043" t="s">
        <v>400</v>
      </c>
      <c r="B1043" s="4">
        <v>140</v>
      </c>
      <c r="C1043" s="4">
        <v>28</v>
      </c>
      <c r="D1043" s="3">
        <v>2</v>
      </c>
      <c r="E1043" t="s">
        <v>885</v>
      </c>
      <c r="F1043" t="s">
        <v>894</v>
      </c>
      <c r="G1043" t="s">
        <v>887</v>
      </c>
      <c r="H1043" s="6">
        <f>_xlfn.XLOOKUP(A1043,Orders[OrderID],Orders[OrderDate])</f>
        <v>43117</v>
      </c>
      <c r="I1043" t="str">
        <f>_xlfn.XLOOKUP(A1043,Orders[OrderID],Orders[CustomerName])</f>
        <v>Shreya</v>
      </c>
      <c r="J1043" t="str">
        <f>_xlfn.XLOOKUP(A1043,Orders[OrderID],Orders[State])</f>
        <v>Maharashtra</v>
      </c>
      <c r="K1043" t="str">
        <f>_xlfn.XLOOKUP(A1043,Orders[OrderID],Orders[City])</f>
        <v>Mumbai</v>
      </c>
      <c r="L1043" s="3">
        <f>YEAR(Clean_Data[[#This Row],[OrderDate]])</f>
        <v>2018</v>
      </c>
      <c r="M1043" s="3">
        <f>MONTH(Clean_Data[[#This Row],[OrderDate]])</f>
        <v>1</v>
      </c>
      <c r="N1043" s="8" t="str">
        <f>TEXT(Clean_Data[[#This Row],[OrderDate]],"mmm")</f>
        <v>Jan</v>
      </c>
      <c r="O1043" s="8" t="str">
        <f>TEXT(Clean_Data[[#This Row],[OrderDate]], "yyyy-mm")</f>
        <v>2018-01</v>
      </c>
      <c r="P1043" s="7">
        <f>Clean_Data[[#This Row],[Profit]]/Clean_Data[[#This Row],[Revenue ]]</f>
        <v>0.2</v>
      </c>
      <c r="Q1043" t="str">
        <f>"Q"&amp;ROUNDUP(MONTH(Clean_Data[[#This Row],[OrderDate]])/3,0)</f>
        <v>Q1</v>
      </c>
      <c r="R1043" t="str">
        <f>TEXT(Clean_Data[[#This Row],[OrderDate]], "dddd")</f>
        <v>Wednesday</v>
      </c>
    </row>
    <row r="1044" spans="1:18" x14ac:dyDescent="0.25">
      <c r="A1044" t="s">
        <v>476</v>
      </c>
      <c r="B1044" s="4">
        <v>47</v>
      </c>
      <c r="C1044" s="4">
        <v>1</v>
      </c>
      <c r="D1044" s="3">
        <v>2</v>
      </c>
      <c r="E1044" t="s">
        <v>895</v>
      </c>
      <c r="F1044" t="s">
        <v>903</v>
      </c>
      <c r="G1044" t="s">
        <v>887</v>
      </c>
      <c r="H1044" s="6">
        <f>_xlfn.XLOOKUP(A1044,Orders[OrderID],Orders[OrderDate])</f>
        <v>43135</v>
      </c>
      <c r="I1044" t="str">
        <f>_xlfn.XLOOKUP(A1044,Orders[OrderID],Orders[CustomerName])</f>
        <v>Prashant</v>
      </c>
      <c r="J1044" t="str">
        <f>_xlfn.XLOOKUP(A1044,Orders[OrderID],Orders[State])</f>
        <v>Delhi</v>
      </c>
      <c r="K1044" t="str">
        <f>_xlfn.XLOOKUP(A1044,Orders[OrderID],Orders[City])</f>
        <v>Delhi</v>
      </c>
      <c r="L1044" s="3">
        <f>YEAR(Clean_Data[[#This Row],[OrderDate]])</f>
        <v>2018</v>
      </c>
      <c r="M1044" s="3">
        <f>MONTH(Clean_Data[[#This Row],[OrderDate]])</f>
        <v>2</v>
      </c>
      <c r="N1044" s="8" t="str">
        <f>TEXT(Clean_Data[[#This Row],[OrderDate]],"mmm")</f>
        <v>Feb</v>
      </c>
      <c r="O1044" s="8" t="str">
        <f>TEXT(Clean_Data[[#This Row],[OrderDate]], "yyyy-mm")</f>
        <v>2018-02</v>
      </c>
      <c r="P1044" s="7">
        <f>Clean_Data[[#This Row],[Profit]]/Clean_Data[[#This Row],[Revenue ]]</f>
        <v>2.1276595744680851E-2</v>
      </c>
      <c r="Q1044" t="str">
        <f>"Q"&amp;ROUNDUP(MONTH(Clean_Data[[#This Row],[OrderDate]])/3,0)</f>
        <v>Q1</v>
      </c>
      <c r="R1044" t="str">
        <f>TEXT(Clean_Data[[#This Row],[OrderDate]], "dddd")</f>
        <v>Sunday</v>
      </c>
    </row>
    <row r="1045" spans="1:18" x14ac:dyDescent="0.25">
      <c r="A1045" t="s">
        <v>507</v>
      </c>
      <c r="B1045" s="4">
        <v>79</v>
      </c>
      <c r="C1045" s="4">
        <v>-2</v>
      </c>
      <c r="D1045" s="3">
        <v>2</v>
      </c>
      <c r="E1045" t="s">
        <v>888</v>
      </c>
      <c r="F1045" t="s">
        <v>908</v>
      </c>
      <c r="G1045" t="s">
        <v>890</v>
      </c>
      <c r="H1045" s="6">
        <f>_xlfn.XLOOKUP(A1045,Orders[OrderID],Orders[OrderDate])</f>
        <v>43439</v>
      </c>
      <c r="I1045" t="str">
        <f>_xlfn.XLOOKUP(A1045,Orders[OrderID],Orders[CustomerName])</f>
        <v>Aman</v>
      </c>
      <c r="J1045" t="str">
        <f>_xlfn.XLOOKUP(A1045,Orders[OrderID],Orders[State])</f>
        <v>Maharashtra</v>
      </c>
      <c r="K1045" t="str">
        <f>_xlfn.XLOOKUP(A1045,Orders[OrderID],Orders[City])</f>
        <v>Mumbai</v>
      </c>
      <c r="L1045" s="3">
        <f>YEAR(Clean_Data[[#This Row],[OrderDate]])</f>
        <v>2018</v>
      </c>
      <c r="M1045" s="3">
        <f>MONTH(Clean_Data[[#This Row],[OrderDate]])</f>
        <v>12</v>
      </c>
      <c r="N1045" s="8" t="str">
        <f>TEXT(Clean_Data[[#This Row],[OrderDate]],"mmm")</f>
        <v>Dec</v>
      </c>
      <c r="O1045" s="8" t="str">
        <f>TEXT(Clean_Data[[#This Row],[OrderDate]], "yyyy-mm")</f>
        <v>2018-12</v>
      </c>
      <c r="P1045" s="7">
        <f>Clean_Data[[#This Row],[Profit]]/Clean_Data[[#This Row],[Revenue ]]</f>
        <v>-2.5316455696202531E-2</v>
      </c>
      <c r="Q1045" t="str">
        <f>"Q"&amp;ROUNDUP(MONTH(Clean_Data[[#This Row],[OrderDate]])/3,0)</f>
        <v>Q4</v>
      </c>
      <c r="R1045" t="str">
        <f>TEXT(Clean_Data[[#This Row],[OrderDate]], "dddd")</f>
        <v>Wednesday</v>
      </c>
    </row>
    <row r="1046" spans="1:18" x14ac:dyDescent="0.25">
      <c r="A1046" t="s">
        <v>337</v>
      </c>
      <c r="B1046" s="4">
        <v>78</v>
      </c>
      <c r="C1046" s="4">
        <v>-64</v>
      </c>
      <c r="D1046" s="3">
        <v>7</v>
      </c>
      <c r="E1046" t="s">
        <v>895</v>
      </c>
      <c r="F1046" t="s">
        <v>903</v>
      </c>
      <c r="G1046" t="s">
        <v>890</v>
      </c>
      <c r="H1046" s="6">
        <f>_xlfn.XLOOKUP(A1046,Orders[OrderID],Orders[OrderDate])</f>
        <v>43367</v>
      </c>
      <c r="I1046" t="str">
        <f>_xlfn.XLOOKUP(A1046,Orders[OrderID],Orders[CustomerName])</f>
        <v>Sukrith</v>
      </c>
      <c r="J1046" t="str">
        <f>_xlfn.XLOOKUP(A1046,Orders[OrderID],Orders[State])</f>
        <v>Maharashtra</v>
      </c>
      <c r="K1046" t="str">
        <f>_xlfn.XLOOKUP(A1046,Orders[OrderID],Orders[City])</f>
        <v>Mumbai</v>
      </c>
      <c r="L1046" s="3">
        <f>YEAR(Clean_Data[[#This Row],[OrderDate]])</f>
        <v>2018</v>
      </c>
      <c r="M1046" s="3">
        <f>MONTH(Clean_Data[[#This Row],[OrderDate]])</f>
        <v>9</v>
      </c>
      <c r="N1046" s="8" t="str">
        <f>TEXT(Clean_Data[[#This Row],[OrderDate]],"mmm")</f>
        <v>Sep</v>
      </c>
      <c r="O1046" s="8" t="str">
        <f>TEXT(Clean_Data[[#This Row],[OrderDate]], "yyyy-mm")</f>
        <v>2018-09</v>
      </c>
      <c r="P1046" s="7">
        <f>Clean_Data[[#This Row],[Profit]]/Clean_Data[[#This Row],[Revenue ]]</f>
        <v>-0.82051282051282048</v>
      </c>
      <c r="Q1046" t="str">
        <f>"Q"&amp;ROUNDUP(MONTH(Clean_Data[[#This Row],[OrderDate]])/3,0)</f>
        <v>Q3</v>
      </c>
      <c r="R1046" t="str">
        <f>TEXT(Clean_Data[[#This Row],[OrderDate]], "dddd")</f>
        <v>Monday</v>
      </c>
    </row>
    <row r="1047" spans="1:18" x14ac:dyDescent="0.25">
      <c r="A1047" t="s">
        <v>28</v>
      </c>
      <c r="B1047" s="4">
        <v>47</v>
      </c>
      <c r="C1047" s="4">
        <v>-3</v>
      </c>
      <c r="D1047" s="3">
        <v>2</v>
      </c>
      <c r="E1047" t="s">
        <v>895</v>
      </c>
      <c r="F1047" t="s">
        <v>903</v>
      </c>
      <c r="G1047" t="s">
        <v>887</v>
      </c>
      <c r="H1047" s="6">
        <f>_xlfn.XLOOKUP(A1047,Orders[OrderID],Orders[OrderDate])</f>
        <v>43374</v>
      </c>
      <c r="I1047" t="str">
        <f>_xlfn.XLOOKUP(A1047,Orders[OrderID],Orders[CustomerName])</f>
        <v>Shishu</v>
      </c>
      <c r="J1047" t="str">
        <f>_xlfn.XLOOKUP(A1047,Orders[OrderID],Orders[State])</f>
        <v>Andhra Pradesh</v>
      </c>
      <c r="K1047" t="str">
        <f>_xlfn.XLOOKUP(A1047,Orders[OrderID],Orders[City])</f>
        <v>Hyderabad</v>
      </c>
      <c r="L1047" s="3">
        <f>YEAR(Clean_Data[[#This Row],[OrderDate]])</f>
        <v>2018</v>
      </c>
      <c r="M1047" s="3">
        <f>MONTH(Clean_Data[[#This Row],[OrderDate]])</f>
        <v>10</v>
      </c>
      <c r="N1047" s="8" t="str">
        <f>TEXT(Clean_Data[[#This Row],[OrderDate]],"mmm")</f>
        <v>Oct</v>
      </c>
      <c r="O1047" s="8" t="str">
        <f>TEXT(Clean_Data[[#This Row],[OrderDate]], "yyyy-mm")</f>
        <v>2018-10</v>
      </c>
      <c r="P1047" s="7">
        <f>Clean_Data[[#This Row],[Profit]]/Clean_Data[[#This Row],[Revenue ]]</f>
        <v>-6.3829787234042548E-2</v>
      </c>
      <c r="Q1047" t="str">
        <f>"Q"&amp;ROUNDUP(MONTH(Clean_Data[[#This Row],[OrderDate]])/3,0)</f>
        <v>Q4</v>
      </c>
      <c r="R1047" t="str">
        <f>TEXT(Clean_Data[[#This Row],[OrderDate]], "dddd")</f>
        <v>Monday</v>
      </c>
    </row>
    <row r="1048" spans="1:18" x14ac:dyDescent="0.25">
      <c r="A1048" t="s">
        <v>578</v>
      </c>
      <c r="B1048" s="4">
        <v>185</v>
      </c>
      <c r="C1048" s="4">
        <v>48</v>
      </c>
      <c r="D1048" s="3">
        <v>4</v>
      </c>
      <c r="E1048" t="s">
        <v>895</v>
      </c>
      <c r="F1048" t="s">
        <v>903</v>
      </c>
      <c r="G1048" t="s">
        <v>898</v>
      </c>
      <c r="H1048" s="6">
        <f>_xlfn.XLOOKUP(A1048,Orders[OrderID],Orders[OrderDate])</f>
        <v>43160</v>
      </c>
      <c r="I1048" t="str">
        <f>_xlfn.XLOOKUP(A1048,Orders[OrderID],Orders[CustomerName])</f>
        <v>Amit</v>
      </c>
      <c r="J1048" t="str">
        <f>_xlfn.XLOOKUP(A1048,Orders[OrderID],Orders[State])</f>
        <v>Sikkim</v>
      </c>
      <c r="K1048" t="str">
        <f>_xlfn.XLOOKUP(A1048,Orders[OrderID],Orders[City])</f>
        <v>Gangtok</v>
      </c>
      <c r="L1048" s="3">
        <f>YEAR(Clean_Data[[#This Row],[OrderDate]])</f>
        <v>2018</v>
      </c>
      <c r="M1048" s="3">
        <f>MONTH(Clean_Data[[#This Row],[OrderDate]])</f>
        <v>3</v>
      </c>
      <c r="N1048" s="8" t="str">
        <f>TEXT(Clean_Data[[#This Row],[OrderDate]],"mmm")</f>
        <v>Mar</v>
      </c>
      <c r="O1048" s="8" t="str">
        <f>TEXT(Clean_Data[[#This Row],[OrderDate]], "yyyy-mm")</f>
        <v>2018-03</v>
      </c>
      <c r="P1048" s="7">
        <f>Clean_Data[[#This Row],[Profit]]/Clean_Data[[#This Row],[Revenue ]]</f>
        <v>0.25945945945945947</v>
      </c>
      <c r="Q1048" t="str">
        <f>"Q"&amp;ROUNDUP(MONTH(Clean_Data[[#This Row],[OrderDate]])/3,0)</f>
        <v>Q1</v>
      </c>
      <c r="R1048" t="str">
        <f>TEXT(Clean_Data[[#This Row],[OrderDate]], "dddd")</f>
        <v>Thursday</v>
      </c>
    </row>
    <row r="1049" spans="1:18" x14ac:dyDescent="0.25">
      <c r="A1049" t="s">
        <v>162</v>
      </c>
      <c r="B1049" s="4">
        <v>77</v>
      </c>
      <c r="C1049" s="4">
        <v>36</v>
      </c>
      <c r="D1049" s="3">
        <v>2</v>
      </c>
      <c r="E1049" t="s">
        <v>895</v>
      </c>
      <c r="F1049" t="s">
        <v>909</v>
      </c>
      <c r="G1049" t="s">
        <v>890</v>
      </c>
      <c r="H1049" s="6">
        <f>_xlfn.XLOOKUP(A1049,Orders[OrderID],Orders[OrderDate])</f>
        <v>43151</v>
      </c>
      <c r="I1049" t="str">
        <f>_xlfn.XLOOKUP(A1049,Orders[OrderID],Orders[CustomerName])</f>
        <v>Manju</v>
      </c>
      <c r="J1049" t="str">
        <f>_xlfn.XLOOKUP(A1049,Orders[OrderID],Orders[State])</f>
        <v>Andhra Pradesh</v>
      </c>
      <c r="K1049" t="str">
        <f>_xlfn.XLOOKUP(A1049,Orders[OrderID],Orders[City])</f>
        <v>Hyderabad</v>
      </c>
      <c r="L1049" s="3">
        <f>YEAR(Clean_Data[[#This Row],[OrderDate]])</f>
        <v>2018</v>
      </c>
      <c r="M1049" s="3">
        <f>MONTH(Clean_Data[[#This Row],[OrderDate]])</f>
        <v>2</v>
      </c>
      <c r="N1049" s="8" t="str">
        <f>TEXT(Clean_Data[[#This Row],[OrderDate]],"mmm")</f>
        <v>Feb</v>
      </c>
      <c r="O1049" s="8" t="str">
        <f>TEXT(Clean_Data[[#This Row],[OrderDate]], "yyyy-mm")</f>
        <v>2018-02</v>
      </c>
      <c r="P1049" s="7">
        <f>Clean_Data[[#This Row],[Profit]]/Clean_Data[[#This Row],[Revenue ]]</f>
        <v>0.46753246753246752</v>
      </c>
      <c r="Q1049" t="str">
        <f>"Q"&amp;ROUNDUP(MONTH(Clean_Data[[#This Row],[OrderDate]])/3,0)</f>
        <v>Q1</v>
      </c>
      <c r="R1049" t="str">
        <f>TEXT(Clean_Data[[#This Row],[OrderDate]], "dddd")</f>
        <v>Tuesday</v>
      </c>
    </row>
    <row r="1050" spans="1:18" x14ac:dyDescent="0.25">
      <c r="A1050" t="s">
        <v>522</v>
      </c>
      <c r="B1050" s="4">
        <v>259</v>
      </c>
      <c r="C1050" s="4">
        <v>47</v>
      </c>
      <c r="D1050" s="3">
        <v>5</v>
      </c>
      <c r="E1050" t="s">
        <v>895</v>
      </c>
      <c r="F1050" t="s">
        <v>899</v>
      </c>
      <c r="G1050" t="s">
        <v>898</v>
      </c>
      <c r="H1050" s="6">
        <f>_xlfn.XLOOKUP(A1050,Orders[OrderID],Orders[OrderDate])</f>
        <v>43383</v>
      </c>
      <c r="I1050" t="str">
        <f>_xlfn.XLOOKUP(A1050,Orders[OrderID],Orders[CustomerName])</f>
        <v>Kshitij</v>
      </c>
      <c r="J1050" t="str">
        <f>_xlfn.XLOOKUP(A1050,Orders[OrderID],Orders[State])</f>
        <v>Madhya Pradesh</v>
      </c>
      <c r="K1050" t="str">
        <f>_xlfn.XLOOKUP(A1050,Orders[OrderID],Orders[City])</f>
        <v>Indore</v>
      </c>
      <c r="L1050" s="3">
        <f>YEAR(Clean_Data[[#This Row],[OrderDate]])</f>
        <v>2018</v>
      </c>
      <c r="M1050" s="3">
        <f>MONTH(Clean_Data[[#This Row],[OrderDate]])</f>
        <v>10</v>
      </c>
      <c r="N1050" s="8" t="str">
        <f>TEXT(Clean_Data[[#This Row],[OrderDate]],"mmm")</f>
        <v>Oct</v>
      </c>
      <c r="O1050" s="8" t="str">
        <f>TEXT(Clean_Data[[#This Row],[OrderDate]], "yyyy-mm")</f>
        <v>2018-10</v>
      </c>
      <c r="P1050" s="7">
        <f>Clean_Data[[#This Row],[Profit]]/Clean_Data[[#This Row],[Revenue ]]</f>
        <v>0.18146718146718147</v>
      </c>
      <c r="Q1050" t="str">
        <f>"Q"&amp;ROUNDUP(MONTH(Clean_Data[[#This Row],[OrderDate]])/3,0)</f>
        <v>Q4</v>
      </c>
      <c r="R1050" t="str">
        <f>TEXT(Clean_Data[[#This Row],[OrderDate]], "dddd")</f>
        <v>Wednesday</v>
      </c>
    </row>
    <row r="1051" spans="1:18" x14ac:dyDescent="0.25">
      <c r="A1051" t="s">
        <v>755</v>
      </c>
      <c r="B1051" s="4">
        <v>75</v>
      </c>
      <c r="C1051" s="4">
        <v>0</v>
      </c>
      <c r="D1051" s="3">
        <v>7</v>
      </c>
      <c r="E1051" t="s">
        <v>895</v>
      </c>
      <c r="F1051" t="s">
        <v>897</v>
      </c>
      <c r="G1051" t="s">
        <v>890</v>
      </c>
      <c r="H1051" s="6">
        <f>_xlfn.XLOOKUP(A1051,Orders[OrderID],Orders[OrderDate])</f>
        <v>43195</v>
      </c>
      <c r="I1051" t="str">
        <f>_xlfn.XLOOKUP(A1051,Orders[OrderID],Orders[CustomerName])</f>
        <v>Kasheen</v>
      </c>
      <c r="J1051" t="str">
        <f>_xlfn.XLOOKUP(A1051,Orders[OrderID],Orders[State])</f>
        <v>West Bengal</v>
      </c>
      <c r="K1051" t="str">
        <f>_xlfn.XLOOKUP(A1051,Orders[OrderID],Orders[City])</f>
        <v>Kolkata</v>
      </c>
      <c r="L1051" s="3">
        <f>YEAR(Clean_Data[[#This Row],[OrderDate]])</f>
        <v>2018</v>
      </c>
      <c r="M1051" s="3">
        <f>MONTH(Clean_Data[[#This Row],[OrderDate]])</f>
        <v>4</v>
      </c>
      <c r="N1051" s="8" t="str">
        <f>TEXT(Clean_Data[[#This Row],[OrderDate]],"mmm")</f>
        <v>Apr</v>
      </c>
      <c r="O1051" s="8" t="str">
        <f>TEXT(Clean_Data[[#This Row],[OrderDate]], "yyyy-mm")</f>
        <v>2018-04</v>
      </c>
      <c r="P1051" s="7">
        <f>Clean_Data[[#This Row],[Profit]]/Clean_Data[[#This Row],[Revenue ]]</f>
        <v>0</v>
      </c>
      <c r="Q1051" t="str">
        <f>"Q"&amp;ROUNDUP(MONTH(Clean_Data[[#This Row],[OrderDate]])/3,0)</f>
        <v>Q2</v>
      </c>
      <c r="R1051" t="str">
        <f>TEXT(Clean_Data[[#This Row],[OrderDate]], "dddd")</f>
        <v>Thursday</v>
      </c>
    </row>
    <row r="1052" spans="1:18" x14ac:dyDescent="0.25">
      <c r="A1052" t="s">
        <v>217</v>
      </c>
      <c r="B1052" s="4">
        <v>75</v>
      </c>
      <c r="C1052" s="4">
        <v>0</v>
      </c>
      <c r="D1052" s="3">
        <v>3</v>
      </c>
      <c r="E1052" t="s">
        <v>895</v>
      </c>
      <c r="F1052" t="s">
        <v>909</v>
      </c>
      <c r="G1052" t="s">
        <v>890</v>
      </c>
      <c r="H1052" s="6">
        <f>_xlfn.XLOOKUP(A1052,Orders[OrderID],Orders[OrderDate])</f>
        <v>43278</v>
      </c>
      <c r="I1052" t="str">
        <f>_xlfn.XLOOKUP(A1052,Orders[OrderID],Orders[CustomerName])</f>
        <v>Shaily</v>
      </c>
      <c r="J1052" t="str">
        <f>_xlfn.XLOOKUP(A1052,Orders[OrderID],Orders[State])</f>
        <v>Maharashtra</v>
      </c>
      <c r="K1052" t="str">
        <f>_xlfn.XLOOKUP(A1052,Orders[OrderID],Orders[City])</f>
        <v>Mumbai</v>
      </c>
      <c r="L1052" s="3">
        <f>YEAR(Clean_Data[[#This Row],[OrderDate]])</f>
        <v>2018</v>
      </c>
      <c r="M1052" s="3">
        <f>MONTH(Clean_Data[[#This Row],[OrderDate]])</f>
        <v>6</v>
      </c>
      <c r="N1052" s="8" t="str">
        <f>TEXT(Clean_Data[[#This Row],[OrderDate]],"mmm")</f>
        <v>Jun</v>
      </c>
      <c r="O1052" s="8" t="str">
        <f>TEXT(Clean_Data[[#This Row],[OrderDate]], "yyyy-mm")</f>
        <v>2018-06</v>
      </c>
      <c r="P1052" s="7">
        <f>Clean_Data[[#This Row],[Profit]]/Clean_Data[[#This Row],[Revenue ]]</f>
        <v>0</v>
      </c>
      <c r="Q1052" t="str">
        <f>"Q"&amp;ROUNDUP(MONTH(Clean_Data[[#This Row],[OrderDate]])/3,0)</f>
        <v>Q2</v>
      </c>
      <c r="R1052" t="str">
        <f>TEXT(Clean_Data[[#This Row],[OrderDate]], "dddd")</f>
        <v>Wednesday</v>
      </c>
    </row>
    <row r="1053" spans="1:18" x14ac:dyDescent="0.25">
      <c r="A1053" t="s">
        <v>785</v>
      </c>
      <c r="B1053" s="4">
        <v>46</v>
      </c>
      <c r="C1053" s="4">
        <v>0</v>
      </c>
      <c r="D1053" s="3">
        <v>4</v>
      </c>
      <c r="E1053" t="s">
        <v>895</v>
      </c>
      <c r="F1053" t="s">
        <v>904</v>
      </c>
      <c r="G1053" t="s">
        <v>887</v>
      </c>
      <c r="H1053" s="6">
        <f>_xlfn.XLOOKUP(A1053,Orders[OrderID],Orders[OrderDate])</f>
        <v>43106</v>
      </c>
      <c r="I1053" t="str">
        <f>_xlfn.XLOOKUP(A1053,Orders[OrderID],Orders[CustomerName])</f>
        <v>Vivek</v>
      </c>
      <c r="J1053" t="str">
        <f>_xlfn.XLOOKUP(A1053,Orders[OrderID],Orders[State])</f>
        <v>Goa</v>
      </c>
      <c r="K1053" t="str">
        <f>_xlfn.XLOOKUP(A1053,Orders[OrderID],Orders[City])</f>
        <v>Goa</v>
      </c>
      <c r="L1053" s="3">
        <f>YEAR(Clean_Data[[#This Row],[OrderDate]])</f>
        <v>2018</v>
      </c>
      <c r="M1053" s="3">
        <f>MONTH(Clean_Data[[#This Row],[OrderDate]])</f>
        <v>1</v>
      </c>
      <c r="N1053" s="8" t="str">
        <f>TEXT(Clean_Data[[#This Row],[OrderDate]],"mmm")</f>
        <v>Jan</v>
      </c>
      <c r="O1053" s="8" t="str">
        <f>TEXT(Clean_Data[[#This Row],[OrderDate]], "yyyy-mm")</f>
        <v>2018-01</v>
      </c>
      <c r="P1053" s="7">
        <f>Clean_Data[[#This Row],[Profit]]/Clean_Data[[#This Row],[Revenue ]]</f>
        <v>0</v>
      </c>
      <c r="Q1053" t="str">
        <f>"Q"&amp;ROUNDUP(MONTH(Clean_Data[[#This Row],[OrderDate]])/3,0)</f>
        <v>Q1</v>
      </c>
      <c r="R1053" t="str">
        <f>TEXT(Clean_Data[[#This Row],[OrderDate]], "dddd")</f>
        <v>Saturday</v>
      </c>
    </row>
    <row r="1054" spans="1:18" x14ac:dyDescent="0.25">
      <c r="A1054" t="s">
        <v>493</v>
      </c>
      <c r="B1054" s="4">
        <v>46</v>
      </c>
      <c r="C1054" s="4">
        <v>13</v>
      </c>
      <c r="D1054" s="3">
        <v>3</v>
      </c>
      <c r="E1054" t="s">
        <v>895</v>
      </c>
      <c r="F1054" t="s">
        <v>899</v>
      </c>
      <c r="G1054" t="s">
        <v>887</v>
      </c>
      <c r="H1054" s="6">
        <f>_xlfn.XLOOKUP(A1054,Orders[OrderID],Orders[OrderDate])</f>
        <v>43185</v>
      </c>
      <c r="I1054" t="str">
        <f>_xlfn.XLOOKUP(A1054,Orders[OrderID],Orders[CustomerName])</f>
        <v>Vandana</v>
      </c>
      <c r="J1054" t="str">
        <f>_xlfn.XLOOKUP(A1054,Orders[OrderID],Orders[State])</f>
        <v>Himachal Pradesh</v>
      </c>
      <c r="K1054" t="str">
        <f>_xlfn.XLOOKUP(A1054,Orders[OrderID],Orders[City])</f>
        <v>Simla</v>
      </c>
      <c r="L1054" s="3">
        <f>YEAR(Clean_Data[[#This Row],[OrderDate]])</f>
        <v>2018</v>
      </c>
      <c r="M1054" s="3">
        <f>MONTH(Clean_Data[[#This Row],[OrderDate]])</f>
        <v>3</v>
      </c>
      <c r="N1054" s="8" t="str">
        <f>TEXT(Clean_Data[[#This Row],[OrderDate]],"mmm")</f>
        <v>Mar</v>
      </c>
      <c r="O1054" s="8" t="str">
        <f>TEXT(Clean_Data[[#This Row],[OrderDate]], "yyyy-mm")</f>
        <v>2018-03</v>
      </c>
      <c r="P1054" s="7">
        <f>Clean_Data[[#This Row],[Profit]]/Clean_Data[[#This Row],[Revenue ]]</f>
        <v>0.28260869565217389</v>
      </c>
      <c r="Q1054" t="str">
        <f>"Q"&amp;ROUNDUP(MONTH(Clean_Data[[#This Row],[OrderDate]])/3,0)</f>
        <v>Q1</v>
      </c>
      <c r="R1054" t="str">
        <f>TEXT(Clean_Data[[#This Row],[OrderDate]], "dddd")</f>
        <v>Monday</v>
      </c>
    </row>
    <row r="1055" spans="1:18" x14ac:dyDescent="0.25">
      <c r="A1055" t="s">
        <v>23</v>
      </c>
      <c r="B1055" s="4">
        <v>200</v>
      </c>
      <c r="C1055" s="4">
        <v>13</v>
      </c>
      <c r="D1055" s="3">
        <v>5</v>
      </c>
      <c r="E1055" t="s">
        <v>885</v>
      </c>
      <c r="F1055" t="s">
        <v>894</v>
      </c>
      <c r="G1055" t="s">
        <v>887</v>
      </c>
      <c r="H1055" s="6">
        <f>_xlfn.XLOOKUP(A1055,Orders[OrderID],Orders[OrderDate])</f>
        <v>43116</v>
      </c>
      <c r="I1055" t="str">
        <f>_xlfn.XLOOKUP(A1055,Orders[OrderID],Orders[CustomerName])</f>
        <v>Shiva</v>
      </c>
      <c r="J1055" t="str">
        <f>_xlfn.XLOOKUP(A1055,Orders[OrderID],Orders[State])</f>
        <v>Maharashtra</v>
      </c>
      <c r="K1055" t="str">
        <f>_xlfn.XLOOKUP(A1055,Orders[OrderID],Orders[City])</f>
        <v>Pune</v>
      </c>
      <c r="L1055" s="3">
        <f>YEAR(Clean_Data[[#This Row],[OrderDate]])</f>
        <v>2018</v>
      </c>
      <c r="M1055" s="3">
        <f>MONTH(Clean_Data[[#This Row],[OrderDate]])</f>
        <v>1</v>
      </c>
      <c r="N1055" s="8" t="str">
        <f>TEXT(Clean_Data[[#This Row],[OrderDate]],"mmm")</f>
        <v>Jan</v>
      </c>
      <c r="O1055" s="8" t="str">
        <f>TEXT(Clean_Data[[#This Row],[OrderDate]], "yyyy-mm")</f>
        <v>2018-01</v>
      </c>
      <c r="P1055" s="7">
        <f>Clean_Data[[#This Row],[Profit]]/Clean_Data[[#This Row],[Revenue ]]</f>
        <v>6.5000000000000002E-2</v>
      </c>
      <c r="Q1055" t="str">
        <f>"Q"&amp;ROUNDUP(MONTH(Clean_Data[[#This Row],[OrderDate]])/3,0)</f>
        <v>Q1</v>
      </c>
      <c r="R1055" t="str">
        <f>TEXT(Clean_Data[[#This Row],[OrderDate]], "dddd")</f>
        <v>Tuesday</v>
      </c>
    </row>
    <row r="1056" spans="1:18" x14ac:dyDescent="0.25">
      <c r="A1056" t="s">
        <v>194</v>
      </c>
      <c r="B1056" s="4">
        <v>46</v>
      </c>
      <c r="C1056" s="4">
        <v>-14</v>
      </c>
      <c r="D1056" s="3">
        <v>1</v>
      </c>
      <c r="E1056" t="s">
        <v>885</v>
      </c>
      <c r="F1056" t="s">
        <v>894</v>
      </c>
      <c r="G1056" t="s">
        <v>887</v>
      </c>
      <c r="H1056" s="6">
        <f>_xlfn.XLOOKUP(A1056,Orders[OrderID],Orders[OrderDate])</f>
        <v>43213</v>
      </c>
      <c r="I1056" t="str">
        <f>_xlfn.XLOOKUP(A1056,Orders[OrderID],Orders[CustomerName])</f>
        <v>Bhishm</v>
      </c>
      <c r="J1056" t="str">
        <f>_xlfn.XLOOKUP(A1056,Orders[OrderID],Orders[State])</f>
        <v>Maharashtra</v>
      </c>
      <c r="K1056" t="str">
        <f>_xlfn.XLOOKUP(A1056,Orders[OrderID],Orders[City])</f>
        <v>Mumbai</v>
      </c>
      <c r="L1056" s="3">
        <f>YEAR(Clean_Data[[#This Row],[OrderDate]])</f>
        <v>2018</v>
      </c>
      <c r="M1056" s="3">
        <f>MONTH(Clean_Data[[#This Row],[OrderDate]])</f>
        <v>4</v>
      </c>
      <c r="N1056" s="8" t="str">
        <f>TEXT(Clean_Data[[#This Row],[OrderDate]],"mmm")</f>
        <v>Apr</v>
      </c>
      <c r="O1056" s="8" t="str">
        <f>TEXT(Clean_Data[[#This Row],[OrderDate]], "yyyy-mm")</f>
        <v>2018-04</v>
      </c>
      <c r="P1056" s="7">
        <f>Clean_Data[[#This Row],[Profit]]/Clean_Data[[#This Row],[Revenue ]]</f>
        <v>-0.30434782608695654</v>
      </c>
      <c r="Q1056" t="str">
        <f>"Q"&amp;ROUNDUP(MONTH(Clean_Data[[#This Row],[OrderDate]])/3,0)</f>
        <v>Q2</v>
      </c>
      <c r="R1056" t="str">
        <f>TEXT(Clean_Data[[#This Row],[OrderDate]], "dddd")</f>
        <v>Monday</v>
      </c>
    </row>
    <row r="1057" spans="1:18" x14ac:dyDescent="0.25">
      <c r="A1057" t="s">
        <v>666</v>
      </c>
      <c r="B1057" s="4">
        <v>126</v>
      </c>
      <c r="C1057" s="4">
        <v>52</v>
      </c>
      <c r="D1057" s="3">
        <v>4</v>
      </c>
      <c r="E1057" t="s">
        <v>895</v>
      </c>
      <c r="F1057" t="s">
        <v>899</v>
      </c>
      <c r="G1057" t="s">
        <v>898</v>
      </c>
      <c r="H1057" s="6">
        <f>_xlfn.XLOOKUP(A1057,Orders[OrderID],Orders[OrderDate])</f>
        <v>43383</v>
      </c>
      <c r="I1057" t="str">
        <f>_xlfn.XLOOKUP(A1057,Orders[OrderID],Orders[CustomerName])</f>
        <v>Utsav</v>
      </c>
      <c r="J1057" t="str">
        <f>_xlfn.XLOOKUP(A1057,Orders[OrderID],Orders[State])</f>
        <v>Maharashtra</v>
      </c>
      <c r="K1057" t="str">
        <f>_xlfn.XLOOKUP(A1057,Orders[OrderID],Orders[City])</f>
        <v>Mumbai</v>
      </c>
      <c r="L1057" s="3">
        <f>YEAR(Clean_Data[[#This Row],[OrderDate]])</f>
        <v>2018</v>
      </c>
      <c r="M1057" s="3">
        <f>MONTH(Clean_Data[[#This Row],[OrderDate]])</f>
        <v>10</v>
      </c>
      <c r="N1057" s="8" t="str">
        <f>TEXT(Clean_Data[[#This Row],[OrderDate]],"mmm")</f>
        <v>Oct</v>
      </c>
      <c r="O1057" s="8" t="str">
        <f>TEXT(Clean_Data[[#This Row],[OrderDate]], "yyyy-mm")</f>
        <v>2018-10</v>
      </c>
      <c r="P1057" s="7">
        <f>Clean_Data[[#This Row],[Profit]]/Clean_Data[[#This Row],[Revenue ]]</f>
        <v>0.41269841269841268</v>
      </c>
      <c r="Q1057" t="str">
        <f>"Q"&amp;ROUNDUP(MONTH(Clean_Data[[#This Row],[OrderDate]])/3,0)</f>
        <v>Q4</v>
      </c>
      <c r="R1057" t="str">
        <f>TEXT(Clean_Data[[#This Row],[OrderDate]], "dddd")</f>
        <v>Wednesday</v>
      </c>
    </row>
    <row r="1058" spans="1:18" x14ac:dyDescent="0.25">
      <c r="A1058" t="s">
        <v>307</v>
      </c>
      <c r="B1058" s="4">
        <v>74</v>
      </c>
      <c r="C1058" s="4">
        <v>29</v>
      </c>
      <c r="D1058" s="3">
        <v>3</v>
      </c>
      <c r="E1058" t="s">
        <v>895</v>
      </c>
      <c r="F1058" t="s">
        <v>903</v>
      </c>
      <c r="G1058" t="s">
        <v>890</v>
      </c>
      <c r="H1058" s="6">
        <f>_xlfn.XLOOKUP(A1058,Orders[OrderID],Orders[OrderDate])</f>
        <v>43414</v>
      </c>
      <c r="I1058" t="str">
        <f>_xlfn.XLOOKUP(A1058,Orders[OrderID],Orders[CustomerName])</f>
        <v>Abhijeet</v>
      </c>
      <c r="J1058" t="str">
        <f>_xlfn.XLOOKUP(A1058,Orders[OrderID],Orders[State])</f>
        <v>Maharashtra</v>
      </c>
      <c r="K1058" t="str">
        <f>_xlfn.XLOOKUP(A1058,Orders[OrderID],Orders[City])</f>
        <v>Mumbai</v>
      </c>
      <c r="L1058" s="3">
        <f>YEAR(Clean_Data[[#This Row],[OrderDate]])</f>
        <v>2018</v>
      </c>
      <c r="M1058" s="3">
        <f>MONTH(Clean_Data[[#This Row],[OrderDate]])</f>
        <v>11</v>
      </c>
      <c r="N1058" s="8" t="str">
        <f>TEXT(Clean_Data[[#This Row],[OrderDate]],"mmm")</f>
        <v>Nov</v>
      </c>
      <c r="O1058" s="8" t="str">
        <f>TEXT(Clean_Data[[#This Row],[OrderDate]], "yyyy-mm")</f>
        <v>2018-11</v>
      </c>
      <c r="P1058" s="7">
        <f>Clean_Data[[#This Row],[Profit]]/Clean_Data[[#This Row],[Revenue ]]</f>
        <v>0.39189189189189189</v>
      </c>
      <c r="Q1058" t="str">
        <f>"Q"&amp;ROUNDUP(MONTH(Clean_Data[[#This Row],[OrderDate]])/3,0)</f>
        <v>Q4</v>
      </c>
      <c r="R1058" t="str">
        <f>TEXT(Clean_Data[[#This Row],[OrderDate]], "dddd")</f>
        <v>Saturday</v>
      </c>
    </row>
    <row r="1059" spans="1:18" x14ac:dyDescent="0.25">
      <c r="A1059" t="s">
        <v>807</v>
      </c>
      <c r="B1059" s="4">
        <v>45</v>
      </c>
      <c r="C1059" s="4">
        <v>13</v>
      </c>
      <c r="D1059" s="3">
        <v>4</v>
      </c>
      <c r="E1059" t="s">
        <v>895</v>
      </c>
      <c r="F1059" t="s">
        <v>901</v>
      </c>
      <c r="G1059" t="s">
        <v>887</v>
      </c>
      <c r="H1059" s="6">
        <f>_xlfn.XLOOKUP(A1059,Orders[OrderID],Orders[OrderDate])</f>
        <v>43214</v>
      </c>
      <c r="I1059" t="str">
        <f>_xlfn.XLOOKUP(A1059,Orders[OrderID],Orders[CustomerName])</f>
        <v>Pooja</v>
      </c>
      <c r="J1059" t="str">
        <f>_xlfn.XLOOKUP(A1059,Orders[OrderID],Orders[State])</f>
        <v>Bihar</v>
      </c>
      <c r="K1059" t="str">
        <f>_xlfn.XLOOKUP(A1059,Orders[OrderID],Orders[City])</f>
        <v>Patna</v>
      </c>
      <c r="L1059" s="3">
        <f>YEAR(Clean_Data[[#This Row],[OrderDate]])</f>
        <v>2018</v>
      </c>
      <c r="M1059" s="3">
        <f>MONTH(Clean_Data[[#This Row],[OrderDate]])</f>
        <v>4</v>
      </c>
      <c r="N1059" s="8" t="str">
        <f>TEXT(Clean_Data[[#This Row],[OrderDate]],"mmm")</f>
        <v>Apr</v>
      </c>
      <c r="O1059" s="8" t="str">
        <f>TEXT(Clean_Data[[#This Row],[OrderDate]], "yyyy-mm")</f>
        <v>2018-04</v>
      </c>
      <c r="P1059" s="7">
        <f>Clean_Data[[#This Row],[Profit]]/Clean_Data[[#This Row],[Revenue ]]</f>
        <v>0.28888888888888886</v>
      </c>
      <c r="Q1059" t="str">
        <f>"Q"&amp;ROUNDUP(MONTH(Clean_Data[[#This Row],[OrderDate]])/3,0)</f>
        <v>Q2</v>
      </c>
      <c r="R1059" t="str">
        <f>TEXT(Clean_Data[[#This Row],[OrderDate]], "dddd")</f>
        <v>Tuesday</v>
      </c>
    </row>
    <row r="1060" spans="1:18" x14ac:dyDescent="0.25">
      <c r="A1060" t="s">
        <v>422</v>
      </c>
      <c r="B1060" s="4">
        <v>74</v>
      </c>
      <c r="C1060" s="4">
        <v>9</v>
      </c>
      <c r="D1060" s="3">
        <v>3</v>
      </c>
      <c r="E1060" t="s">
        <v>895</v>
      </c>
      <c r="F1060" t="s">
        <v>909</v>
      </c>
      <c r="G1060" t="s">
        <v>898</v>
      </c>
      <c r="H1060" s="6">
        <f>_xlfn.XLOOKUP(A1060,Orders[OrderID],Orders[OrderDate])</f>
        <v>43145</v>
      </c>
      <c r="I1060" t="str">
        <f>_xlfn.XLOOKUP(A1060,Orders[OrderID],Orders[CustomerName])</f>
        <v>Hazel</v>
      </c>
      <c r="J1060" t="str">
        <f>_xlfn.XLOOKUP(A1060,Orders[OrderID],Orders[State])</f>
        <v>Karnataka</v>
      </c>
      <c r="K1060" t="str">
        <f>_xlfn.XLOOKUP(A1060,Orders[OrderID],Orders[City])</f>
        <v>Bangalore</v>
      </c>
      <c r="L1060" s="3">
        <f>YEAR(Clean_Data[[#This Row],[OrderDate]])</f>
        <v>2018</v>
      </c>
      <c r="M1060" s="3">
        <f>MONTH(Clean_Data[[#This Row],[OrderDate]])</f>
        <v>2</v>
      </c>
      <c r="N1060" s="8" t="str">
        <f>TEXT(Clean_Data[[#This Row],[OrderDate]],"mmm")</f>
        <v>Feb</v>
      </c>
      <c r="O1060" s="8" t="str">
        <f>TEXT(Clean_Data[[#This Row],[OrderDate]], "yyyy-mm")</f>
        <v>2018-02</v>
      </c>
      <c r="P1060" s="7">
        <f>Clean_Data[[#This Row],[Profit]]/Clean_Data[[#This Row],[Revenue ]]</f>
        <v>0.12162162162162163</v>
      </c>
      <c r="Q1060" t="str">
        <f>"Q"&amp;ROUNDUP(MONTH(Clean_Data[[#This Row],[OrderDate]])/3,0)</f>
        <v>Q1</v>
      </c>
      <c r="R1060" t="str">
        <f>TEXT(Clean_Data[[#This Row],[OrderDate]], "dddd")</f>
        <v>Wednesday</v>
      </c>
    </row>
    <row r="1061" spans="1:18" x14ac:dyDescent="0.25">
      <c r="A1061" t="s">
        <v>269</v>
      </c>
      <c r="B1061" s="4">
        <v>129</v>
      </c>
      <c r="C1061" s="4">
        <v>11</v>
      </c>
      <c r="D1061" s="3">
        <v>2</v>
      </c>
      <c r="E1061" t="s">
        <v>885</v>
      </c>
      <c r="F1061" t="s">
        <v>894</v>
      </c>
      <c r="G1061" t="s">
        <v>898</v>
      </c>
      <c r="H1061" s="6">
        <f>_xlfn.XLOOKUP(A1061,Orders[OrderID],Orders[OrderDate])</f>
        <v>43136</v>
      </c>
      <c r="I1061" t="str">
        <f>_xlfn.XLOOKUP(A1061,Orders[OrderID],Orders[CustomerName])</f>
        <v>Diwakar</v>
      </c>
      <c r="J1061" t="str">
        <f>_xlfn.XLOOKUP(A1061,Orders[OrderID],Orders[State])</f>
        <v>Delhi</v>
      </c>
      <c r="K1061" t="str">
        <f>_xlfn.XLOOKUP(A1061,Orders[OrderID],Orders[City])</f>
        <v>Delhi</v>
      </c>
      <c r="L1061" s="3">
        <f>YEAR(Clean_Data[[#This Row],[OrderDate]])</f>
        <v>2018</v>
      </c>
      <c r="M1061" s="3">
        <f>MONTH(Clean_Data[[#This Row],[OrderDate]])</f>
        <v>2</v>
      </c>
      <c r="N1061" s="8" t="str">
        <f>TEXT(Clean_Data[[#This Row],[OrderDate]],"mmm")</f>
        <v>Feb</v>
      </c>
      <c r="O1061" s="8" t="str">
        <f>TEXT(Clean_Data[[#This Row],[OrderDate]], "yyyy-mm")</f>
        <v>2018-02</v>
      </c>
      <c r="P1061" s="7">
        <f>Clean_Data[[#This Row],[Profit]]/Clean_Data[[#This Row],[Revenue ]]</f>
        <v>8.5271317829457363E-2</v>
      </c>
      <c r="Q1061" t="str">
        <f>"Q"&amp;ROUNDUP(MONTH(Clean_Data[[#This Row],[OrderDate]])/3,0)</f>
        <v>Q1</v>
      </c>
      <c r="R1061" t="str">
        <f>TEXT(Clean_Data[[#This Row],[OrderDate]], "dddd")</f>
        <v>Monday</v>
      </c>
    </row>
    <row r="1062" spans="1:18" x14ac:dyDescent="0.25">
      <c r="A1062" t="s">
        <v>578</v>
      </c>
      <c r="B1062" s="4">
        <v>122</v>
      </c>
      <c r="C1062" s="4">
        <v>50</v>
      </c>
      <c r="D1062" s="3">
        <v>7</v>
      </c>
      <c r="E1062" t="s">
        <v>895</v>
      </c>
      <c r="F1062" t="s">
        <v>903</v>
      </c>
      <c r="G1062" t="s">
        <v>898</v>
      </c>
      <c r="H1062" s="6">
        <f>_xlfn.XLOOKUP(A1062,Orders[OrderID],Orders[OrderDate])</f>
        <v>43160</v>
      </c>
      <c r="I1062" t="str">
        <f>_xlfn.XLOOKUP(A1062,Orders[OrderID],Orders[CustomerName])</f>
        <v>Amit</v>
      </c>
      <c r="J1062" t="str">
        <f>_xlfn.XLOOKUP(A1062,Orders[OrderID],Orders[State])</f>
        <v>Sikkim</v>
      </c>
      <c r="K1062" t="str">
        <f>_xlfn.XLOOKUP(A1062,Orders[OrderID],Orders[City])</f>
        <v>Gangtok</v>
      </c>
      <c r="L1062" s="3">
        <f>YEAR(Clean_Data[[#This Row],[OrderDate]])</f>
        <v>2018</v>
      </c>
      <c r="M1062" s="3">
        <f>MONTH(Clean_Data[[#This Row],[OrderDate]])</f>
        <v>3</v>
      </c>
      <c r="N1062" s="8" t="str">
        <f>TEXT(Clean_Data[[#This Row],[OrderDate]],"mmm")</f>
        <v>Mar</v>
      </c>
      <c r="O1062" s="8" t="str">
        <f>TEXT(Clean_Data[[#This Row],[OrderDate]], "yyyy-mm")</f>
        <v>2018-03</v>
      </c>
      <c r="P1062" s="7">
        <f>Clean_Data[[#This Row],[Profit]]/Clean_Data[[#This Row],[Revenue ]]</f>
        <v>0.4098360655737705</v>
      </c>
      <c r="Q1062" t="str">
        <f>"Q"&amp;ROUNDUP(MONTH(Clean_Data[[#This Row],[OrderDate]])/3,0)</f>
        <v>Q1</v>
      </c>
      <c r="R1062" t="str">
        <f>TEXT(Clean_Data[[#This Row],[OrderDate]], "dddd")</f>
        <v>Thursday</v>
      </c>
    </row>
    <row r="1063" spans="1:18" x14ac:dyDescent="0.25">
      <c r="A1063" t="s">
        <v>385</v>
      </c>
      <c r="B1063" s="4">
        <v>74</v>
      </c>
      <c r="C1063" s="4">
        <v>-51</v>
      </c>
      <c r="D1063" s="3">
        <v>3</v>
      </c>
      <c r="E1063" t="s">
        <v>895</v>
      </c>
      <c r="F1063" t="s">
        <v>903</v>
      </c>
      <c r="G1063" t="s">
        <v>898</v>
      </c>
      <c r="H1063" s="6">
        <f>_xlfn.XLOOKUP(A1063,Orders[OrderID],Orders[OrderDate])</f>
        <v>43319</v>
      </c>
      <c r="I1063" t="str">
        <f>_xlfn.XLOOKUP(A1063,Orders[OrderID],Orders[CustomerName])</f>
        <v>Aman</v>
      </c>
      <c r="J1063" t="str">
        <f>_xlfn.XLOOKUP(A1063,Orders[OrderID],Orders[State])</f>
        <v>Nagaland</v>
      </c>
      <c r="K1063" t="str">
        <f>_xlfn.XLOOKUP(A1063,Orders[OrderID],Orders[City])</f>
        <v>Kohima</v>
      </c>
      <c r="L1063" s="3">
        <f>YEAR(Clean_Data[[#This Row],[OrderDate]])</f>
        <v>2018</v>
      </c>
      <c r="M1063" s="3">
        <f>MONTH(Clean_Data[[#This Row],[OrderDate]])</f>
        <v>8</v>
      </c>
      <c r="N1063" s="8" t="str">
        <f>TEXT(Clean_Data[[#This Row],[OrderDate]],"mmm")</f>
        <v>Aug</v>
      </c>
      <c r="O1063" s="8" t="str">
        <f>TEXT(Clean_Data[[#This Row],[OrderDate]], "yyyy-mm")</f>
        <v>2018-08</v>
      </c>
      <c r="P1063" s="7">
        <f>Clean_Data[[#This Row],[Profit]]/Clean_Data[[#This Row],[Revenue ]]</f>
        <v>-0.68918918918918914</v>
      </c>
      <c r="Q1063" t="str">
        <f>"Q"&amp;ROUNDUP(MONTH(Clean_Data[[#This Row],[OrderDate]])/3,0)</f>
        <v>Q3</v>
      </c>
      <c r="R1063" t="str">
        <f>TEXT(Clean_Data[[#This Row],[OrderDate]], "dddd")</f>
        <v>Tuesday</v>
      </c>
    </row>
    <row r="1064" spans="1:18" x14ac:dyDescent="0.25">
      <c r="A1064" t="s">
        <v>432</v>
      </c>
      <c r="B1064" s="4">
        <v>278</v>
      </c>
      <c r="C1064" s="4">
        <v>39</v>
      </c>
      <c r="D1064" s="3">
        <v>5</v>
      </c>
      <c r="E1064" t="s">
        <v>888</v>
      </c>
      <c r="F1064" t="s">
        <v>889</v>
      </c>
      <c r="G1064" t="s">
        <v>907</v>
      </c>
      <c r="H1064" s="6">
        <f>_xlfn.XLOOKUP(A1064,Orders[OrderID],Orders[OrderDate])</f>
        <v>43144</v>
      </c>
      <c r="I1064" t="str">
        <f>_xlfn.XLOOKUP(A1064,Orders[OrderID],Orders[CustomerName])</f>
        <v>Divsha</v>
      </c>
      <c r="J1064" t="str">
        <f>_xlfn.XLOOKUP(A1064,Orders[OrderID],Orders[State])</f>
        <v>Rajasthan</v>
      </c>
      <c r="K1064" t="str">
        <f>_xlfn.XLOOKUP(A1064,Orders[OrderID],Orders[City])</f>
        <v>Jaipur</v>
      </c>
      <c r="L1064" s="3">
        <f>YEAR(Clean_Data[[#This Row],[OrderDate]])</f>
        <v>2018</v>
      </c>
      <c r="M1064" s="3">
        <f>MONTH(Clean_Data[[#This Row],[OrderDate]])</f>
        <v>2</v>
      </c>
      <c r="N1064" s="8" t="str">
        <f>TEXT(Clean_Data[[#This Row],[OrderDate]],"mmm")</f>
        <v>Feb</v>
      </c>
      <c r="O1064" s="8" t="str">
        <f>TEXT(Clean_Data[[#This Row],[OrderDate]], "yyyy-mm")</f>
        <v>2018-02</v>
      </c>
      <c r="P1064" s="7">
        <f>Clean_Data[[#This Row],[Profit]]/Clean_Data[[#This Row],[Revenue ]]</f>
        <v>0.14028776978417265</v>
      </c>
      <c r="Q1064" t="str">
        <f>"Q"&amp;ROUNDUP(MONTH(Clean_Data[[#This Row],[OrderDate]])/3,0)</f>
        <v>Q1</v>
      </c>
      <c r="R1064" t="str">
        <f>TEXT(Clean_Data[[#This Row],[OrderDate]], "dddd")</f>
        <v>Tuesday</v>
      </c>
    </row>
    <row r="1065" spans="1:18" x14ac:dyDescent="0.25">
      <c r="A1065" t="s">
        <v>510</v>
      </c>
      <c r="B1065" s="4">
        <v>282</v>
      </c>
      <c r="C1065" s="4">
        <v>14</v>
      </c>
      <c r="D1065" s="3">
        <v>4</v>
      </c>
      <c r="E1065" t="s">
        <v>895</v>
      </c>
      <c r="F1065" t="s">
        <v>896</v>
      </c>
      <c r="G1065" t="s">
        <v>907</v>
      </c>
      <c r="H1065" s="6">
        <f>_xlfn.XLOOKUP(A1065,Orders[OrderID],Orders[OrderDate])</f>
        <v>43428</v>
      </c>
      <c r="I1065" t="str">
        <f>_xlfn.XLOOKUP(A1065,Orders[OrderID],Orders[CustomerName])</f>
        <v>Bhosale</v>
      </c>
      <c r="J1065" t="str">
        <f>_xlfn.XLOOKUP(A1065,Orders[OrderID],Orders[State])</f>
        <v>Punjab</v>
      </c>
      <c r="K1065" t="str">
        <f>_xlfn.XLOOKUP(A1065,Orders[OrderID],Orders[City])</f>
        <v>Amritsar</v>
      </c>
      <c r="L1065" s="3">
        <f>YEAR(Clean_Data[[#This Row],[OrderDate]])</f>
        <v>2018</v>
      </c>
      <c r="M1065" s="3">
        <f>MONTH(Clean_Data[[#This Row],[OrderDate]])</f>
        <v>11</v>
      </c>
      <c r="N1065" s="8" t="str">
        <f>TEXT(Clean_Data[[#This Row],[OrderDate]],"mmm")</f>
        <v>Nov</v>
      </c>
      <c r="O1065" s="8" t="str">
        <f>TEXT(Clean_Data[[#This Row],[OrderDate]], "yyyy-mm")</f>
        <v>2018-11</v>
      </c>
      <c r="P1065" s="7">
        <f>Clean_Data[[#This Row],[Profit]]/Clean_Data[[#This Row],[Revenue ]]</f>
        <v>4.9645390070921988E-2</v>
      </c>
      <c r="Q1065" t="str">
        <f>"Q"&amp;ROUNDUP(MONTH(Clean_Data[[#This Row],[OrderDate]])/3,0)</f>
        <v>Q4</v>
      </c>
      <c r="R1065" t="str">
        <f>TEXT(Clean_Data[[#This Row],[OrderDate]], "dddd")</f>
        <v>Saturday</v>
      </c>
    </row>
    <row r="1066" spans="1:18" x14ac:dyDescent="0.25">
      <c r="A1066" t="s">
        <v>347</v>
      </c>
      <c r="B1066" s="4">
        <v>45</v>
      </c>
      <c r="C1066" s="4">
        <v>0</v>
      </c>
      <c r="D1066" s="3">
        <v>2</v>
      </c>
      <c r="E1066" t="s">
        <v>895</v>
      </c>
      <c r="F1066" t="s">
        <v>906</v>
      </c>
      <c r="G1066" t="s">
        <v>887</v>
      </c>
      <c r="H1066" s="6">
        <f>_xlfn.XLOOKUP(A1066,Orders[OrderID],Orders[OrderDate])</f>
        <v>43358</v>
      </c>
      <c r="I1066" t="str">
        <f>_xlfn.XLOOKUP(A1066,Orders[OrderID],Orders[CustomerName])</f>
        <v>Ayush</v>
      </c>
      <c r="J1066" t="str">
        <f>_xlfn.XLOOKUP(A1066,Orders[OrderID],Orders[State])</f>
        <v>West Bengal</v>
      </c>
      <c r="K1066" t="str">
        <f>_xlfn.XLOOKUP(A1066,Orders[OrderID],Orders[City])</f>
        <v>Kolkata</v>
      </c>
      <c r="L1066" s="3">
        <f>YEAR(Clean_Data[[#This Row],[OrderDate]])</f>
        <v>2018</v>
      </c>
      <c r="M1066" s="3">
        <f>MONTH(Clean_Data[[#This Row],[OrderDate]])</f>
        <v>9</v>
      </c>
      <c r="N1066" s="8" t="str">
        <f>TEXT(Clean_Data[[#This Row],[OrderDate]],"mmm")</f>
        <v>Sep</v>
      </c>
      <c r="O1066" s="8" t="str">
        <f>TEXT(Clean_Data[[#This Row],[OrderDate]], "yyyy-mm")</f>
        <v>2018-09</v>
      </c>
      <c r="P1066" s="7">
        <f>Clean_Data[[#This Row],[Profit]]/Clean_Data[[#This Row],[Revenue ]]</f>
        <v>0</v>
      </c>
      <c r="Q1066" t="str">
        <f>"Q"&amp;ROUNDUP(MONTH(Clean_Data[[#This Row],[OrderDate]])/3,0)</f>
        <v>Q3</v>
      </c>
      <c r="R1066" t="str">
        <f>TEXT(Clean_Data[[#This Row],[OrderDate]], "dddd")</f>
        <v>Saturday</v>
      </c>
    </row>
    <row r="1067" spans="1:18" x14ac:dyDescent="0.25">
      <c r="A1067" t="s">
        <v>187</v>
      </c>
      <c r="B1067" s="4">
        <v>45</v>
      </c>
      <c r="C1067" s="4">
        <v>6</v>
      </c>
      <c r="D1067" s="3">
        <v>3</v>
      </c>
      <c r="E1067" t="s">
        <v>895</v>
      </c>
      <c r="F1067" t="s">
        <v>909</v>
      </c>
      <c r="G1067" t="s">
        <v>887</v>
      </c>
      <c r="H1067" s="6">
        <f>_xlfn.XLOOKUP(A1067,Orders[OrderID],Orders[OrderDate])</f>
        <v>43383</v>
      </c>
      <c r="I1067" t="str">
        <f>_xlfn.XLOOKUP(A1067,Orders[OrderID],Orders[CustomerName])</f>
        <v>Nripraj</v>
      </c>
      <c r="J1067" t="str">
        <f>_xlfn.XLOOKUP(A1067,Orders[OrderID],Orders[State])</f>
        <v>Punjab</v>
      </c>
      <c r="K1067" t="str">
        <f>_xlfn.XLOOKUP(A1067,Orders[OrderID],Orders[City])</f>
        <v>Chandigarh</v>
      </c>
      <c r="L1067" s="3">
        <f>YEAR(Clean_Data[[#This Row],[OrderDate]])</f>
        <v>2018</v>
      </c>
      <c r="M1067" s="3">
        <f>MONTH(Clean_Data[[#This Row],[OrderDate]])</f>
        <v>10</v>
      </c>
      <c r="N1067" s="8" t="str">
        <f>TEXT(Clean_Data[[#This Row],[OrderDate]],"mmm")</f>
        <v>Oct</v>
      </c>
      <c r="O1067" s="8" t="str">
        <f>TEXT(Clean_Data[[#This Row],[OrderDate]], "yyyy-mm")</f>
        <v>2018-10</v>
      </c>
      <c r="P1067" s="7">
        <f>Clean_Data[[#This Row],[Profit]]/Clean_Data[[#This Row],[Revenue ]]</f>
        <v>0.13333333333333333</v>
      </c>
      <c r="Q1067" t="str">
        <f>"Q"&amp;ROUNDUP(MONTH(Clean_Data[[#This Row],[OrderDate]])/3,0)</f>
        <v>Q4</v>
      </c>
      <c r="R1067" t="str">
        <f>TEXT(Clean_Data[[#This Row],[OrderDate]], "dddd")</f>
        <v>Wednesday</v>
      </c>
    </row>
    <row r="1068" spans="1:18" x14ac:dyDescent="0.25">
      <c r="A1068" t="s">
        <v>768</v>
      </c>
      <c r="B1068" s="4">
        <v>45</v>
      </c>
      <c r="C1068" s="4">
        <v>16</v>
      </c>
      <c r="D1068" s="3">
        <v>3</v>
      </c>
      <c r="E1068" t="s">
        <v>895</v>
      </c>
      <c r="F1068" t="s">
        <v>903</v>
      </c>
      <c r="G1068" t="s">
        <v>887</v>
      </c>
      <c r="H1068" s="6">
        <f>_xlfn.XLOOKUP(A1068,Orders[OrderID],Orders[OrderDate])</f>
        <v>43402</v>
      </c>
      <c r="I1068" t="str">
        <f>_xlfn.XLOOKUP(A1068,Orders[OrderID],Orders[CustomerName])</f>
        <v>Krishna</v>
      </c>
      <c r="J1068" t="str">
        <f>_xlfn.XLOOKUP(A1068,Orders[OrderID],Orders[State])</f>
        <v>Madhya Pradesh</v>
      </c>
      <c r="K1068" t="str">
        <f>_xlfn.XLOOKUP(A1068,Orders[OrderID],Orders[City])</f>
        <v>Indore</v>
      </c>
      <c r="L1068" s="3">
        <f>YEAR(Clean_Data[[#This Row],[OrderDate]])</f>
        <v>2018</v>
      </c>
      <c r="M1068" s="3">
        <f>MONTH(Clean_Data[[#This Row],[OrderDate]])</f>
        <v>10</v>
      </c>
      <c r="N1068" s="8" t="str">
        <f>TEXT(Clean_Data[[#This Row],[OrderDate]],"mmm")</f>
        <v>Oct</v>
      </c>
      <c r="O1068" s="8" t="str">
        <f>TEXT(Clean_Data[[#This Row],[OrderDate]], "yyyy-mm")</f>
        <v>2018-10</v>
      </c>
      <c r="P1068" s="7">
        <f>Clean_Data[[#This Row],[Profit]]/Clean_Data[[#This Row],[Revenue ]]</f>
        <v>0.35555555555555557</v>
      </c>
      <c r="Q1068" t="str">
        <f>"Q"&amp;ROUNDUP(MONTH(Clean_Data[[#This Row],[OrderDate]])/3,0)</f>
        <v>Q4</v>
      </c>
      <c r="R1068" t="str">
        <f>TEXT(Clean_Data[[#This Row],[OrderDate]], "dddd")</f>
        <v>Monday</v>
      </c>
    </row>
    <row r="1069" spans="1:18" x14ac:dyDescent="0.25">
      <c r="A1069" t="s">
        <v>758</v>
      </c>
      <c r="B1069" s="4">
        <v>73</v>
      </c>
      <c r="C1069" s="4">
        <v>-36</v>
      </c>
      <c r="D1069" s="3">
        <v>3</v>
      </c>
      <c r="E1069" t="s">
        <v>888</v>
      </c>
      <c r="F1069" t="s">
        <v>889</v>
      </c>
      <c r="G1069" t="s">
        <v>898</v>
      </c>
      <c r="H1069" s="6">
        <f>_xlfn.XLOOKUP(A1069,Orders[OrderID],Orders[OrderDate])</f>
        <v>43104</v>
      </c>
      <c r="I1069" t="str">
        <f>_xlfn.XLOOKUP(A1069,Orders[OrderID],Orders[CustomerName])</f>
        <v>Sidharth</v>
      </c>
      <c r="J1069" t="str">
        <f>_xlfn.XLOOKUP(A1069,Orders[OrderID],Orders[State])</f>
        <v>Maharashtra</v>
      </c>
      <c r="K1069" t="str">
        <f>_xlfn.XLOOKUP(A1069,Orders[OrderID],Orders[City])</f>
        <v>Mumbai</v>
      </c>
      <c r="L1069" s="3">
        <f>YEAR(Clean_Data[[#This Row],[OrderDate]])</f>
        <v>2018</v>
      </c>
      <c r="M1069" s="3">
        <f>MONTH(Clean_Data[[#This Row],[OrderDate]])</f>
        <v>1</v>
      </c>
      <c r="N1069" s="8" t="str">
        <f>TEXT(Clean_Data[[#This Row],[OrderDate]],"mmm")</f>
        <v>Jan</v>
      </c>
      <c r="O1069" s="8" t="str">
        <f>TEXT(Clean_Data[[#This Row],[OrderDate]], "yyyy-mm")</f>
        <v>2018-01</v>
      </c>
      <c r="P1069" s="7">
        <f>Clean_Data[[#This Row],[Profit]]/Clean_Data[[#This Row],[Revenue ]]</f>
        <v>-0.49315068493150682</v>
      </c>
      <c r="Q1069" t="str">
        <f>"Q"&amp;ROUNDUP(MONTH(Clean_Data[[#This Row],[OrderDate]])/3,0)</f>
        <v>Q1</v>
      </c>
      <c r="R1069" t="str">
        <f>TEXT(Clean_Data[[#This Row],[OrderDate]], "dddd")</f>
        <v>Thursday</v>
      </c>
    </row>
    <row r="1070" spans="1:18" x14ac:dyDescent="0.25">
      <c r="A1070" t="s">
        <v>244</v>
      </c>
      <c r="B1070" s="4">
        <v>45</v>
      </c>
      <c r="C1070" s="4">
        <v>12</v>
      </c>
      <c r="D1070" s="3">
        <v>4</v>
      </c>
      <c r="E1070" t="s">
        <v>895</v>
      </c>
      <c r="F1070" t="s">
        <v>899</v>
      </c>
      <c r="G1070" t="s">
        <v>887</v>
      </c>
      <c r="H1070" s="6">
        <f>_xlfn.XLOOKUP(A1070,Orders[OrderID],Orders[OrderDate])</f>
        <v>43411</v>
      </c>
      <c r="I1070" t="str">
        <f>_xlfn.XLOOKUP(A1070,Orders[OrderID],Orders[CustomerName])</f>
        <v>Soumyabrata</v>
      </c>
      <c r="J1070" t="str">
        <f>_xlfn.XLOOKUP(A1070,Orders[OrderID],Orders[State])</f>
        <v>Andhra Pradesh</v>
      </c>
      <c r="K1070" t="str">
        <f>_xlfn.XLOOKUP(A1070,Orders[OrderID],Orders[City])</f>
        <v>Hyderabad</v>
      </c>
      <c r="L1070" s="3">
        <f>YEAR(Clean_Data[[#This Row],[OrderDate]])</f>
        <v>2018</v>
      </c>
      <c r="M1070" s="3">
        <f>MONTH(Clean_Data[[#This Row],[OrderDate]])</f>
        <v>11</v>
      </c>
      <c r="N1070" s="8" t="str">
        <f>TEXT(Clean_Data[[#This Row],[OrderDate]],"mmm")</f>
        <v>Nov</v>
      </c>
      <c r="O1070" s="8" t="str">
        <f>TEXT(Clean_Data[[#This Row],[OrderDate]], "yyyy-mm")</f>
        <v>2018-11</v>
      </c>
      <c r="P1070" s="7">
        <f>Clean_Data[[#This Row],[Profit]]/Clean_Data[[#This Row],[Revenue ]]</f>
        <v>0.26666666666666666</v>
      </c>
      <c r="Q1070" t="str">
        <f>"Q"&amp;ROUNDUP(MONTH(Clean_Data[[#This Row],[OrderDate]])/3,0)</f>
        <v>Q4</v>
      </c>
      <c r="R1070" t="str">
        <f>TEXT(Clean_Data[[#This Row],[OrderDate]], "dddd")</f>
        <v>Wednesday</v>
      </c>
    </row>
    <row r="1071" spans="1:18" x14ac:dyDescent="0.25">
      <c r="A1071" t="s">
        <v>200</v>
      </c>
      <c r="B1071" s="4">
        <v>72</v>
      </c>
      <c r="C1071" s="4">
        <v>-6</v>
      </c>
      <c r="D1071" s="3">
        <v>3</v>
      </c>
      <c r="E1071" t="s">
        <v>895</v>
      </c>
      <c r="F1071" t="s">
        <v>897</v>
      </c>
      <c r="G1071" t="s">
        <v>898</v>
      </c>
      <c r="H1071" s="6">
        <f>_xlfn.XLOOKUP(A1071,Orders[OrderID],Orders[OrderDate])</f>
        <v>43314</v>
      </c>
      <c r="I1071" t="str">
        <f>_xlfn.XLOOKUP(A1071,Orders[OrderID],Orders[CustomerName])</f>
        <v>Ayush</v>
      </c>
      <c r="J1071" t="str">
        <f>_xlfn.XLOOKUP(A1071,Orders[OrderID],Orders[State])</f>
        <v>Punjab</v>
      </c>
      <c r="K1071" t="str">
        <f>_xlfn.XLOOKUP(A1071,Orders[OrderID],Orders[City])</f>
        <v>Chandigarh</v>
      </c>
      <c r="L1071" s="3">
        <f>YEAR(Clean_Data[[#This Row],[OrderDate]])</f>
        <v>2018</v>
      </c>
      <c r="M1071" s="3">
        <f>MONTH(Clean_Data[[#This Row],[OrderDate]])</f>
        <v>8</v>
      </c>
      <c r="N1071" s="8" t="str">
        <f>TEXT(Clean_Data[[#This Row],[OrderDate]],"mmm")</f>
        <v>Aug</v>
      </c>
      <c r="O1071" s="8" t="str">
        <f>TEXT(Clean_Data[[#This Row],[OrderDate]], "yyyy-mm")</f>
        <v>2018-08</v>
      </c>
      <c r="P1071" s="7">
        <f>Clean_Data[[#This Row],[Profit]]/Clean_Data[[#This Row],[Revenue ]]</f>
        <v>-8.3333333333333329E-2</v>
      </c>
      <c r="Q1071" t="str">
        <f>"Q"&amp;ROUNDUP(MONTH(Clean_Data[[#This Row],[OrderDate]])/3,0)</f>
        <v>Q3</v>
      </c>
      <c r="R1071" t="str">
        <f>TEXT(Clean_Data[[#This Row],[OrderDate]], "dddd")</f>
        <v>Thursday</v>
      </c>
    </row>
    <row r="1072" spans="1:18" x14ac:dyDescent="0.25">
      <c r="A1072" t="s">
        <v>591</v>
      </c>
      <c r="B1072" s="4">
        <v>71</v>
      </c>
      <c r="C1072" s="4">
        <v>-44</v>
      </c>
      <c r="D1072" s="3">
        <v>5</v>
      </c>
      <c r="E1072" t="s">
        <v>885</v>
      </c>
      <c r="F1072" t="s">
        <v>905</v>
      </c>
      <c r="G1072" t="s">
        <v>898</v>
      </c>
      <c r="H1072" s="6">
        <f>_xlfn.XLOOKUP(A1072,Orders[OrderID],Orders[OrderDate])</f>
        <v>43459</v>
      </c>
      <c r="I1072" t="str">
        <f>_xlfn.XLOOKUP(A1072,Orders[OrderID],Orders[CustomerName])</f>
        <v>Sandra</v>
      </c>
      <c r="J1072" t="str">
        <f>_xlfn.XLOOKUP(A1072,Orders[OrderID],Orders[State])</f>
        <v>Punjab</v>
      </c>
      <c r="K1072" t="str">
        <f>_xlfn.XLOOKUP(A1072,Orders[OrderID],Orders[City])</f>
        <v>Amritsar</v>
      </c>
      <c r="L1072" s="3">
        <f>YEAR(Clean_Data[[#This Row],[OrderDate]])</f>
        <v>2018</v>
      </c>
      <c r="M1072" s="3">
        <f>MONTH(Clean_Data[[#This Row],[OrderDate]])</f>
        <v>12</v>
      </c>
      <c r="N1072" s="8" t="str">
        <f>TEXT(Clean_Data[[#This Row],[OrderDate]],"mmm")</f>
        <v>Dec</v>
      </c>
      <c r="O1072" s="8" t="str">
        <f>TEXT(Clean_Data[[#This Row],[OrderDate]], "yyyy-mm")</f>
        <v>2018-12</v>
      </c>
      <c r="P1072" s="7">
        <f>Clean_Data[[#This Row],[Profit]]/Clean_Data[[#This Row],[Revenue ]]</f>
        <v>-0.61971830985915488</v>
      </c>
      <c r="Q1072" t="str">
        <f>"Q"&amp;ROUNDUP(MONTH(Clean_Data[[#This Row],[OrderDate]])/3,0)</f>
        <v>Q4</v>
      </c>
      <c r="R1072" t="str">
        <f>TEXT(Clean_Data[[#This Row],[OrderDate]], "dddd")</f>
        <v>Tuesday</v>
      </c>
    </row>
    <row r="1073" spans="1:18" x14ac:dyDescent="0.25">
      <c r="A1073" t="s">
        <v>375</v>
      </c>
      <c r="B1073" s="4">
        <v>45</v>
      </c>
      <c r="C1073" s="4">
        <v>-2</v>
      </c>
      <c r="D1073" s="3">
        <v>4</v>
      </c>
      <c r="E1073" t="s">
        <v>895</v>
      </c>
      <c r="F1073" t="s">
        <v>909</v>
      </c>
      <c r="G1073" t="s">
        <v>887</v>
      </c>
      <c r="H1073" s="6">
        <f>_xlfn.XLOOKUP(A1073,Orders[OrderID],Orders[OrderDate])</f>
        <v>43261</v>
      </c>
      <c r="I1073" t="str">
        <f>_xlfn.XLOOKUP(A1073,Orders[OrderID],Orders[CustomerName])</f>
        <v>Sheetal</v>
      </c>
      <c r="J1073" t="str">
        <f>_xlfn.XLOOKUP(A1073,Orders[OrderID],Orders[State])</f>
        <v>Madhya Pradesh</v>
      </c>
      <c r="K1073" t="str">
        <f>_xlfn.XLOOKUP(A1073,Orders[OrderID],Orders[City])</f>
        <v>Indore</v>
      </c>
      <c r="L1073" s="3">
        <f>YEAR(Clean_Data[[#This Row],[OrderDate]])</f>
        <v>2018</v>
      </c>
      <c r="M1073" s="3">
        <f>MONTH(Clean_Data[[#This Row],[OrderDate]])</f>
        <v>6</v>
      </c>
      <c r="N1073" s="8" t="str">
        <f>TEXT(Clean_Data[[#This Row],[OrderDate]],"mmm")</f>
        <v>Jun</v>
      </c>
      <c r="O1073" s="8" t="str">
        <f>TEXT(Clean_Data[[#This Row],[OrderDate]], "yyyy-mm")</f>
        <v>2018-06</v>
      </c>
      <c r="P1073" s="7">
        <f>Clean_Data[[#This Row],[Profit]]/Clean_Data[[#This Row],[Revenue ]]</f>
        <v>-4.4444444444444446E-2</v>
      </c>
      <c r="Q1073" t="str">
        <f>"Q"&amp;ROUNDUP(MONTH(Clean_Data[[#This Row],[OrderDate]])/3,0)</f>
        <v>Q2</v>
      </c>
      <c r="R1073" t="str">
        <f>TEXT(Clean_Data[[#This Row],[OrderDate]], "dddd")</f>
        <v>Sunday</v>
      </c>
    </row>
    <row r="1074" spans="1:18" x14ac:dyDescent="0.25">
      <c r="A1074" t="s">
        <v>476</v>
      </c>
      <c r="B1074" s="4">
        <v>286</v>
      </c>
      <c r="C1074" s="4">
        <v>140</v>
      </c>
      <c r="D1074" s="3">
        <v>6</v>
      </c>
      <c r="E1074" t="s">
        <v>895</v>
      </c>
      <c r="F1074" t="s">
        <v>909</v>
      </c>
      <c r="G1074" t="s">
        <v>907</v>
      </c>
      <c r="H1074" s="6">
        <f>_xlfn.XLOOKUP(A1074,Orders[OrderID],Orders[OrderDate])</f>
        <v>43135</v>
      </c>
      <c r="I1074" t="str">
        <f>_xlfn.XLOOKUP(A1074,Orders[OrderID],Orders[CustomerName])</f>
        <v>Prashant</v>
      </c>
      <c r="J1074" t="str">
        <f>_xlfn.XLOOKUP(A1074,Orders[OrderID],Orders[State])</f>
        <v>Delhi</v>
      </c>
      <c r="K1074" t="str">
        <f>_xlfn.XLOOKUP(A1074,Orders[OrderID],Orders[City])</f>
        <v>Delhi</v>
      </c>
      <c r="L1074" s="3">
        <f>YEAR(Clean_Data[[#This Row],[OrderDate]])</f>
        <v>2018</v>
      </c>
      <c r="M1074" s="3">
        <f>MONTH(Clean_Data[[#This Row],[OrderDate]])</f>
        <v>2</v>
      </c>
      <c r="N1074" s="8" t="str">
        <f>TEXT(Clean_Data[[#This Row],[OrderDate]],"mmm")</f>
        <v>Feb</v>
      </c>
      <c r="O1074" s="8" t="str">
        <f>TEXT(Clean_Data[[#This Row],[OrderDate]], "yyyy-mm")</f>
        <v>2018-02</v>
      </c>
      <c r="P1074" s="7">
        <f>Clean_Data[[#This Row],[Profit]]/Clean_Data[[#This Row],[Revenue ]]</f>
        <v>0.48951048951048953</v>
      </c>
      <c r="Q1074" t="str">
        <f>"Q"&amp;ROUNDUP(MONTH(Clean_Data[[#This Row],[OrderDate]])/3,0)</f>
        <v>Q1</v>
      </c>
      <c r="R1074" t="str">
        <f>TEXT(Clean_Data[[#This Row],[OrderDate]], "dddd")</f>
        <v>Sunday</v>
      </c>
    </row>
    <row r="1075" spans="1:18" x14ac:dyDescent="0.25">
      <c r="A1075" t="s">
        <v>503</v>
      </c>
      <c r="B1075" s="4">
        <v>294</v>
      </c>
      <c r="C1075" s="4">
        <v>138</v>
      </c>
      <c r="D1075" s="3">
        <v>2</v>
      </c>
      <c r="E1075" t="s">
        <v>885</v>
      </c>
      <c r="F1075" t="s">
        <v>892</v>
      </c>
      <c r="G1075" t="s">
        <v>907</v>
      </c>
      <c r="H1075" s="6">
        <f>_xlfn.XLOOKUP(A1075,Orders[OrderID],Orders[OrderDate])</f>
        <v>43239</v>
      </c>
      <c r="I1075" t="str">
        <f>_xlfn.XLOOKUP(A1075,Orders[OrderID],Orders[CustomerName])</f>
        <v>Pournamasi</v>
      </c>
      <c r="J1075" t="str">
        <f>_xlfn.XLOOKUP(A1075,Orders[OrderID],Orders[State])</f>
        <v>Madhya Pradesh</v>
      </c>
      <c r="K1075" t="str">
        <f>_xlfn.XLOOKUP(A1075,Orders[OrderID],Orders[City])</f>
        <v>Indore</v>
      </c>
      <c r="L1075" s="3">
        <f>YEAR(Clean_Data[[#This Row],[OrderDate]])</f>
        <v>2018</v>
      </c>
      <c r="M1075" s="3">
        <f>MONTH(Clean_Data[[#This Row],[OrderDate]])</f>
        <v>5</v>
      </c>
      <c r="N1075" s="8" t="str">
        <f>TEXT(Clean_Data[[#This Row],[OrderDate]],"mmm")</f>
        <v>May</v>
      </c>
      <c r="O1075" s="8" t="str">
        <f>TEXT(Clean_Data[[#This Row],[OrderDate]], "yyyy-mm")</f>
        <v>2018-05</v>
      </c>
      <c r="P1075" s="7">
        <f>Clean_Data[[#This Row],[Profit]]/Clean_Data[[#This Row],[Revenue ]]</f>
        <v>0.46938775510204084</v>
      </c>
      <c r="Q1075" t="str">
        <f>"Q"&amp;ROUNDUP(MONTH(Clean_Data[[#This Row],[OrderDate]])/3,0)</f>
        <v>Q2</v>
      </c>
      <c r="R1075" t="str">
        <f>TEXT(Clean_Data[[#This Row],[OrderDate]], "dddd")</f>
        <v>Saturday</v>
      </c>
    </row>
    <row r="1076" spans="1:18" x14ac:dyDescent="0.25">
      <c r="A1076" t="s">
        <v>321</v>
      </c>
      <c r="B1076" s="4">
        <v>223</v>
      </c>
      <c r="C1076" s="4">
        <v>4</v>
      </c>
      <c r="D1076" s="3">
        <v>3</v>
      </c>
      <c r="E1076" t="s">
        <v>885</v>
      </c>
      <c r="F1076" t="s">
        <v>894</v>
      </c>
      <c r="G1076" t="s">
        <v>887</v>
      </c>
      <c r="H1076" s="6">
        <f>_xlfn.XLOOKUP(A1076,Orders[OrderID],Orders[OrderDate])</f>
        <v>43436</v>
      </c>
      <c r="I1076" t="str">
        <f>_xlfn.XLOOKUP(A1076,Orders[OrderID],Orders[CustomerName])</f>
        <v>Rohan</v>
      </c>
      <c r="J1076" t="str">
        <f>_xlfn.XLOOKUP(A1076,Orders[OrderID],Orders[State])</f>
        <v>Punjab</v>
      </c>
      <c r="K1076" t="str">
        <f>_xlfn.XLOOKUP(A1076,Orders[OrderID],Orders[City])</f>
        <v>Amritsar</v>
      </c>
      <c r="L1076" s="3">
        <f>YEAR(Clean_Data[[#This Row],[OrderDate]])</f>
        <v>2018</v>
      </c>
      <c r="M1076" s="3">
        <f>MONTH(Clean_Data[[#This Row],[OrderDate]])</f>
        <v>12</v>
      </c>
      <c r="N1076" s="8" t="str">
        <f>TEXT(Clean_Data[[#This Row],[OrderDate]],"mmm")</f>
        <v>Dec</v>
      </c>
      <c r="O1076" s="8" t="str">
        <f>TEXT(Clean_Data[[#This Row],[OrderDate]], "yyyy-mm")</f>
        <v>2018-12</v>
      </c>
      <c r="P1076" s="7">
        <f>Clean_Data[[#This Row],[Profit]]/Clean_Data[[#This Row],[Revenue ]]</f>
        <v>1.7937219730941704E-2</v>
      </c>
      <c r="Q1076" t="str">
        <f>"Q"&amp;ROUNDUP(MONTH(Clean_Data[[#This Row],[OrderDate]])/3,0)</f>
        <v>Q4</v>
      </c>
      <c r="R1076" t="str">
        <f>TEXT(Clean_Data[[#This Row],[OrderDate]], "dddd")</f>
        <v>Sunday</v>
      </c>
    </row>
    <row r="1077" spans="1:18" x14ac:dyDescent="0.25">
      <c r="A1077" t="s">
        <v>857</v>
      </c>
      <c r="B1077" s="4">
        <v>20</v>
      </c>
      <c r="C1077" s="4">
        <v>-2</v>
      </c>
      <c r="D1077" s="3">
        <v>1</v>
      </c>
      <c r="E1077" t="s">
        <v>885</v>
      </c>
      <c r="F1077" t="s">
        <v>905</v>
      </c>
      <c r="G1077" t="s">
        <v>898</v>
      </c>
      <c r="H1077" s="6">
        <f>_xlfn.XLOOKUP(A1077,Orders[OrderID],Orders[OrderDate])</f>
        <v>43253</v>
      </c>
      <c r="I1077" t="str">
        <f>_xlfn.XLOOKUP(A1077,Orders[OrderID],Orders[CustomerName])</f>
        <v>Ekta</v>
      </c>
      <c r="J1077" t="str">
        <f>_xlfn.XLOOKUP(A1077,Orders[OrderID],Orders[State])</f>
        <v>West Bengal</v>
      </c>
      <c r="K1077" t="str">
        <f>_xlfn.XLOOKUP(A1077,Orders[OrderID],Orders[City])</f>
        <v>Kolkata</v>
      </c>
      <c r="L1077" s="3">
        <f>YEAR(Clean_Data[[#This Row],[OrderDate]])</f>
        <v>2018</v>
      </c>
      <c r="M1077" s="3">
        <f>MONTH(Clean_Data[[#This Row],[OrderDate]])</f>
        <v>6</v>
      </c>
      <c r="N1077" s="8" t="str">
        <f>TEXT(Clean_Data[[#This Row],[OrderDate]],"mmm")</f>
        <v>Jun</v>
      </c>
      <c r="O1077" s="8" t="str">
        <f>TEXT(Clean_Data[[#This Row],[OrderDate]], "yyyy-mm")</f>
        <v>2018-06</v>
      </c>
      <c r="P1077" s="7">
        <f>Clean_Data[[#This Row],[Profit]]/Clean_Data[[#This Row],[Revenue ]]</f>
        <v>-0.1</v>
      </c>
      <c r="Q1077" t="str">
        <f>"Q"&amp;ROUNDUP(MONTH(Clean_Data[[#This Row],[OrderDate]])/3,0)</f>
        <v>Q2</v>
      </c>
      <c r="R1077" t="str">
        <f>TEXT(Clean_Data[[#This Row],[OrderDate]], "dddd")</f>
        <v>Saturday</v>
      </c>
    </row>
    <row r="1078" spans="1:18" x14ac:dyDescent="0.25">
      <c r="A1078" t="s">
        <v>449</v>
      </c>
      <c r="B1078" s="4">
        <v>302</v>
      </c>
      <c r="C1078" s="4">
        <v>75</v>
      </c>
      <c r="D1078" s="3">
        <v>6</v>
      </c>
      <c r="E1078" t="s">
        <v>888</v>
      </c>
      <c r="F1078" t="s">
        <v>908</v>
      </c>
      <c r="G1078" t="s">
        <v>907</v>
      </c>
      <c r="H1078" s="6">
        <f>_xlfn.XLOOKUP(A1078,Orders[OrderID],Orders[OrderDate])</f>
        <v>43162</v>
      </c>
      <c r="I1078" t="str">
        <f>_xlfn.XLOOKUP(A1078,Orders[OrderID],Orders[CustomerName])</f>
        <v>Nidhi</v>
      </c>
      <c r="J1078" t="str">
        <f>_xlfn.XLOOKUP(A1078,Orders[OrderID],Orders[State])</f>
        <v>Nagaland</v>
      </c>
      <c r="K1078" t="str">
        <f>_xlfn.XLOOKUP(A1078,Orders[OrderID],Orders[City])</f>
        <v>Kohima</v>
      </c>
      <c r="L1078" s="3">
        <f>YEAR(Clean_Data[[#This Row],[OrderDate]])</f>
        <v>2018</v>
      </c>
      <c r="M1078" s="3">
        <f>MONTH(Clean_Data[[#This Row],[OrderDate]])</f>
        <v>3</v>
      </c>
      <c r="N1078" s="8" t="str">
        <f>TEXT(Clean_Data[[#This Row],[OrderDate]],"mmm")</f>
        <v>Mar</v>
      </c>
      <c r="O1078" s="8" t="str">
        <f>TEXT(Clean_Data[[#This Row],[OrderDate]], "yyyy-mm")</f>
        <v>2018-03</v>
      </c>
      <c r="P1078" s="7">
        <f>Clean_Data[[#This Row],[Profit]]/Clean_Data[[#This Row],[Revenue ]]</f>
        <v>0.24834437086092714</v>
      </c>
      <c r="Q1078" t="str">
        <f>"Q"&amp;ROUNDUP(MONTH(Clean_Data[[#This Row],[OrderDate]])/3,0)</f>
        <v>Q1</v>
      </c>
      <c r="R1078" t="str">
        <f>TEXT(Clean_Data[[#This Row],[OrderDate]], "dddd")</f>
        <v>Saturday</v>
      </c>
    </row>
    <row r="1079" spans="1:18" x14ac:dyDescent="0.25">
      <c r="A1079" t="s">
        <v>516</v>
      </c>
      <c r="B1079" s="4">
        <v>113</v>
      </c>
      <c r="C1079" s="4">
        <v>28</v>
      </c>
      <c r="D1079" s="3">
        <v>2</v>
      </c>
      <c r="E1079" t="s">
        <v>895</v>
      </c>
      <c r="F1079" t="s">
        <v>897</v>
      </c>
      <c r="G1079" t="s">
        <v>898</v>
      </c>
      <c r="H1079" s="6">
        <f>_xlfn.XLOOKUP(A1079,Orders[OrderID],Orders[OrderDate])</f>
        <v>43139</v>
      </c>
      <c r="I1079" t="str">
        <f>_xlfn.XLOOKUP(A1079,Orders[OrderID],Orders[CustomerName])</f>
        <v>Harsh</v>
      </c>
      <c r="J1079" t="str">
        <f>_xlfn.XLOOKUP(A1079,Orders[OrderID],Orders[State])</f>
        <v>Delhi</v>
      </c>
      <c r="K1079" t="str">
        <f>_xlfn.XLOOKUP(A1079,Orders[OrderID],Orders[City])</f>
        <v>Delhi</v>
      </c>
      <c r="L1079" s="3">
        <f>YEAR(Clean_Data[[#This Row],[OrderDate]])</f>
        <v>2018</v>
      </c>
      <c r="M1079" s="3">
        <f>MONTH(Clean_Data[[#This Row],[OrderDate]])</f>
        <v>2</v>
      </c>
      <c r="N1079" s="8" t="str">
        <f>TEXT(Clean_Data[[#This Row],[OrderDate]],"mmm")</f>
        <v>Feb</v>
      </c>
      <c r="O1079" s="8" t="str">
        <f>TEXT(Clean_Data[[#This Row],[OrderDate]], "yyyy-mm")</f>
        <v>2018-02</v>
      </c>
      <c r="P1079" s="7">
        <f>Clean_Data[[#This Row],[Profit]]/Clean_Data[[#This Row],[Revenue ]]</f>
        <v>0.24778761061946902</v>
      </c>
      <c r="Q1079" t="str">
        <f>"Q"&amp;ROUNDUP(MONTH(Clean_Data[[#This Row],[OrderDate]])/3,0)</f>
        <v>Q1</v>
      </c>
      <c r="R1079" t="str">
        <f>TEXT(Clean_Data[[#This Row],[OrderDate]], "dddd")</f>
        <v>Thursday</v>
      </c>
    </row>
    <row r="1080" spans="1:18" x14ac:dyDescent="0.25">
      <c r="A1080" t="s">
        <v>175</v>
      </c>
      <c r="B1080" s="4">
        <v>44</v>
      </c>
      <c r="C1080" s="4">
        <v>2</v>
      </c>
      <c r="D1080" s="3">
        <v>3</v>
      </c>
      <c r="E1080" t="s">
        <v>895</v>
      </c>
      <c r="F1080" t="s">
        <v>899</v>
      </c>
      <c r="G1080" t="s">
        <v>887</v>
      </c>
      <c r="H1080" s="6">
        <f>_xlfn.XLOOKUP(A1080,Orders[OrderID],Orders[OrderDate])</f>
        <v>43114</v>
      </c>
      <c r="I1080" t="str">
        <f>_xlfn.XLOOKUP(A1080,Orders[OrderID],Orders[CustomerName])</f>
        <v>Krutika</v>
      </c>
      <c r="J1080" t="str">
        <f>_xlfn.XLOOKUP(A1080,Orders[OrderID],Orders[State])</f>
        <v>Andhra Pradesh</v>
      </c>
      <c r="K1080" t="str">
        <f>_xlfn.XLOOKUP(A1080,Orders[OrderID],Orders[City])</f>
        <v>Hyderabad</v>
      </c>
      <c r="L1080" s="3">
        <f>YEAR(Clean_Data[[#This Row],[OrderDate]])</f>
        <v>2018</v>
      </c>
      <c r="M1080" s="3">
        <f>MONTH(Clean_Data[[#This Row],[OrderDate]])</f>
        <v>1</v>
      </c>
      <c r="N1080" s="8" t="str">
        <f>TEXT(Clean_Data[[#This Row],[OrderDate]],"mmm")</f>
        <v>Jan</v>
      </c>
      <c r="O1080" s="8" t="str">
        <f>TEXT(Clean_Data[[#This Row],[OrderDate]], "yyyy-mm")</f>
        <v>2018-01</v>
      </c>
      <c r="P1080" s="7">
        <f>Clean_Data[[#This Row],[Profit]]/Clean_Data[[#This Row],[Revenue ]]</f>
        <v>4.5454545454545456E-2</v>
      </c>
      <c r="Q1080" t="str">
        <f>"Q"&amp;ROUNDUP(MONTH(Clean_Data[[#This Row],[OrderDate]])/3,0)</f>
        <v>Q1</v>
      </c>
      <c r="R1080" t="str">
        <f>TEXT(Clean_Data[[#This Row],[OrderDate]], "dddd")</f>
        <v>Sunday</v>
      </c>
    </row>
    <row r="1081" spans="1:18" x14ac:dyDescent="0.25">
      <c r="A1081" t="s">
        <v>494</v>
      </c>
      <c r="B1081" s="4">
        <v>305</v>
      </c>
      <c r="C1081" s="4">
        <v>-270</v>
      </c>
      <c r="D1081" s="3">
        <v>5</v>
      </c>
      <c r="E1081" t="s">
        <v>885</v>
      </c>
      <c r="F1081" t="s">
        <v>886</v>
      </c>
      <c r="G1081" t="s">
        <v>907</v>
      </c>
      <c r="H1081" s="6">
        <f>_xlfn.XLOOKUP(A1081,Orders[OrderID],Orders[OrderDate])</f>
        <v>43207</v>
      </c>
      <c r="I1081" t="str">
        <f>_xlfn.XLOOKUP(A1081,Orders[OrderID],Orders[CustomerName])</f>
        <v>Sagar</v>
      </c>
      <c r="J1081" t="str">
        <f>_xlfn.XLOOKUP(A1081,Orders[OrderID],Orders[State])</f>
        <v>Nagaland</v>
      </c>
      <c r="K1081" t="str">
        <f>_xlfn.XLOOKUP(A1081,Orders[OrderID],Orders[City])</f>
        <v>Kohima</v>
      </c>
      <c r="L1081" s="3">
        <f>YEAR(Clean_Data[[#This Row],[OrderDate]])</f>
        <v>2018</v>
      </c>
      <c r="M1081" s="3">
        <f>MONTH(Clean_Data[[#This Row],[OrderDate]])</f>
        <v>4</v>
      </c>
      <c r="N1081" s="8" t="str">
        <f>TEXT(Clean_Data[[#This Row],[OrderDate]],"mmm")</f>
        <v>Apr</v>
      </c>
      <c r="O1081" s="8" t="str">
        <f>TEXT(Clean_Data[[#This Row],[OrderDate]], "yyyy-mm")</f>
        <v>2018-04</v>
      </c>
      <c r="P1081" s="7">
        <f>Clean_Data[[#This Row],[Profit]]/Clean_Data[[#This Row],[Revenue ]]</f>
        <v>-0.88524590163934425</v>
      </c>
      <c r="Q1081" t="str">
        <f>"Q"&amp;ROUNDUP(MONTH(Clean_Data[[#This Row],[OrderDate]])/3,0)</f>
        <v>Q2</v>
      </c>
      <c r="R1081" t="str">
        <f>TEXT(Clean_Data[[#This Row],[OrderDate]], "dddd")</f>
        <v>Tuesday</v>
      </c>
    </row>
    <row r="1082" spans="1:18" x14ac:dyDescent="0.25">
      <c r="A1082" t="s">
        <v>217</v>
      </c>
      <c r="B1082" s="4">
        <v>306</v>
      </c>
      <c r="C1082" s="4">
        <v>-147</v>
      </c>
      <c r="D1082" s="3">
        <v>3</v>
      </c>
      <c r="E1082" t="s">
        <v>895</v>
      </c>
      <c r="F1082" t="s">
        <v>897</v>
      </c>
      <c r="G1082" t="s">
        <v>907</v>
      </c>
      <c r="H1082" s="6">
        <f>_xlfn.XLOOKUP(A1082,Orders[OrderID],Orders[OrderDate])</f>
        <v>43278</v>
      </c>
      <c r="I1082" t="str">
        <f>_xlfn.XLOOKUP(A1082,Orders[OrderID],Orders[CustomerName])</f>
        <v>Shaily</v>
      </c>
      <c r="J1082" t="str">
        <f>_xlfn.XLOOKUP(A1082,Orders[OrderID],Orders[State])</f>
        <v>Maharashtra</v>
      </c>
      <c r="K1082" t="str">
        <f>_xlfn.XLOOKUP(A1082,Orders[OrderID],Orders[City])</f>
        <v>Mumbai</v>
      </c>
      <c r="L1082" s="3">
        <f>YEAR(Clean_Data[[#This Row],[OrderDate]])</f>
        <v>2018</v>
      </c>
      <c r="M1082" s="3">
        <f>MONTH(Clean_Data[[#This Row],[OrderDate]])</f>
        <v>6</v>
      </c>
      <c r="N1082" s="8" t="str">
        <f>TEXT(Clean_Data[[#This Row],[OrderDate]],"mmm")</f>
        <v>Jun</v>
      </c>
      <c r="O1082" s="8" t="str">
        <f>TEXT(Clean_Data[[#This Row],[OrderDate]], "yyyy-mm")</f>
        <v>2018-06</v>
      </c>
      <c r="P1082" s="7">
        <f>Clean_Data[[#This Row],[Profit]]/Clean_Data[[#This Row],[Revenue ]]</f>
        <v>-0.48039215686274511</v>
      </c>
      <c r="Q1082" t="str">
        <f>"Q"&amp;ROUNDUP(MONTH(Clean_Data[[#This Row],[OrderDate]])/3,0)</f>
        <v>Q2</v>
      </c>
      <c r="R1082" t="str">
        <f>TEXT(Clean_Data[[#This Row],[OrderDate]], "dddd")</f>
        <v>Wednesday</v>
      </c>
    </row>
    <row r="1083" spans="1:18" x14ac:dyDescent="0.25">
      <c r="A1083" t="s">
        <v>557</v>
      </c>
      <c r="B1083" s="4">
        <v>70</v>
      </c>
      <c r="C1083" s="4">
        <v>-64</v>
      </c>
      <c r="D1083" s="3">
        <v>5</v>
      </c>
      <c r="E1083" t="s">
        <v>895</v>
      </c>
      <c r="F1083" t="s">
        <v>903</v>
      </c>
      <c r="G1083" t="s">
        <v>898</v>
      </c>
      <c r="H1083" s="6">
        <f>_xlfn.XLOOKUP(A1083,Orders[OrderID],Orders[OrderDate])</f>
        <v>43374</v>
      </c>
      <c r="I1083" t="str">
        <f>_xlfn.XLOOKUP(A1083,Orders[OrderID],Orders[CustomerName])</f>
        <v>Divyansh</v>
      </c>
      <c r="J1083" t="str">
        <f>_xlfn.XLOOKUP(A1083,Orders[OrderID],Orders[State])</f>
        <v>Gujarat</v>
      </c>
      <c r="K1083" t="str">
        <f>_xlfn.XLOOKUP(A1083,Orders[OrderID],Orders[City])</f>
        <v>Ahmedabad</v>
      </c>
      <c r="L1083" s="3">
        <f>YEAR(Clean_Data[[#This Row],[OrderDate]])</f>
        <v>2018</v>
      </c>
      <c r="M1083" s="3">
        <f>MONTH(Clean_Data[[#This Row],[OrderDate]])</f>
        <v>10</v>
      </c>
      <c r="N1083" s="8" t="str">
        <f>TEXT(Clean_Data[[#This Row],[OrderDate]],"mmm")</f>
        <v>Oct</v>
      </c>
      <c r="O1083" s="8" t="str">
        <f>TEXT(Clean_Data[[#This Row],[OrderDate]], "yyyy-mm")</f>
        <v>2018-10</v>
      </c>
      <c r="P1083" s="7">
        <f>Clean_Data[[#This Row],[Profit]]/Clean_Data[[#This Row],[Revenue ]]</f>
        <v>-0.91428571428571426</v>
      </c>
      <c r="Q1083" t="str">
        <f>"Q"&amp;ROUNDUP(MONTH(Clean_Data[[#This Row],[OrderDate]])/3,0)</f>
        <v>Q4</v>
      </c>
      <c r="R1083" t="str">
        <f>TEXT(Clean_Data[[#This Row],[OrderDate]], "dddd")</f>
        <v>Monday</v>
      </c>
    </row>
    <row r="1084" spans="1:18" x14ac:dyDescent="0.25">
      <c r="A1084" t="s">
        <v>560</v>
      </c>
      <c r="B1084" s="4">
        <v>44</v>
      </c>
      <c r="C1084" s="4">
        <v>11</v>
      </c>
      <c r="D1084" s="3">
        <v>4</v>
      </c>
      <c r="E1084" t="s">
        <v>895</v>
      </c>
      <c r="F1084" t="s">
        <v>903</v>
      </c>
      <c r="G1084" t="s">
        <v>887</v>
      </c>
      <c r="H1084" s="6">
        <f>_xlfn.XLOOKUP(A1084,Orders[OrderID],Orders[OrderDate])</f>
        <v>43131</v>
      </c>
      <c r="I1084" t="str">
        <f>_xlfn.XLOOKUP(A1084,Orders[OrderID],Orders[CustomerName])</f>
        <v>Ginny</v>
      </c>
      <c r="J1084" t="str">
        <f>_xlfn.XLOOKUP(A1084,Orders[OrderID],Orders[State])</f>
        <v>Madhya Pradesh</v>
      </c>
      <c r="K1084" t="str">
        <f>_xlfn.XLOOKUP(A1084,Orders[OrderID],Orders[City])</f>
        <v>Indore</v>
      </c>
      <c r="L1084" s="3">
        <f>YEAR(Clean_Data[[#This Row],[OrderDate]])</f>
        <v>2018</v>
      </c>
      <c r="M1084" s="3">
        <f>MONTH(Clean_Data[[#This Row],[OrderDate]])</f>
        <v>1</v>
      </c>
      <c r="N1084" s="8" t="str">
        <f>TEXT(Clean_Data[[#This Row],[OrderDate]],"mmm")</f>
        <v>Jan</v>
      </c>
      <c r="O1084" s="8" t="str">
        <f>TEXT(Clean_Data[[#This Row],[OrderDate]], "yyyy-mm")</f>
        <v>2018-01</v>
      </c>
      <c r="P1084" s="7">
        <f>Clean_Data[[#This Row],[Profit]]/Clean_Data[[#This Row],[Revenue ]]</f>
        <v>0.25</v>
      </c>
      <c r="Q1084" t="str">
        <f>"Q"&amp;ROUNDUP(MONTH(Clean_Data[[#This Row],[OrderDate]])/3,0)</f>
        <v>Q1</v>
      </c>
      <c r="R1084" t="str">
        <f>TEXT(Clean_Data[[#This Row],[OrderDate]], "dddd")</f>
        <v>Wednesday</v>
      </c>
    </row>
    <row r="1085" spans="1:18" x14ac:dyDescent="0.25">
      <c r="A1085" t="s">
        <v>219</v>
      </c>
      <c r="B1085" s="4">
        <v>44</v>
      </c>
      <c r="C1085" s="4">
        <v>14</v>
      </c>
      <c r="D1085" s="3">
        <v>3</v>
      </c>
      <c r="E1085" t="s">
        <v>895</v>
      </c>
      <c r="F1085" t="s">
        <v>899</v>
      </c>
      <c r="G1085" t="s">
        <v>887</v>
      </c>
      <c r="H1085" s="6">
        <f>_xlfn.XLOOKUP(A1085,Orders[OrderID],Orders[OrderDate])</f>
        <v>43113</v>
      </c>
      <c r="I1085" t="str">
        <f>_xlfn.XLOOKUP(A1085,Orders[OrderID],Orders[CustomerName])</f>
        <v>Priyanka</v>
      </c>
      <c r="J1085" t="str">
        <f>_xlfn.XLOOKUP(A1085,Orders[OrderID],Orders[State])</f>
        <v>Madhya Pradesh</v>
      </c>
      <c r="K1085" t="str">
        <f>_xlfn.XLOOKUP(A1085,Orders[OrderID],Orders[City])</f>
        <v>Indore</v>
      </c>
      <c r="L1085" s="3">
        <f>YEAR(Clean_Data[[#This Row],[OrderDate]])</f>
        <v>2018</v>
      </c>
      <c r="M1085" s="3">
        <f>MONTH(Clean_Data[[#This Row],[OrderDate]])</f>
        <v>1</v>
      </c>
      <c r="N1085" s="8" t="str">
        <f>TEXT(Clean_Data[[#This Row],[OrderDate]],"mmm")</f>
        <v>Jan</v>
      </c>
      <c r="O1085" s="8" t="str">
        <f>TEXT(Clean_Data[[#This Row],[OrderDate]], "yyyy-mm")</f>
        <v>2018-01</v>
      </c>
      <c r="P1085" s="7">
        <f>Clean_Data[[#This Row],[Profit]]/Clean_Data[[#This Row],[Revenue ]]</f>
        <v>0.31818181818181818</v>
      </c>
      <c r="Q1085" t="str">
        <f>"Q"&amp;ROUNDUP(MONTH(Clean_Data[[#This Row],[OrderDate]])/3,0)</f>
        <v>Q1</v>
      </c>
      <c r="R1085" t="str">
        <f>TEXT(Clean_Data[[#This Row],[OrderDate]], "dddd")</f>
        <v>Saturday</v>
      </c>
    </row>
    <row r="1086" spans="1:18" x14ac:dyDescent="0.25">
      <c r="A1086" t="s">
        <v>486</v>
      </c>
      <c r="B1086" s="4">
        <v>319</v>
      </c>
      <c r="C1086" s="4">
        <v>312</v>
      </c>
      <c r="D1086" s="3">
        <v>5</v>
      </c>
      <c r="E1086" t="s">
        <v>895</v>
      </c>
      <c r="F1086" t="s">
        <v>897</v>
      </c>
      <c r="G1086" t="s">
        <v>907</v>
      </c>
      <c r="H1086" s="6">
        <f>_xlfn.XLOOKUP(A1086,Orders[OrderID],Orders[OrderDate])</f>
        <v>43330</v>
      </c>
      <c r="I1086" t="str">
        <f>_xlfn.XLOOKUP(A1086,Orders[OrderID],Orders[CustomerName])</f>
        <v>Akshay</v>
      </c>
      <c r="J1086" t="str">
        <f>_xlfn.XLOOKUP(A1086,Orders[OrderID],Orders[State])</f>
        <v>Bihar</v>
      </c>
      <c r="K1086" t="str">
        <f>_xlfn.XLOOKUP(A1086,Orders[OrderID],Orders[City])</f>
        <v>Patna</v>
      </c>
      <c r="L1086" s="3">
        <f>YEAR(Clean_Data[[#This Row],[OrderDate]])</f>
        <v>2018</v>
      </c>
      <c r="M1086" s="3">
        <f>MONTH(Clean_Data[[#This Row],[OrderDate]])</f>
        <v>8</v>
      </c>
      <c r="N1086" s="8" t="str">
        <f>TEXT(Clean_Data[[#This Row],[OrderDate]],"mmm")</f>
        <v>Aug</v>
      </c>
      <c r="O1086" s="8" t="str">
        <f>TEXT(Clean_Data[[#This Row],[OrderDate]], "yyyy-mm")</f>
        <v>2018-08</v>
      </c>
      <c r="P1086" s="7">
        <f>Clean_Data[[#This Row],[Profit]]/Clean_Data[[#This Row],[Revenue ]]</f>
        <v>0.9780564263322884</v>
      </c>
      <c r="Q1086" t="str">
        <f>"Q"&amp;ROUNDUP(MONTH(Clean_Data[[#This Row],[OrderDate]])/3,0)</f>
        <v>Q3</v>
      </c>
      <c r="R1086" t="str">
        <f>TEXT(Clean_Data[[#This Row],[OrderDate]], "dddd")</f>
        <v>Saturday</v>
      </c>
    </row>
    <row r="1087" spans="1:18" x14ac:dyDescent="0.25">
      <c r="A1087" t="s">
        <v>450</v>
      </c>
      <c r="B1087" s="4">
        <v>287</v>
      </c>
      <c r="C1087" s="4">
        <v>-280</v>
      </c>
      <c r="D1087" s="3">
        <v>12</v>
      </c>
      <c r="E1087" t="s">
        <v>888</v>
      </c>
      <c r="F1087" t="s">
        <v>889</v>
      </c>
      <c r="G1087" t="s">
        <v>898</v>
      </c>
      <c r="H1087" s="6">
        <f>_xlfn.XLOOKUP(A1087,Orders[OrderID],Orders[OrderDate])</f>
        <v>43345</v>
      </c>
      <c r="I1087" t="str">
        <f>_xlfn.XLOOKUP(A1087,Orders[OrderID],Orders[CustomerName])</f>
        <v>Sakshi</v>
      </c>
      <c r="J1087" t="str">
        <f>_xlfn.XLOOKUP(A1087,Orders[OrderID],Orders[State])</f>
        <v>Madhya Pradesh</v>
      </c>
      <c r="K1087" t="str">
        <f>_xlfn.XLOOKUP(A1087,Orders[OrderID],Orders[City])</f>
        <v>Indore</v>
      </c>
      <c r="L1087" s="3">
        <f>YEAR(Clean_Data[[#This Row],[OrderDate]])</f>
        <v>2018</v>
      </c>
      <c r="M1087" s="3">
        <f>MONTH(Clean_Data[[#This Row],[OrderDate]])</f>
        <v>9</v>
      </c>
      <c r="N1087" s="8" t="str">
        <f>TEXT(Clean_Data[[#This Row],[OrderDate]],"mmm")</f>
        <v>Sep</v>
      </c>
      <c r="O1087" s="8" t="str">
        <f>TEXT(Clean_Data[[#This Row],[OrderDate]], "yyyy-mm")</f>
        <v>2018-09</v>
      </c>
      <c r="P1087" s="7">
        <f>Clean_Data[[#This Row],[Profit]]/Clean_Data[[#This Row],[Revenue ]]</f>
        <v>-0.97560975609756095</v>
      </c>
      <c r="Q1087" t="str">
        <f>"Q"&amp;ROUNDUP(MONTH(Clean_Data[[#This Row],[OrderDate]])/3,0)</f>
        <v>Q3</v>
      </c>
      <c r="R1087" t="str">
        <f>TEXT(Clean_Data[[#This Row],[OrderDate]], "dddd")</f>
        <v>Sunday</v>
      </c>
    </row>
    <row r="1088" spans="1:18" x14ac:dyDescent="0.25">
      <c r="A1088" t="s">
        <v>235</v>
      </c>
      <c r="B1088" s="4">
        <v>44</v>
      </c>
      <c r="C1088" s="4">
        <v>10</v>
      </c>
      <c r="D1088" s="3">
        <v>3</v>
      </c>
      <c r="E1088" t="s">
        <v>895</v>
      </c>
      <c r="F1088" t="s">
        <v>903</v>
      </c>
      <c r="G1088" t="s">
        <v>887</v>
      </c>
      <c r="H1088" s="6">
        <f>_xlfn.XLOOKUP(A1088,Orders[OrderID],Orders[OrderDate])</f>
        <v>43114</v>
      </c>
      <c r="I1088" t="str">
        <f>_xlfn.XLOOKUP(A1088,Orders[OrderID],Orders[CustomerName])</f>
        <v>Trupti</v>
      </c>
      <c r="J1088" t="str">
        <f>_xlfn.XLOOKUP(A1088,Orders[OrderID],Orders[State])</f>
        <v>Gujarat</v>
      </c>
      <c r="K1088" t="str">
        <f>_xlfn.XLOOKUP(A1088,Orders[OrderID],Orders[City])</f>
        <v>Ahmedabad</v>
      </c>
      <c r="L1088" s="3">
        <f>YEAR(Clean_Data[[#This Row],[OrderDate]])</f>
        <v>2018</v>
      </c>
      <c r="M1088" s="3">
        <f>MONTH(Clean_Data[[#This Row],[OrderDate]])</f>
        <v>1</v>
      </c>
      <c r="N1088" s="8" t="str">
        <f>TEXT(Clean_Data[[#This Row],[OrderDate]],"mmm")</f>
        <v>Jan</v>
      </c>
      <c r="O1088" s="8" t="str">
        <f>TEXT(Clean_Data[[#This Row],[OrderDate]], "yyyy-mm")</f>
        <v>2018-01</v>
      </c>
      <c r="P1088" s="7">
        <f>Clean_Data[[#This Row],[Profit]]/Clean_Data[[#This Row],[Revenue ]]</f>
        <v>0.22727272727272727</v>
      </c>
      <c r="Q1088" t="str">
        <f>"Q"&amp;ROUNDUP(MONTH(Clean_Data[[#This Row],[OrderDate]])/3,0)</f>
        <v>Q1</v>
      </c>
      <c r="R1088" t="str">
        <f>TEXT(Clean_Data[[#This Row],[OrderDate]], "dddd")</f>
        <v>Sunday</v>
      </c>
    </row>
    <row r="1089" spans="1:18" x14ac:dyDescent="0.25">
      <c r="A1089" t="s">
        <v>211</v>
      </c>
      <c r="B1089" s="4">
        <v>288</v>
      </c>
      <c r="C1089" s="4">
        <v>-180</v>
      </c>
      <c r="D1089" s="3">
        <v>4</v>
      </c>
      <c r="E1089" t="s">
        <v>888</v>
      </c>
      <c r="F1089" t="s">
        <v>889</v>
      </c>
      <c r="G1089" t="s">
        <v>887</v>
      </c>
      <c r="H1089" s="6">
        <f>_xlfn.XLOOKUP(A1089,Orders[OrderID],Orders[OrderDate])</f>
        <v>43233</v>
      </c>
      <c r="I1089" t="str">
        <f>_xlfn.XLOOKUP(A1089,Orders[OrderID],Orders[CustomerName])</f>
        <v>Tulika</v>
      </c>
      <c r="J1089" t="str">
        <f>_xlfn.XLOOKUP(A1089,Orders[OrderID],Orders[State])</f>
        <v>Madhya Pradesh</v>
      </c>
      <c r="K1089" t="str">
        <f>_xlfn.XLOOKUP(A1089,Orders[OrderID],Orders[City])</f>
        <v>Bhopal</v>
      </c>
      <c r="L1089" s="3">
        <f>YEAR(Clean_Data[[#This Row],[OrderDate]])</f>
        <v>2018</v>
      </c>
      <c r="M1089" s="3">
        <f>MONTH(Clean_Data[[#This Row],[OrderDate]])</f>
        <v>5</v>
      </c>
      <c r="N1089" s="8" t="str">
        <f>TEXT(Clean_Data[[#This Row],[OrderDate]],"mmm")</f>
        <v>May</v>
      </c>
      <c r="O1089" s="8" t="str">
        <f>TEXT(Clean_Data[[#This Row],[OrderDate]], "yyyy-mm")</f>
        <v>2018-05</v>
      </c>
      <c r="P1089" s="7">
        <f>Clean_Data[[#This Row],[Profit]]/Clean_Data[[#This Row],[Revenue ]]</f>
        <v>-0.625</v>
      </c>
      <c r="Q1089" t="str">
        <f>"Q"&amp;ROUNDUP(MONTH(Clean_Data[[#This Row],[OrderDate]])/3,0)</f>
        <v>Q2</v>
      </c>
      <c r="R1089" t="str">
        <f>TEXT(Clean_Data[[#This Row],[OrderDate]], "dddd")</f>
        <v>Sunday</v>
      </c>
    </row>
    <row r="1090" spans="1:18" x14ac:dyDescent="0.25">
      <c r="A1090" t="s">
        <v>766</v>
      </c>
      <c r="B1090" s="4">
        <v>49</v>
      </c>
      <c r="C1090" s="4">
        <v>-31</v>
      </c>
      <c r="D1090" s="3">
        <v>2</v>
      </c>
      <c r="E1090" t="s">
        <v>895</v>
      </c>
      <c r="F1090" t="s">
        <v>903</v>
      </c>
      <c r="G1090" t="s">
        <v>887</v>
      </c>
      <c r="H1090" s="6">
        <f>_xlfn.XLOOKUP(A1090,Orders[OrderID],Orders[OrderDate])</f>
        <v>43374</v>
      </c>
      <c r="I1090" t="str">
        <f>_xlfn.XLOOKUP(A1090,Orders[OrderID],Orders[CustomerName])</f>
        <v>Aryan</v>
      </c>
      <c r="J1090" t="str">
        <f>_xlfn.XLOOKUP(A1090,Orders[OrderID],Orders[State])</f>
        <v>Madhya Pradesh</v>
      </c>
      <c r="K1090" t="str">
        <f>_xlfn.XLOOKUP(A1090,Orders[OrderID],Orders[City])</f>
        <v>Bhopal</v>
      </c>
      <c r="L1090" s="3">
        <f>YEAR(Clean_Data[[#This Row],[OrderDate]])</f>
        <v>2018</v>
      </c>
      <c r="M1090" s="3">
        <f>MONTH(Clean_Data[[#This Row],[OrderDate]])</f>
        <v>10</v>
      </c>
      <c r="N1090" s="8" t="str">
        <f>TEXT(Clean_Data[[#This Row],[OrderDate]],"mmm")</f>
        <v>Oct</v>
      </c>
      <c r="O1090" s="8" t="str">
        <f>TEXT(Clean_Data[[#This Row],[OrderDate]], "yyyy-mm")</f>
        <v>2018-10</v>
      </c>
      <c r="P1090" s="7">
        <f>Clean_Data[[#This Row],[Profit]]/Clean_Data[[#This Row],[Revenue ]]</f>
        <v>-0.63265306122448983</v>
      </c>
      <c r="Q1090" t="str">
        <f>"Q"&amp;ROUNDUP(MONTH(Clean_Data[[#This Row],[OrderDate]])/3,0)</f>
        <v>Q4</v>
      </c>
      <c r="R1090" t="str">
        <f>TEXT(Clean_Data[[#This Row],[OrderDate]], "dddd")</f>
        <v>Monday</v>
      </c>
    </row>
    <row r="1091" spans="1:18" x14ac:dyDescent="0.25">
      <c r="A1091" t="s">
        <v>311</v>
      </c>
      <c r="B1091" s="4">
        <v>43</v>
      </c>
      <c r="C1091" s="4">
        <v>-10</v>
      </c>
      <c r="D1091" s="3">
        <v>4</v>
      </c>
      <c r="E1091" t="s">
        <v>895</v>
      </c>
      <c r="F1091" t="s">
        <v>901</v>
      </c>
      <c r="G1091" t="s">
        <v>887</v>
      </c>
      <c r="H1091" s="6">
        <f>_xlfn.XLOOKUP(A1091,Orders[OrderID],Orders[OrderDate])</f>
        <v>43137</v>
      </c>
      <c r="I1091" t="str">
        <f>_xlfn.XLOOKUP(A1091,Orders[OrderID],Orders[CustomerName])</f>
        <v>Shubham</v>
      </c>
      <c r="J1091" t="str">
        <f>_xlfn.XLOOKUP(A1091,Orders[OrderID],Orders[State])</f>
        <v>Delhi</v>
      </c>
      <c r="K1091" t="str">
        <f>_xlfn.XLOOKUP(A1091,Orders[OrderID],Orders[City])</f>
        <v>Delhi</v>
      </c>
      <c r="L1091" s="3">
        <f>YEAR(Clean_Data[[#This Row],[OrderDate]])</f>
        <v>2018</v>
      </c>
      <c r="M1091" s="3">
        <f>MONTH(Clean_Data[[#This Row],[OrderDate]])</f>
        <v>2</v>
      </c>
      <c r="N1091" s="8" t="str">
        <f>TEXT(Clean_Data[[#This Row],[OrderDate]],"mmm")</f>
        <v>Feb</v>
      </c>
      <c r="O1091" s="8" t="str">
        <f>TEXT(Clean_Data[[#This Row],[OrderDate]], "yyyy-mm")</f>
        <v>2018-02</v>
      </c>
      <c r="P1091" s="7">
        <f>Clean_Data[[#This Row],[Profit]]/Clean_Data[[#This Row],[Revenue ]]</f>
        <v>-0.23255813953488372</v>
      </c>
      <c r="Q1091" t="str">
        <f>"Q"&amp;ROUNDUP(MONTH(Clean_Data[[#This Row],[OrderDate]])/3,0)</f>
        <v>Q1</v>
      </c>
      <c r="R1091" t="str">
        <f>TEXT(Clean_Data[[#This Row],[OrderDate]], "dddd")</f>
        <v>Tuesday</v>
      </c>
    </row>
    <row r="1092" spans="1:18" x14ac:dyDescent="0.25">
      <c r="A1092" t="s">
        <v>294</v>
      </c>
      <c r="B1092" s="4">
        <v>43</v>
      </c>
      <c r="C1092" s="4">
        <v>5</v>
      </c>
      <c r="D1092" s="3">
        <v>3</v>
      </c>
      <c r="E1092" t="s">
        <v>895</v>
      </c>
      <c r="F1092" t="s">
        <v>903</v>
      </c>
      <c r="G1092" t="s">
        <v>887</v>
      </c>
      <c r="H1092" s="6">
        <f>_xlfn.XLOOKUP(A1092,Orders[OrderID],Orders[OrderDate])</f>
        <v>43440</v>
      </c>
      <c r="I1092" t="str">
        <f>_xlfn.XLOOKUP(A1092,Orders[OrderID],Orders[CustomerName])</f>
        <v>Rohan</v>
      </c>
      <c r="J1092" t="str">
        <f>_xlfn.XLOOKUP(A1092,Orders[OrderID],Orders[State])</f>
        <v>Madhya Pradesh</v>
      </c>
      <c r="K1092" t="str">
        <f>_xlfn.XLOOKUP(A1092,Orders[OrderID],Orders[City])</f>
        <v>Indore</v>
      </c>
      <c r="L1092" s="3">
        <f>YEAR(Clean_Data[[#This Row],[OrderDate]])</f>
        <v>2018</v>
      </c>
      <c r="M1092" s="3">
        <f>MONTH(Clean_Data[[#This Row],[OrderDate]])</f>
        <v>12</v>
      </c>
      <c r="N1092" s="8" t="str">
        <f>TEXT(Clean_Data[[#This Row],[OrderDate]],"mmm")</f>
        <v>Dec</v>
      </c>
      <c r="O1092" s="8" t="str">
        <f>TEXT(Clean_Data[[#This Row],[OrderDate]], "yyyy-mm")</f>
        <v>2018-12</v>
      </c>
      <c r="P1092" s="7">
        <f>Clean_Data[[#This Row],[Profit]]/Clean_Data[[#This Row],[Revenue ]]</f>
        <v>0.11627906976744186</v>
      </c>
      <c r="Q1092" t="str">
        <f>"Q"&amp;ROUNDUP(MONTH(Clean_Data[[#This Row],[OrderDate]])/3,0)</f>
        <v>Q4</v>
      </c>
      <c r="R1092" t="str">
        <f>TEXT(Clean_Data[[#This Row],[OrderDate]], "dddd")</f>
        <v>Thursday</v>
      </c>
    </row>
    <row r="1093" spans="1:18" x14ac:dyDescent="0.25">
      <c r="A1093" t="s">
        <v>85</v>
      </c>
      <c r="B1093" s="4">
        <v>68</v>
      </c>
      <c r="C1093" s="4">
        <v>-27</v>
      </c>
      <c r="D1093" s="3">
        <v>3</v>
      </c>
      <c r="E1093" t="s">
        <v>885</v>
      </c>
      <c r="F1093" t="s">
        <v>905</v>
      </c>
      <c r="G1093" t="s">
        <v>898</v>
      </c>
      <c r="H1093" s="6">
        <f>_xlfn.XLOOKUP(A1093,Orders[OrderID],Orders[OrderDate])</f>
        <v>43255</v>
      </c>
      <c r="I1093" t="str">
        <f>_xlfn.XLOOKUP(A1093,Orders[OrderID],Orders[CustomerName])</f>
        <v>Bhawna</v>
      </c>
      <c r="J1093" t="str">
        <f>_xlfn.XLOOKUP(A1093,Orders[OrderID],Orders[State])</f>
        <v>Madhya Pradesh</v>
      </c>
      <c r="K1093" t="str">
        <f>_xlfn.XLOOKUP(A1093,Orders[OrderID],Orders[City])</f>
        <v>Indore</v>
      </c>
      <c r="L1093" s="3">
        <f>YEAR(Clean_Data[[#This Row],[OrderDate]])</f>
        <v>2018</v>
      </c>
      <c r="M1093" s="3">
        <f>MONTH(Clean_Data[[#This Row],[OrderDate]])</f>
        <v>6</v>
      </c>
      <c r="N1093" s="8" t="str">
        <f>TEXT(Clean_Data[[#This Row],[OrderDate]],"mmm")</f>
        <v>Jun</v>
      </c>
      <c r="O1093" s="8" t="str">
        <f>TEXT(Clean_Data[[#This Row],[OrderDate]], "yyyy-mm")</f>
        <v>2018-06</v>
      </c>
      <c r="P1093" s="7">
        <f>Clean_Data[[#This Row],[Profit]]/Clean_Data[[#This Row],[Revenue ]]</f>
        <v>-0.39705882352941174</v>
      </c>
      <c r="Q1093" t="str">
        <f>"Q"&amp;ROUNDUP(MONTH(Clean_Data[[#This Row],[OrderDate]])/3,0)</f>
        <v>Q2</v>
      </c>
      <c r="R1093" t="str">
        <f>TEXT(Clean_Data[[#This Row],[OrderDate]], "dddd")</f>
        <v>Monday</v>
      </c>
    </row>
    <row r="1094" spans="1:18" x14ac:dyDescent="0.25">
      <c r="A1094" t="s">
        <v>244</v>
      </c>
      <c r="B1094" s="4">
        <v>320</v>
      </c>
      <c r="C1094" s="4">
        <v>144</v>
      </c>
      <c r="D1094" s="3">
        <v>1</v>
      </c>
      <c r="E1094" t="s">
        <v>885</v>
      </c>
      <c r="F1094" t="s">
        <v>892</v>
      </c>
      <c r="G1094" t="s">
        <v>907</v>
      </c>
      <c r="H1094" s="6">
        <f>_xlfn.XLOOKUP(A1094,Orders[OrderID],Orders[OrderDate])</f>
        <v>43411</v>
      </c>
      <c r="I1094" t="str">
        <f>_xlfn.XLOOKUP(A1094,Orders[OrderID],Orders[CustomerName])</f>
        <v>Soumyabrata</v>
      </c>
      <c r="J1094" t="str">
        <f>_xlfn.XLOOKUP(A1094,Orders[OrderID],Orders[State])</f>
        <v>Andhra Pradesh</v>
      </c>
      <c r="K1094" t="str">
        <f>_xlfn.XLOOKUP(A1094,Orders[OrderID],Orders[City])</f>
        <v>Hyderabad</v>
      </c>
      <c r="L1094" s="3">
        <f>YEAR(Clean_Data[[#This Row],[OrderDate]])</f>
        <v>2018</v>
      </c>
      <c r="M1094" s="3">
        <f>MONTH(Clean_Data[[#This Row],[OrderDate]])</f>
        <v>11</v>
      </c>
      <c r="N1094" s="8" t="str">
        <f>TEXT(Clean_Data[[#This Row],[OrderDate]],"mmm")</f>
        <v>Nov</v>
      </c>
      <c r="O1094" s="8" t="str">
        <f>TEXT(Clean_Data[[#This Row],[OrderDate]], "yyyy-mm")</f>
        <v>2018-11</v>
      </c>
      <c r="P1094" s="7">
        <f>Clean_Data[[#This Row],[Profit]]/Clean_Data[[#This Row],[Revenue ]]</f>
        <v>0.45</v>
      </c>
      <c r="Q1094" t="str">
        <f>"Q"&amp;ROUNDUP(MONTH(Clean_Data[[#This Row],[OrderDate]])/3,0)</f>
        <v>Q4</v>
      </c>
      <c r="R1094" t="str">
        <f>TEXT(Clean_Data[[#This Row],[OrderDate]], "dddd")</f>
        <v>Wednesday</v>
      </c>
    </row>
    <row r="1095" spans="1:18" x14ac:dyDescent="0.25">
      <c r="A1095" t="s">
        <v>185</v>
      </c>
      <c r="B1095" s="4">
        <v>67</v>
      </c>
      <c r="C1095" s="4">
        <v>2</v>
      </c>
      <c r="D1095" s="3">
        <v>4</v>
      </c>
      <c r="E1095" t="s">
        <v>895</v>
      </c>
      <c r="F1095" t="s">
        <v>906</v>
      </c>
      <c r="G1095" t="s">
        <v>898</v>
      </c>
      <c r="H1095" s="6">
        <f>_xlfn.XLOOKUP(A1095,Orders[OrderID],Orders[OrderDate])</f>
        <v>43175</v>
      </c>
      <c r="I1095" t="str">
        <f>_xlfn.XLOOKUP(A1095,Orders[OrderID],Orders[CustomerName])</f>
        <v>Tulika</v>
      </c>
      <c r="J1095" t="str">
        <f>_xlfn.XLOOKUP(A1095,Orders[OrderID],Orders[State])</f>
        <v>Madhya Pradesh</v>
      </c>
      <c r="K1095" t="str">
        <f>_xlfn.XLOOKUP(A1095,Orders[OrderID],Orders[City])</f>
        <v>Bhopal</v>
      </c>
      <c r="L1095" s="3">
        <f>YEAR(Clean_Data[[#This Row],[OrderDate]])</f>
        <v>2018</v>
      </c>
      <c r="M1095" s="3">
        <f>MONTH(Clean_Data[[#This Row],[OrderDate]])</f>
        <v>3</v>
      </c>
      <c r="N1095" s="8" t="str">
        <f>TEXT(Clean_Data[[#This Row],[OrderDate]],"mmm")</f>
        <v>Mar</v>
      </c>
      <c r="O1095" s="8" t="str">
        <f>TEXT(Clean_Data[[#This Row],[OrderDate]], "yyyy-mm")</f>
        <v>2018-03</v>
      </c>
      <c r="P1095" s="7">
        <f>Clean_Data[[#This Row],[Profit]]/Clean_Data[[#This Row],[Revenue ]]</f>
        <v>2.9850746268656716E-2</v>
      </c>
      <c r="Q1095" t="str">
        <f>"Q"&amp;ROUNDUP(MONTH(Clean_Data[[#This Row],[OrderDate]])/3,0)</f>
        <v>Q1</v>
      </c>
      <c r="R1095" t="str">
        <f>TEXT(Clean_Data[[#This Row],[OrderDate]], "dddd")</f>
        <v>Friday</v>
      </c>
    </row>
    <row r="1096" spans="1:18" x14ac:dyDescent="0.25">
      <c r="A1096" t="s">
        <v>158</v>
      </c>
      <c r="B1096" s="4">
        <v>66</v>
      </c>
      <c r="C1096" s="4">
        <v>-12</v>
      </c>
      <c r="D1096" s="3">
        <v>5</v>
      </c>
      <c r="E1096" t="s">
        <v>895</v>
      </c>
      <c r="F1096" t="s">
        <v>903</v>
      </c>
      <c r="G1096" t="s">
        <v>898</v>
      </c>
      <c r="H1096" s="6">
        <f>_xlfn.XLOOKUP(A1096,Orders[OrderID],Orders[OrderDate])</f>
        <v>43191</v>
      </c>
      <c r="I1096" t="str">
        <f>_xlfn.XLOOKUP(A1096,Orders[OrderID],Orders[CustomerName])</f>
        <v>Bharat</v>
      </c>
      <c r="J1096" t="str">
        <f>_xlfn.XLOOKUP(A1096,Orders[OrderID],Orders[State])</f>
        <v>Gujarat</v>
      </c>
      <c r="K1096" t="str">
        <f>_xlfn.XLOOKUP(A1096,Orders[OrderID],Orders[City])</f>
        <v>Ahmedabad</v>
      </c>
      <c r="L1096" s="3">
        <f>YEAR(Clean_Data[[#This Row],[OrderDate]])</f>
        <v>2018</v>
      </c>
      <c r="M1096" s="3">
        <f>MONTH(Clean_Data[[#This Row],[OrderDate]])</f>
        <v>4</v>
      </c>
      <c r="N1096" s="8" t="str">
        <f>TEXT(Clean_Data[[#This Row],[OrderDate]],"mmm")</f>
        <v>Apr</v>
      </c>
      <c r="O1096" s="8" t="str">
        <f>TEXT(Clean_Data[[#This Row],[OrderDate]], "yyyy-mm")</f>
        <v>2018-04</v>
      </c>
      <c r="P1096" s="7">
        <f>Clean_Data[[#This Row],[Profit]]/Clean_Data[[#This Row],[Revenue ]]</f>
        <v>-0.18181818181818182</v>
      </c>
      <c r="Q1096" t="str">
        <f>"Q"&amp;ROUNDUP(MONTH(Clean_Data[[#This Row],[OrderDate]])/3,0)</f>
        <v>Q2</v>
      </c>
      <c r="R1096" t="str">
        <f>TEXT(Clean_Data[[#This Row],[OrderDate]], "dddd")</f>
        <v>Sunday</v>
      </c>
    </row>
    <row r="1097" spans="1:18" x14ac:dyDescent="0.25">
      <c r="A1097" t="s">
        <v>484</v>
      </c>
      <c r="B1097" s="4">
        <v>321</v>
      </c>
      <c r="C1097" s="4">
        <v>26</v>
      </c>
      <c r="D1097" s="3">
        <v>3</v>
      </c>
      <c r="E1097" t="s">
        <v>885</v>
      </c>
      <c r="F1097" t="s">
        <v>892</v>
      </c>
      <c r="G1097" t="s">
        <v>907</v>
      </c>
      <c r="H1097" s="6">
        <f>_xlfn.XLOOKUP(A1097,Orders[OrderID],Orders[OrderDate])</f>
        <v>43378</v>
      </c>
      <c r="I1097" t="str">
        <f>_xlfn.XLOOKUP(A1097,Orders[OrderID],Orders[CustomerName])</f>
        <v>Sudheer</v>
      </c>
      <c r="J1097" t="str">
        <f>_xlfn.XLOOKUP(A1097,Orders[OrderID],Orders[State])</f>
        <v>Karnataka</v>
      </c>
      <c r="K1097" t="str">
        <f>_xlfn.XLOOKUP(A1097,Orders[OrderID],Orders[City])</f>
        <v>Bangalore</v>
      </c>
      <c r="L1097" s="3">
        <f>YEAR(Clean_Data[[#This Row],[OrderDate]])</f>
        <v>2018</v>
      </c>
      <c r="M1097" s="3">
        <f>MONTH(Clean_Data[[#This Row],[OrderDate]])</f>
        <v>10</v>
      </c>
      <c r="N1097" s="8" t="str">
        <f>TEXT(Clean_Data[[#This Row],[OrderDate]],"mmm")</f>
        <v>Oct</v>
      </c>
      <c r="O1097" s="8" t="str">
        <f>TEXT(Clean_Data[[#This Row],[OrderDate]], "yyyy-mm")</f>
        <v>2018-10</v>
      </c>
      <c r="P1097" s="7">
        <f>Clean_Data[[#This Row],[Profit]]/Clean_Data[[#This Row],[Revenue ]]</f>
        <v>8.0996884735202487E-2</v>
      </c>
      <c r="Q1097" t="str">
        <f>"Q"&amp;ROUNDUP(MONTH(Clean_Data[[#This Row],[OrderDate]])/3,0)</f>
        <v>Q4</v>
      </c>
      <c r="R1097" t="str">
        <f>TEXT(Clean_Data[[#This Row],[OrderDate]], "dddd")</f>
        <v>Friday</v>
      </c>
    </row>
    <row r="1098" spans="1:18" x14ac:dyDescent="0.25">
      <c r="A1098" t="s">
        <v>373</v>
      </c>
      <c r="B1098" s="4">
        <v>43</v>
      </c>
      <c r="C1098" s="4">
        <v>-5</v>
      </c>
      <c r="D1098" s="3">
        <v>2</v>
      </c>
      <c r="E1098" t="s">
        <v>895</v>
      </c>
      <c r="F1098" t="s">
        <v>897</v>
      </c>
      <c r="G1098" t="s">
        <v>887</v>
      </c>
      <c r="H1098" s="6">
        <f>_xlfn.XLOOKUP(A1098,Orders[OrderID],Orders[OrderDate])</f>
        <v>43326</v>
      </c>
      <c r="I1098" t="str">
        <f>_xlfn.XLOOKUP(A1098,Orders[OrderID],Orders[CustomerName])</f>
        <v>Nishant</v>
      </c>
      <c r="J1098" t="str">
        <f>_xlfn.XLOOKUP(A1098,Orders[OrderID],Orders[State])</f>
        <v>Maharashtra</v>
      </c>
      <c r="K1098" t="str">
        <f>_xlfn.XLOOKUP(A1098,Orders[OrderID],Orders[City])</f>
        <v>Mumbai</v>
      </c>
      <c r="L1098" s="3">
        <f>YEAR(Clean_Data[[#This Row],[OrderDate]])</f>
        <v>2018</v>
      </c>
      <c r="M1098" s="3">
        <f>MONTH(Clean_Data[[#This Row],[OrderDate]])</f>
        <v>8</v>
      </c>
      <c r="N1098" s="8" t="str">
        <f>TEXT(Clean_Data[[#This Row],[OrderDate]],"mmm")</f>
        <v>Aug</v>
      </c>
      <c r="O1098" s="8" t="str">
        <f>TEXT(Clean_Data[[#This Row],[OrderDate]], "yyyy-mm")</f>
        <v>2018-08</v>
      </c>
      <c r="P1098" s="7">
        <f>Clean_Data[[#This Row],[Profit]]/Clean_Data[[#This Row],[Revenue ]]</f>
        <v>-0.11627906976744186</v>
      </c>
      <c r="Q1098" t="str">
        <f>"Q"&amp;ROUNDUP(MONTH(Clean_Data[[#This Row],[OrderDate]])/3,0)</f>
        <v>Q3</v>
      </c>
      <c r="R1098" t="str">
        <f>TEXT(Clean_Data[[#This Row],[OrderDate]], "dddd")</f>
        <v>Tuesday</v>
      </c>
    </row>
    <row r="1099" spans="1:18" x14ac:dyDescent="0.25">
      <c r="A1099" t="s">
        <v>641</v>
      </c>
      <c r="B1099" s="4">
        <v>114</v>
      </c>
      <c r="C1099" s="4">
        <v>-39</v>
      </c>
      <c r="D1099" s="3">
        <v>5</v>
      </c>
      <c r="E1099" t="s">
        <v>895</v>
      </c>
      <c r="F1099" t="s">
        <v>900</v>
      </c>
      <c r="G1099" t="s">
        <v>887</v>
      </c>
      <c r="H1099" s="6">
        <f>_xlfn.XLOOKUP(A1099,Orders[OrderID],Orders[OrderDate])</f>
        <v>43214</v>
      </c>
      <c r="I1099" t="str">
        <f>_xlfn.XLOOKUP(A1099,Orders[OrderID],Orders[CustomerName])</f>
        <v>Sahil</v>
      </c>
      <c r="J1099" t="str">
        <f>_xlfn.XLOOKUP(A1099,Orders[OrderID],Orders[State])</f>
        <v>Punjab</v>
      </c>
      <c r="K1099" t="str">
        <f>_xlfn.XLOOKUP(A1099,Orders[OrderID],Orders[City])</f>
        <v>Chandigarh</v>
      </c>
      <c r="L1099" s="3">
        <f>YEAR(Clean_Data[[#This Row],[OrderDate]])</f>
        <v>2018</v>
      </c>
      <c r="M1099" s="3">
        <f>MONTH(Clean_Data[[#This Row],[OrderDate]])</f>
        <v>4</v>
      </c>
      <c r="N1099" s="8" t="str">
        <f>TEXT(Clean_Data[[#This Row],[OrderDate]],"mmm")</f>
        <v>Apr</v>
      </c>
      <c r="O1099" s="8" t="str">
        <f>TEXT(Clean_Data[[#This Row],[OrderDate]], "yyyy-mm")</f>
        <v>2018-04</v>
      </c>
      <c r="P1099" s="7">
        <f>Clean_Data[[#This Row],[Profit]]/Clean_Data[[#This Row],[Revenue ]]</f>
        <v>-0.34210526315789475</v>
      </c>
      <c r="Q1099" t="str">
        <f>"Q"&amp;ROUNDUP(MONTH(Clean_Data[[#This Row],[OrderDate]])/3,0)</f>
        <v>Q2</v>
      </c>
      <c r="R1099" t="str">
        <f>TEXT(Clean_Data[[#This Row],[OrderDate]], "dddd")</f>
        <v>Tuesday</v>
      </c>
    </row>
    <row r="1100" spans="1:18" x14ac:dyDescent="0.25">
      <c r="A1100" t="s">
        <v>248</v>
      </c>
      <c r="B1100" s="4">
        <v>43</v>
      </c>
      <c r="C1100" s="4">
        <v>17</v>
      </c>
      <c r="D1100" s="3">
        <v>1</v>
      </c>
      <c r="E1100" t="s">
        <v>895</v>
      </c>
      <c r="F1100" t="s">
        <v>897</v>
      </c>
      <c r="G1100" t="s">
        <v>887</v>
      </c>
      <c r="H1100" s="6">
        <f>_xlfn.XLOOKUP(A1100,Orders[OrderID],Orders[OrderDate])</f>
        <v>43442</v>
      </c>
      <c r="I1100" t="str">
        <f>_xlfn.XLOOKUP(A1100,Orders[OrderID],Orders[CustomerName])</f>
        <v>Aishwarya</v>
      </c>
      <c r="J1100" t="str">
        <f>_xlfn.XLOOKUP(A1100,Orders[OrderID],Orders[State])</f>
        <v>Uttar Pradesh</v>
      </c>
      <c r="K1100" t="str">
        <f>_xlfn.XLOOKUP(A1100,Orders[OrderID],Orders[City])</f>
        <v>Prayagraj</v>
      </c>
      <c r="L1100" s="3">
        <f>YEAR(Clean_Data[[#This Row],[OrderDate]])</f>
        <v>2018</v>
      </c>
      <c r="M1100" s="3">
        <f>MONTH(Clean_Data[[#This Row],[OrderDate]])</f>
        <v>12</v>
      </c>
      <c r="N1100" s="8" t="str">
        <f>TEXT(Clean_Data[[#This Row],[OrderDate]],"mmm")</f>
        <v>Dec</v>
      </c>
      <c r="O1100" s="8" t="str">
        <f>TEXT(Clean_Data[[#This Row],[OrderDate]], "yyyy-mm")</f>
        <v>2018-12</v>
      </c>
      <c r="P1100" s="7">
        <f>Clean_Data[[#This Row],[Profit]]/Clean_Data[[#This Row],[Revenue ]]</f>
        <v>0.39534883720930231</v>
      </c>
      <c r="Q1100" t="str">
        <f>"Q"&amp;ROUNDUP(MONTH(Clean_Data[[#This Row],[OrderDate]])/3,0)</f>
        <v>Q4</v>
      </c>
      <c r="R1100" t="str">
        <f>TEXT(Clean_Data[[#This Row],[OrderDate]], "dddd")</f>
        <v>Saturday</v>
      </c>
    </row>
    <row r="1101" spans="1:18" x14ac:dyDescent="0.25">
      <c r="A1101" t="s">
        <v>373</v>
      </c>
      <c r="B1101" s="4">
        <v>43</v>
      </c>
      <c r="C1101" s="4">
        <v>21</v>
      </c>
      <c r="D1101" s="3">
        <v>3</v>
      </c>
      <c r="E1101" t="s">
        <v>895</v>
      </c>
      <c r="F1101" t="s">
        <v>909</v>
      </c>
      <c r="G1101" t="s">
        <v>887</v>
      </c>
      <c r="H1101" s="6">
        <f>_xlfn.XLOOKUP(A1101,Orders[OrderID],Orders[OrderDate])</f>
        <v>43326</v>
      </c>
      <c r="I1101" t="str">
        <f>_xlfn.XLOOKUP(A1101,Orders[OrderID],Orders[CustomerName])</f>
        <v>Nishant</v>
      </c>
      <c r="J1101" t="str">
        <f>_xlfn.XLOOKUP(A1101,Orders[OrderID],Orders[State])</f>
        <v>Maharashtra</v>
      </c>
      <c r="K1101" t="str">
        <f>_xlfn.XLOOKUP(A1101,Orders[OrderID],Orders[City])</f>
        <v>Mumbai</v>
      </c>
      <c r="L1101" s="3">
        <f>YEAR(Clean_Data[[#This Row],[OrderDate]])</f>
        <v>2018</v>
      </c>
      <c r="M1101" s="3">
        <f>MONTH(Clean_Data[[#This Row],[OrderDate]])</f>
        <v>8</v>
      </c>
      <c r="N1101" s="8" t="str">
        <f>TEXT(Clean_Data[[#This Row],[OrderDate]],"mmm")</f>
        <v>Aug</v>
      </c>
      <c r="O1101" s="8" t="str">
        <f>TEXT(Clean_Data[[#This Row],[OrderDate]], "yyyy-mm")</f>
        <v>2018-08</v>
      </c>
      <c r="P1101" s="7">
        <f>Clean_Data[[#This Row],[Profit]]/Clean_Data[[#This Row],[Revenue ]]</f>
        <v>0.48837209302325579</v>
      </c>
      <c r="Q1101" t="str">
        <f>"Q"&amp;ROUNDUP(MONTH(Clean_Data[[#This Row],[OrderDate]])/3,0)</f>
        <v>Q3</v>
      </c>
      <c r="R1101" t="str">
        <f>TEXT(Clean_Data[[#This Row],[OrderDate]], "dddd")</f>
        <v>Tuesday</v>
      </c>
    </row>
    <row r="1102" spans="1:18" x14ac:dyDescent="0.25">
      <c r="A1102" t="s">
        <v>330</v>
      </c>
      <c r="B1102" s="4">
        <v>637</v>
      </c>
      <c r="C1102" s="4">
        <v>50</v>
      </c>
      <c r="D1102" s="3">
        <v>5</v>
      </c>
      <c r="E1102" t="s">
        <v>895</v>
      </c>
      <c r="F1102" t="s">
        <v>897</v>
      </c>
      <c r="G1102" t="s">
        <v>887</v>
      </c>
      <c r="H1102" s="6">
        <f>_xlfn.XLOOKUP(A1102,Orders[OrderID],Orders[OrderDate])</f>
        <v>43181</v>
      </c>
      <c r="I1102" t="str">
        <f>_xlfn.XLOOKUP(A1102,Orders[OrderID],Orders[CustomerName])</f>
        <v>Aarushi</v>
      </c>
      <c r="J1102" t="str">
        <f>_xlfn.XLOOKUP(A1102,Orders[OrderID],Orders[State])</f>
        <v>Tamil Nadu</v>
      </c>
      <c r="K1102" t="str">
        <f>_xlfn.XLOOKUP(A1102,Orders[OrderID],Orders[City])</f>
        <v>Chennai</v>
      </c>
      <c r="L1102" s="3">
        <f>YEAR(Clean_Data[[#This Row],[OrderDate]])</f>
        <v>2018</v>
      </c>
      <c r="M1102" s="3">
        <f>MONTH(Clean_Data[[#This Row],[OrderDate]])</f>
        <v>3</v>
      </c>
      <c r="N1102" s="8" t="str">
        <f>TEXT(Clean_Data[[#This Row],[OrderDate]],"mmm")</f>
        <v>Mar</v>
      </c>
      <c r="O1102" s="8" t="str">
        <f>TEXT(Clean_Data[[#This Row],[OrderDate]], "yyyy-mm")</f>
        <v>2018-03</v>
      </c>
      <c r="P1102" s="7">
        <f>Clean_Data[[#This Row],[Profit]]/Clean_Data[[#This Row],[Revenue ]]</f>
        <v>7.8492935635792779E-2</v>
      </c>
      <c r="Q1102" t="str">
        <f>"Q"&amp;ROUNDUP(MONTH(Clean_Data[[#This Row],[OrderDate]])/3,0)</f>
        <v>Q1</v>
      </c>
      <c r="R1102" t="str">
        <f>TEXT(Clean_Data[[#This Row],[OrderDate]], "dddd")</f>
        <v>Thursday</v>
      </c>
    </row>
    <row r="1103" spans="1:18" x14ac:dyDescent="0.25">
      <c r="A1103" t="s">
        <v>470</v>
      </c>
      <c r="B1103" s="4">
        <v>300</v>
      </c>
      <c r="C1103" s="4">
        <v>42</v>
      </c>
      <c r="D1103" s="3">
        <v>2</v>
      </c>
      <c r="E1103" t="s">
        <v>885</v>
      </c>
      <c r="F1103" t="s">
        <v>892</v>
      </c>
      <c r="G1103" t="s">
        <v>887</v>
      </c>
      <c r="H1103" s="6">
        <f>_xlfn.XLOOKUP(A1103,Orders[OrderID],Orders[OrderDate])</f>
        <v>43410</v>
      </c>
      <c r="I1103" t="str">
        <f>_xlfn.XLOOKUP(A1103,Orders[OrderID],Orders[CustomerName])</f>
        <v>Kushal</v>
      </c>
      <c r="J1103" t="str">
        <f>_xlfn.XLOOKUP(A1103,Orders[OrderID],Orders[State])</f>
        <v>Nagaland</v>
      </c>
      <c r="K1103" t="str">
        <f>_xlfn.XLOOKUP(A1103,Orders[OrderID],Orders[City])</f>
        <v>Kohima</v>
      </c>
      <c r="L1103" s="3">
        <f>YEAR(Clean_Data[[#This Row],[OrderDate]])</f>
        <v>2018</v>
      </c>
      <c r="M1103" s="3">
        <f>MONTH(Clean_Data[[#This Row],[OrderDate]])</f>
        <v>11</v>
      </c>
      <c r="N1103" s="8" t="str">
        <f>TEXT(Clean_Data[[#This Row],[OrderDate]],"mmm")</f>
        <v>Nov</v>
      </c>
      <c r="O1103" s="8" t="str">
        <f>TEXT(Clean_Data[[#This Row],[OrderDate]], "yyyy-mm")</f>
        <v>2018-11</v>
      </c>
      <c r="P1103" s="7">
        <f>Clean_Data[[#This Row],[Profit]]/Clean_Data[[#This Row],[Revenue ]]</f>
        <v>0.14000000000000001</v>
      </c>
      <c r="Q1103" t="str">
        <f>"Q"&amp;ROUNDUP(MONTH(Clean_Data[[#This Row],[OrderDate]])/3,0)</f>
        <v>Q4</v>
      </c>
      <c r="R1103" t="str">
        <f>TEXT(Clean_Data[[#This Row],[OrderDate]], "dddd")</f>
        <v>Tuesday</v>
      </c>
    </row>
    <row r="1104" spans="1:18" x14ac:dyDescent="0.25">
      <c r="A1104" t="s">
        <v>464</v>
      </c>
      <c r="B1104" s="4">
        <v>341</v>
      </c>
      <c r="C1104" s="4">
        <v>44</v>
      </c>
      <c r="D1104" s="3">
        <v>7</v>
      </c>
      <c r="E1104" t="s">
        <v>888</v>
      </c>
      <c r="F1104" t="s">
        <v>908</v>
      </c>
      <c r="G1104" t="s">
        <v>898</v>
      </c>
      <c r="H1104" s="6">
        <f>_xlfn.XLOOKUP(A1104,Orders[OrderID],Orders[OrderDate])</f>
        <v>43154</v>
      </c>
      <c r="I1104" t="str">
        <f>_xlfn.XLOOKUP(A1104,Orders[OrderID],Orders[CustomerName])</f>
        <v>Bhishm</v>
      </c>
      <c r="J1104" t="str">
        <f>_xlfn.XLOOKUP(A1104,Orders[OrderID],Orders[State])</f>
        <v>Maharashtra</v>
      </c>
      <c r="K1104" t="str">
        <f>_xlfn.XLOOKUP(A1104,Orders[OrderID],Orders[City])</f>
        <v>Mumbai</v>
      </c>
      <c r="L1104" s="3">
        <f>YEAR(Clean_Data[[#This Row],[OrderDate]])</f>
        <v>2018</v>
      </c>
      <c r="M1104" s="3">
        <f>MONTH(Clean_Data[[#This Row],[OrderDate]])</f>
        <v>2</v>
      </c>
      <c r="N1104" s="8" t="str">
        <f>TEXT(Clean_Data[[#This Row],[OrderDate]],"mmm")</f>
        <v>Feb</v>
      </c>
      <c r="O1104" s="8" t="str">
        <f>TEXT(Clean_Data[[#This Row],[OrderDate]], "yyyy-mm")</f>
        <v>2018-02</v>
      </c>
      <c r="P1104" s="7">
        <f>Clean_Data[[#This Row],[Profit]]/Clean_Data[[#This Row],[Revenue ]]</f>
        <v>0.12903225806451613</v>
      </c>
      <c r="Q1104" t="str">
        <f>"Q"&amp;ROUNDUP(MONTH(Clean_Data[[#This Row],[OrderDate]])/3,0)</f>
        <v>Q1</v>
      </c>
      <c r="R1104" t="str">
        <f>TEXT(Clean_Data[[#This Row],[OrderDate]], "dddd")</f>
        <v>Friday</v>
      </c>
    </row>
    <row r="1105" spans="1:18" x14ac:dyDescent="0.25">
      <c r="A1105" t="s">
        <v>664</v>
      </c>
      <c r="B1105" s="4">
        <v>102</v>
      </c>
      <c r="C1105" s="4">
        <v>0</v>
      </c>
      <c r="D1105" s="3">
        <v>3</v>
      </c>
      <c r="E1105" t="s">
        <v>885</v>
      </c>
      <c r="F1105" t="s">
        <v>894</v>
      </c>
      <c r="G1105" t="s">
        <v>887</v>
      </c>
      <c r="H1105" s="6">
        <f>_xlfn.XLOOKUP(A1105,Orders[OrderID],Orders[OrderDate])</f>
        <v>43280</v>
      </c>
      <c r="I1105" t="str">
        <f>_xlfn.XLOOKUP(A1105,Orders[OrderID],Orders[CustomerName])</f>
        <v>Riya</v>
      </c>
      <c r="J1105" t="str">
        <f>_xlfn.XLOOKUP(A1105,Orders[OrderID],Orders[State])</f>
        <v>Maharashtra</v>
      </c>
      <c r="K1105" t="str">
        <f>_xlfn.XLOOKUP(A1105,Orders[OrderID],Orders[City])</f>
        <v>Mumbai</v>
      </c>
      <c r="L1105" s="3">
        <f>YEAR(Clean_Data[[#This Row],[OrderDate]])</f>
        <v>2018</v>
      </c>
      <c r="M1105" s="3">
        <f>MONTH(Clean_Data[[#This Row],[OrderDate]])</f>
        <v>6</v>
      </c>
      <c r="N1105" s="8" t="str">
        <f>TEXT(Clean_Data[[#This Row],[OrderDate]],"mmm")</f>
        <v>Jun</v>
      </c>
      <c r="O1105" s="8" t="str">
        <f>TEXT(Clean_Data[[#This Row],[OrderDate]], "yyyy-mm")</f>
        <v>2018-06</v>
      </c>
      <c r="P1105" s="7">
        <f>Clean_Data[[#This Row],[Profit]]/Clean_Data[[#This Row],[Revenue ]]</f>
        <v>0</v>
      </c>
      <c r="Q1105" t="str">
        <f>"Q"&amp;ROUNDUP(MONTH(Clean_Data[[#This Row],[OrderDate]])/3,0)</f>
        <v>Q2</v>
      </c>
      <c r="R1105" t="str">
        <f>TEXT(Clean_Data[[#This Row],[OrderDate]], "dddd")</f>
        <v>Friday</v>
      </c>
    </row>
    <row r="1106" spans="1:18" x14ac:dyDescent="0.25">
      <c r="A1106" t="s">
        <v>46</v>
      </c>
      <c r="B1106" s="4">
        <v>328</v>
      </c>
      <c r="C1106" s="4">
        <v>-15</v>
      </c>
      <c r="D1106" s="3">
        <v>3</v>
      </c>
      <c r="E1106" t="s">
        <v>885</v>
      </c>
      <c r="F1106" t="s">
        <v>886</v>
      </c>
      <c r="G1106" t="s">
        <v>907</v>
      </c>
      <c r="H1106" s="6">
        <f>_xlfn.XLOOKUP(A1106,Orders[OrderID],Orders[OrderDate])</f>
        <v>43337</v>
      </c>
      <c r="I1106" t="str">
        <f>_xlfn.XLOOKUP(A1106,Orders[OrderID],Orders[CustomerName])</f>
        <v>Madhav</v>
      </c>
      <c r="J1106" t="str">
        <f>_xlfn.XLOOKUP(A1106,Orders[OrderID],Orders[State])</f>
        <v>Uttar Pradesh</v>
      </c>
      <c r="K1106" t="str">
        <f>_xlfn.XLOOKUP(A1106,Orders[OrderID],Orders[City])</f>
        <v>Mathura</v>
      </c>
      <c r="L1106" s="3">
        <f>YEAR(Clean_Data[[#This Row],[OrderDate]])</f>
        <v>2018</v>
      </c>
      <c r="M1106" s="3">
        <f>MONTH(Clean_Data[[#This Row],[OrderDate]])</f>
        <v>8</v>
      </c>
      <c r="N1106" s="8" t="str">
        <f>TEXT(Clean_Data[[#This Row],[OrderDate]],"mmm")</f>
        <v>Aug</v>
      </c>
      <c r="O1106" s="8" t="str">
        <f>TEXT(Clean_Data[[#This Row],[OrderDate]], "yyyy-mm")</f>
        <v>2018-08</v>
      </c>
      <c r="P1106" s="7">
        <f>Clean_Data[[#This Row],[Profit]]/Clean_Data[[#This Row],[Revenue ]]</f>
        <v>-4.573170731707317E-2</v>
      </c>
      <c r="Q1106" t="str">
        <f>"Q"&amp;ROUNDUP(MONTH(Clean_Data[[#This Row],[OrderDate]])/3,0)</f>
        <v>Q3</v>
      </c>
      <c r="R1106" t="str">
        <f>TEXT(Clean_Data[[#This Row],[OrderDate]], "dddd")</f>
        <v>Saturday</v>
      </c>
    </row>
    <row r="1107" spans="1:18" x14ac:dyDescent="0.25">
      <c r="A1107" t="s">
        <v>202</v>
      </c>
      <c r="B1107" s="4">
        <v>341</v>
      </c>
      <c r="C1107" s="4">
        <v>160</v>
      </c>
      <c r="D1107" s="3">
        <v>7</v>
      </c>
      <c r="E1107" t="s">
        <v>895</v>
      </c>
      <c r="F1107" t="s">
        <v>903</v>
      </c>
      <c r="G1107" t="s">
        <v>907</v>
      </c>
      <c r="H1107" s="6">
        <f>_xlfn.XLOOKUP(A1107,Orders[OrderID],Orders[OrderDate])</f>
        <v>43127</v>
      </c>
      <c r="I1107" t="str">
        <f>_xlfn.XLOOKUP(A1107,Orders[OrderID],Orders[CustomerName])</f>
        <v>Parin</v>
      </c>
      <c r="J1107" t="str">
        <f>_xlfn.XLOOKUP(A1107,Orders[OrderID],Orders[State])</f>
        <v>Maharashtra</v>
      </c>
      <c r="K1107" t="str">
        <f>_xlfn.XLOOKUP(A1107,Orders[OrderID],Orders[City])</f>
        <v>Mumbai</v>
      </c>
      <c r="L1107" s="3">
        <f>YEAR(Clean_Data[[#This Row],[OrderDate]])</f>
        <v>2018</v>
      </c>
      <c r="M1107" s="3">
        <f>MONTH(Clean_Data[[#This Row],[OrderDate]])</f>
        <v>1</v>
      </c>
      <c r="N1107" s="8" t="str">
        <f>TEXT(Clean_Data[[#This Row],[OrderDate]],"mmm")</f>
        <v>Jan</v>
      </c>
      <c r="O1107" s="8" t="str">
        <f>TEXT(Clean_Data[[#This Row],[OrderDate]], "yyyy-mm")</f>
        <v>2018-01</v>
      </c>
      <c r="P1107" s="7">
        <f>Clean_Data[[#This Row],[Profit]]/Clean_Data[[#This Row],[Revenue ]]</f>
        <v>0.46920821114369504</v>
      </c>
      <c r="Q1107" t="str">
        <f>"Q"&amp;ROUNDUP(MONTH(Clean_Data[[#This Row],[OrderDate]])/3,0)</f>
        <v>Q1</v>
      </c>
      <c r="R1107" t="str">
        <f>TEXT(Clean_Data[[#This Row],[OrderDate]], "dddd")</f>
        <v>Saturday</v>
      </c>
    </row>
    <row r="1108" spans="1:18" x14ac:dyDescent="0.25">
      <c r="A1108" t="s">
        <v>770</v>
      </c>
      <c r="B1108" s="4">
        <v>62</v>
      </c>
      <c r="C1108" s="4">
        <v>11</v>
      </c>
      <c r="D1108" s="3">
        <v>7</v>
      </c>
      <c r="E1108" t="s">
        <v>895</v>
      </c>
      <c r="F1108" t="s">
        <v>899</v>
      </c>
      <c r="G1108" t="s">
        <v>898</v>
      </c>
      <c r="H1108" s="6">
        <f>_xlfn.XLOOKUP(A1108,Orders[OrderID],Orders[OrderDate])</f>
        <v>43181</v>
      </c>
      <c r="I1108" t="str">
        <f>_xlfn.XLOOKUP(A1108,Orders[OrderID],Orders[CustomerName])</f>
        <v>Divsha</v>
      </c>
      <c r="J1108" t="str">
        <f>_xlfn.XLOOKUP(A1108,Orders[OrderID],Orders[State])</f>
        <v>Rajasthan</v>
      </c>
      <c r="K1108" t="str">
        <f>_xlfn.XLOOKUP(A1108,Orders[OrderID],Orders[City])</f>
        <v>Jaipur</v>
      </c>
      <c r="L1108" s="3">
        <f>YEAR(Clean_Data[[#This Row],[OrderDate]])</f>
        <v>2018</v>
      </c>
      <c r="M1108" s="3">
        <f>MONTH(Clean_Data[[#This Row],[OrderDate]])</f>
        <v>3</v>
      </c>
      <c r="N1108" s="8" t="str">
        <f>TEXT(Clean_Data[[#This Row],[OrderDate]],"mmm")</f>
        <v>Mar</v>
      </c>
      <c r="O1108" s="8" t="str">
        <f>TEXT(Clean_Data[[#This Row],[OrderDate]], "yyyy-mm")</f>
        <v>2018-03</v>
      </c>
      <c r="P1108" s="7">
        <f>Clean_Data[[#This Row],[Profit]]/Clean_Data[[#This Row],[Revenue ]]</f>
        <v>0.17741935483870969</v>
      </c>
      <c r="Q1108" t="str">
        <f>"Q"&amp;ROUNDUP(MONTH(Clean_Data[[#This Row],[OrderDate]])/3,0)</f>
        <v>Q1</v>
      </c>
      <c r="R1108" t="str">
        <f>TEXT(Clean_Data[[#This Row],[OrderDate]], "dddd")</f>
        <v>Thursday</v>
      </c>
    </row>
    <row r="1109" spans="1:18" x14ac:dyDescent="0.25">
      <c r="A1109" t="s">
        <v>246</v>
      </c>
      <c r="B1109" s="4">
        <v>42</v>
      </c>
      <c r="C1109" s="4">
        <v>13</v>
      </c>
      <c r="D1109" s="3">
        <v>3</v>
      </c>
      <c r="E1109" t="s">
        <v>895</v>
      </c>
      <c r="F1109" t="s">
        <v>904</v>
      </c>
      <c r="G1109" t="s">
        <v>887</v>
      </c>
      <c r="H1109" s="6">
        <f>_xlfn.XLOOKUP(A1109,Orders[OrderID],Orders[OrderDate])</f>
        <v>43128</v>
      </c>
      <c r="I1109" t="str">
        <f>_xlfn.XLOOKUP(A1109,Orders[OrderID],Orders[CustomerName])</f>
        <v>Amruta</v>
      </c>
      <c r="J1109" t="str">
        <f>_xlfn.XLOOKUP(A1109,Orders[OrderID],Orders[State])</f>
        <v>Delhi</v>
      </c>
      <c r="K1109" t="str">
        <f>_xlfn.XLOOKUP(A1109,Orders[OrderID],Orders[City])</f>
        <v>Delhi</v>
      </c>
      <c r="L1109" s="3">
        <f>YEAR(Clean_Data[[#This Row],[OrderDate]])</f>
        <v>2018</v>
      </c>
      <c r="M1109" s="3">
        <f>MONTH(Clean_Data[[#This Row],[OrderDate]])</f>
        <v>1</v>
      </c>
      <c r="N1109" s="8" t="str">
        <f>TEXT(Clean_Data[[#This Row],[OrderDate]],"mmm")</f>
        <v>Jan</v>
      </c>
      <c r="O1109" s="8" t="str">
        <f>TEXT(Clean_Data[[#This Row],[OrderDate]], "yyyy-mm")</f>
        <v>2018-01</v>
      </c>
      <c r="P1109" s="7">
        <f>Clean_Data[[#This Row],[Profit]]/Clean_Data[[#This Row],[Revenue ]]</f>
        <v>0.30952380952380953</v>
      </c>
      <c r="Q1109" t="str">
        <f>"Q"&amp;ROUNDUP(MONTH(Clean_Data[[#This Row],[OrderDate]])/3,0)</f>
        <v>Q1</v>
      </c>
      <c r="R1109" t="str">
        <f>TEXT(Clean_Data[[#This Row],[OrderDate]], "dddd")</f>
        <v>Sunday</v>
      </c>
    </row>
    <row r="1110" spans="1:18" x14ac:dyDescent="0.25">
      <c r="A1110" t="s">
        <v>578</v>
      </c>
      <c r="B1110" s="4">
        <v>62</v>
      </c>
      <c r="C1110" s="4">
        <v>28</v>
      </c>
      <c r="D1110" s="3">
        <v>5</v>
      </c>
      <c r="E1110" t="s">
        <v>895</v>
      </c>
      <c r="F1110" t="s">
        <v>899</v>
      </c>
      <c r="G1110" t="s">
        <v>898</v>
      </c>
      <c r="H1110" s="6">
        <f>_xlfn.XLOOKUP(A1110,Orders[OrderID],Orders[OrderDate])</f>
        <v>43160</v>
      </c>
      <c r="I1110" t="str">
        <f>_xlfn.XLOOKUP(A1110,Orders[OrderID],Orders[CustomerName])</f>
        <v>Amit</v>
      </c>
      <c r="J1110" t="str">
        <f>_xlfn.XLOOKUP(A1110,Orders[OrderID],Orders[State])</f>
        <v>Sikkim</v>
      </c>
      <c r="K1110" t="str">
        <f>_xlfn.XLOOKUP(A1110,Orders[OrderID],Orders[City])</f>
        <v>Gangtok</v>
      </c>
      <c r="L1110" s="3">
        <f>YEAR(Clean_Data[[#This Row],[OrderDate]])</f>
        <v>2018</v>
      </c>
      <c r="M1110" s="3">
        <f>MONTH(Clean_Data[[#This Row],[OrderDate]])</f>
        <v>3</v>
      </c>
      <c r="N1110" s="8" t="str">
        <f>TEXT(Clean_Data[[#This Row],[OrderDate]],"mmm")</f>
        <v>Mar</v>
      </c>
      <c r="O1110" s="8" t="str">
        <f>TEXT(Clean_Data[[#This Row],[OrderDate]], "yyyy-mm")</f>
        <v>2018-03</v>
      </c>
      <c r="P1110" s="7">
        <f>Clean_Data[[#This Row],[Profit]]/Clean_Data[[#This Row],[Revenue ]]</f>
        <v>0.45161290322580644</v>
      </c>
      <c r="Q1110" t="str">
        <f>"Q"&amp;ROUNDUP(MONTH(Clean_Data[[#This Row],[OrderDate]])/3,0)</f>
        <v>Q1</v>
      </c>
      <c r="R1110" t="str">
        <f>TEXT(Clean_Data[[#This Row],[OrderDate]], "dddd")</f>
        <v>Thursday</v>
      </c>
    </row>
    <row r="1111" spans="1:18" x14ac:dyDescent="0.25">
      <c r="A1111" t="s">
        <v>507</v>
      </c>
      <c r="B1111" s="4">
        <v>42</v>
      </c>
      <c r="C1111" s="4">
        <v>7</v>
      </c>
      <c r="D1111" s="3">
        <v>2</v>
      </c>
      <c r="E1111" t="s">
        <v>895</v>
      </c>
      <c r="F1111" t="s">
        <v>900</v>
      </c>
      <c r="G1111" t="s">
        <v>887</v>
      </c>
      <c r="H1111" s="6">
        <f>_xlfn.XLOOKUP(A1111,Orders[OrderID],Orders[OrderDate])</f>
        <v>43439</v>
      </c>
      <c r="I1111" t="str">
        <f>_xlfn.XLOOKUP(A1111,Orders[OrderID],Orders[CustomerName])</f>
        <v>Aman</v>
      </c>
      <c r="J1111" t="str">
        <f>_xlfn.XLOOKUP(A1111,Orders[OrderID],Orders[State])</f>
        <v>Maharashtra</v>
      </c>
      <c r="K1111" t="str">
        <f>_xlfn.XLOOKUP(A1111,Orders[OrderID],Orders[City])</f>
        <v>Mumbai</v>
      </c>
      <c r="L1111" s="3">
        <f>YEAR(Clean_Data[[#This Row],[OrderDate]])</f>
        <v>2018</v>
      </c>
      <c r="M1111" s="3">
        <f>MONTH(Clean_Data[[#This Row],[OrderDate]])</f>
        <v>12</v>
      </c>
      <c r="N1111" s="8" t="str">
        <f>TEXT(Clean_Data[[#This Row],[OrderDate]],"mmm")</f>
        <v>Dec</v>
      </c>
      <c r="O1111" s="8" t="str">
        <f>TEXT(Clean_Data[[#This Row],[OrderDate]], "yyyy-mm")</f>
        <v>2018-12</v>
      </c>
      <c r="P1111" s="7">
        <f>Clean_Data[[#This Row],[Profit]]/Clean_Data[[#This Row],[Revenue ]]</f>
        <v>0.16666666666666666</v>
      </c>
      <c r="Q1111" t="str">
        <f>"Q"&amp;ROUNDUP(MONTH(Clean_Data[[#This Row],[OrderDate]])/3,0)</f>
        <v>Q4</v>
      </c>
      <c r="R1111" t="str">
        <f>TEXT(Clean_Data[[#This Row],[OrderDate]], "dddd")</f>
        <v>Wednesday</v>
      </c>
    </row>
    <row r="1112" spans="1:18" x14ac:dyDescent="0.25">
      <c r="A1112" t="s">
        <v>811</v>
      </c>
      <c r="B1112" s="4">
        <v>42</v>
      </c>
      <c r="C1112" s="4">
        <v>-3</v>
      </c>
      <c r="D1112" s="3">
        <v>1</v>
      </c>
      <c r="E1112" t="s">
        <v>885</v>
      </c>
      <c r="F1112" t="s">
        <v>886</v>
      </c>
      <c r="G1112" t="s">
        <v>887</v>
      </c>
      <c r="H1112" s="6">
        <f>_xlfn.XLOOKUP(A1112,Orders[OrderID],Orders[OrderDate])</f>
        <v>43366</v>
      </c>
      <c r="I1112" t="str">
        <f>_xlfn.XLOOKUP(A1112,Orders[OrderID],Orders[CustomerName])</f>
        <v>Sajal</v>
      </c>
      <c r="J1112" t="str">
        <f>_xlfn.XLOOKUP(A1112,Orders[OrderID],Orders[State])</f>
        <v>Bihar</v>
      </c>
      <c r="K1112" t="str">
        <f>_xlfn.XLOOKUP(A1112,Orders[OrderID],Orders[City])</f>
        <v>Patna</v>
      </c>
      <c r="L1112" s="3">
        <f>YEAR(Clean_Data[[#This Row],[OrderDate]])</f>
        <v>2018</v>
      </c>
      <c r="M1112" s="3">
        <f>MONTH(Clean_Data[[#This Row],[OrderDate]])</f>
        <v>9</v>
      </c>
      <c r="N1112" s="8" t="str">
        <f>TEXT(Clean_Data[[#This Row],[OrderDate]],"mmm")</f>
        <v>Sep</v>
      </c>
      <c r="O1112" s="8" t="str">
        <f>TEXT(Clean_Data[[#This Row],[OrderDate]], "yyyy-mm")</f>
        <v>2018-09</v>
      </c>
      <c r="P1112" s="7">
        <f>Clean_Data[[#This Row],[Profit]]/Clean_Data[[#This Row],[Revenue ]]</f>
        <v>-7.1428571428571425E-2</v>
      </c>
      <c r="Q1112" t="str">
        <f>"Q"&amp;ROUNDUP(MONTH(Clean_Data[[#This Row],[OrderDate]])/3,0)</f>
        <v>Q3</v>
      </c>
      <c r="R1112" t="str">
        <f>TEXT(Clean_Data[[#This Row],[OrderDate]], "dddd")</f>
        <v>Sunday</v>
      </c>
    </row>
    <row r="1113" spans="1:18" x14ac:dyDescent="0.25">
      <c r="A1113" t="s">
        <v>490</v>
      </c>
      <c r="B1113" s="4">
        <v>313</v>
      </c>
      <c r="C1113" s="4">
        <v>-13</v>
      </c>
      <c r="D1113" s="3">
        <v>5</v>
      </c>
      <c r="E1113" t="s">
        <v>888</v>
      </c>
      <c r="F1113" t="s">
        <v>891</v>
      </c>
      <c r="G1113" t="s">
        <v>898</v>
      </c>
      <c r="H1113" s="6">
        <f>_xlfn.XLOOKUP(A1113,Orders[OrderID],Orders[OrderDate])</f>
        <v>43365</v>
      </c>
      <c r="I1113" t="str">
        <f>_xlfn.XLOOKUP(A1113,Orders[OrderID],Orders[CustomerName])</f>
        <v>Akshay</v>
      </c>
      <c r="J1113" t="str">
        <f>_xlfn.XLOOKUP(A1113,Orders[OrderID],Orders[State])</f>
        <v>Uttar Pradesh</v>
      </c>
      <c r="K1113" t="str">
        <f>_xlfn.XLOOKUP(A1113,Orders[OrderID],Orders[City])</f>
        <v>Lucknow</v>
      </c>
      <c r="L1113" s="3">
        <f>YEAR(Clean_Data[[#This Row],[OrderDate]])</f>
        <v>2018</v>
      </c>
      <c r="M1113" s="3">
        <f>MONTH(Clean_Data[[#This Row],[OrderDate]])</f>
        <v>9</v>
      </c>
      <c r="N1113" s="8" t="str">
        <f>TEXT(Clean_Data[[#This Row],[OrderDate]],"mmm")</f>
        <v>Sep</v>
      </c>
      <c r="O1113" s="8" t="str">
        <f>TEXT(Clean_Data[[#This Row],[OrderDate]], "yyyy-mm")</f>
        <v>2018-09</v>
      </c>
      <c r="P1113" s="7">
        <f>Clean_Data[[#This Row],[Profit]]/Clean_Data[[#This Row],[Revenue ]]</f>
        <v>-4.1533546325878593E-2</v>
      </c>
      <c r="Q1113" t="str">
        <f>"Q"&amp;ROUNDUP(MONTH(Clean_Data[[#This Row],[OrderDate]])/3,0)</f>
        <v>Q3</v>
      </c>
      <c r="R1113" t="str">
        <f>TEXT(Clean_Data[[#This Row],[OrderDate]], "dddd")</f>
        <v>Saturday</v>
      </c>
    </row>
    <row r="1114" spans="1:18" x14ac:dyDescent="0.25">
      <c r="A1114" t="s">
        <v>214</v>
      </c>
      <c r="B1114" s="4">
        <v>109</v>
      </c>
      <c r="C1114" s="4">
        <v>52</v>
      </c>
      <c r="D1114" s="3">
        <v>2</v>
      </c>
      <c r="E1114" t="s">
        <v>895</v>
      </c>
      <c r="F1114" t="s">
        <v>903</v>
      </c>
      <c r="G1114" t="s">
        <v>898</v>
      </c>
      <c r="H1114" s="6">
        <f>_xlfn.XLOOKUP(A1114,Orders[OrderID],Orders[OrderDate])</f>
        <v>43173</v>
      </c>
      <c r="I1114" t="str">
        <f>_xlfn.XLOOKUP(A1114,Orders[OrderID],Orders[CustomerName])</f>
        <v>Anurag</v>
      </c>
      <c r="J1114" t="str">
        <f>_xlfn.XLOOKUP(A1114,Orders[OrderID],Orders[State])</f>
        <v>Madhya Pradesh</v>
      </c>
      <c r="K1114" t="str">
        <f>_xlfn.XLOOKUP(A1114,Orders[OrderID],Orders[City])</f>
        <v>Indore</v>
      </c>
      <c r="L1114" s="3">
        <f>YEAR(Clean_Data[[#This Row],[OrderDate]])</f>
        <v>2018</v>
      </c>
      <c r="M1114" s="3">
        <f>MONTH(Clean_Data[[#This Row],[OrderDate]])</f>
        <v>3</v>
      </c>
      <c r="N1114" s="8" t="str">
        <f>TEXT(Clean_Data[[#This Row],[OrderDate]],"mmm")</f>
        <v>Mar</v>
      </c>
      <c r="O1114" s="8" t="str">
        <f>TEXT(Clean_Data[[#This Row],[OrderDate]], "yyyy-mm")</f>
        <v>2018-03</v>
      </c>
      <c r="P1114" s="7">
        <f>Clean_Data[[#This Row],[Profit]]/Clean_Data[[#This Row],[Revenue ]]</f>
        <v>0.47706422018348627</v>
      </c>
      <c r="Q1114" t="str">
        <f>"Q"&amp;ROUNDUP(MONTH(Clean_Data[[#This Row],[OrderDate]])/3,0)</f>
        <v>Q1</v>
      </c>
      <c r="R1114" t="str">
        <f>TEXT(Clean_Data[[#This Row],[OrderDate]], "dddd")</f>
        <v>Wednesday</v>
      </c>
    </row>
    <row r="1115" spans="1:18" x14ac:dyDescent="0.25">
      <c r="A1115" t="s">
        <v>12</v>
      </c>
      <c r="B1115" s="4">
        <v>226</v>
      </c>
      <c r="C1115" s="4">
        <v>58</v>
      </c>
      <c r="D1115" s="3">
        <v>3</v>
      </c>
      <c r="E1115" t="s">
        <v>885</v>
      </c>
      <c r="F1115" t="s">
        <v>905</v>
      </c>
      <c r="G1115" t="s">
        <v>887</v>
      </c>
      <c r="H1115" s="6">
        <f>_xlfn.XLOOKUP(A1115,Orders[OrderID],Orders[OrderDate])</f>
        <v>43461</v>
      </c>
      <c r="I1115" t="str">
        <f>_xlfn.XLOOKUP(A1115,Orders[OrderID],Orders[CustomerName])</f>
        <v>Gopal</v>
      </c>
      <c r="J1115" t="str">
        <f>_xlfn.XLOOKUP(A1115,Orders[OrderID],Orders[State])</f>
        <v>Maharashtra</v>
      </c>
      <c r="K1115" t="str">
        <f>_xlfn.XLOOKUP(A1115,Orders[OrderID],Orders[City])</f>
        <v>Mumbai</v>
      </c>
      <c r="L1115" s="3">
        <f>YEAR(Clean_Data[[#This Row],[OrderDate]])</f>
        <v>2018</v>
      </c>
      <c r="M1115" s="3">
        <f>MONTH(Clean_Data[[#This Row],[OrderDate]])</f>
        <v>12</v>
      </c>
      <c r="N1115" s="8" t="str">
        <f>TEXT(Clean_Data[[#This Row],[OrderDate]],"mmm")</f>
        <v>Dec</v>
      </c>
      <c r="O1115" s="8" t="str">
        <f>TEXT(Clean_Data[[#This Row],[OrderDate]], "yyyy-mm")</f>
        <v>2018-12</v>
      </c>
      <c r="P1115" s="7">
        <f>Clean_Data[[#This Row],[Profit]]/Clean_Data[[#This Row],[Revenue ]]</f>
        <v>0.25663716814159293</v>
      </c>
      <c r="Q1115" t="str">
        <f>"Q"&amp;ROUNDUP(MONTH(Clean_Data[[#This Row],[OrderDate]])/3,0)</f>
        <v>Q4</v>
      </c>
      <c r="R1115" t="str">
        <f>TEXT(Clean_Data[[#This Row],[OrderDate]], "dddd")</f>
        <v>Thursday</v>
      </c>
    </row>
    <row r="1116" spans="1:18" x14ac:dyDescent="0.25">
      <c r="A1116" t="s">
        <v>189</v>
      </c>
      <c r="B1116" s="4">
        <v>62</v>
      </c>
      <c r="C1116" s="4">
        <v>-1</v>
      </c>
      <c r="D1116" s="3">
        <v>1</v>
      </c>
      <c r="E1116" t="s">
        <v>885</v>
      </c>
      <c r="F1116" t="s">
        <v>894</v>
      </c>
      <c r="G1116" t="s">
        <v>898</v>
      </c>
      <c r="H1116" s="6">
        <f>_xlfn.XLOOKUP(A1116,Orders[OrderID],Orders[OrderDate])</f>
        <v>43422</v>
      </c>
      <c r="I1116" t="str">
        <f>_xlfn.XLOOKUP(A1116,Orders[OrderID],Orders[CustomerName])</f>
        <v>Vikash</v>
      </c>
      <c r="J1116" t="str">
        <f>_xlfn.XLOOKUP(A1116,Orders[OrderID],Orders[State])</f>
        <v>Goa</v>
      </c>
      <c r="K1116" t="str">
        <f>_xlfn.XLOOKUP(A1116,Orders[OrderID],Orders[City])</f>
        <v>Goa</v>
      </c>
      <c r="L1116" s="3">
        <f>YEAR(Clean_Data[[#This Row],[OrderDate]])</f>
        <v>2018</v>
      </c>
      <c r="M1116" s="3">
        <f>MONTH(Clean_Data[[#This Row],[OrderDate]])</f>
        <v>11</v>
      </c>
      <c r="N1116" s="8" t="str">
        <f>TEXT(Clean_Data[[#This Row],[OrderDate]],"mmm")</f>
        <v>Nov</v>
      </c>
      <c r="O1116" s="8" t="str">
        <f>TEXT(Clean_Data[[#This Row],[OrderDate]], "yyyy-mm")</f>
        <v>2018-11</v>
      </c>
      <c r="P1116" s="7">
        <f>Clean_Data[[#This Row],[Profit]]/Clean_Data[[#This Row],[Revenue ]]</f>
        <v>-1.6129032258064516E-2</v>
      </c>
      <c r="Q1116" t="str">
        <f>"Q"&amp;ROUNDUP(MONTH(Clean_Data[[#This Row],[OrderDate]])/3,0)</f>
        <v>Q4</v>
      </c>
      <c r="R1116" t="str">
        <f>TEXT(Clean_Data[[#This Row],[OrderDate]], "dddd")</f>
        <v>Sunday</v>
      </c>
    </row>
    <row r="1117" spans="1:18" x14ac:dyDescent="0.25">
      <c r="A1117" t="s">
        <v>198</v>
      </c>
      <c r="B1117" s="4">
        <v>61</v>
      </c>
      <c r="C1117" s="4">
        <v>-25</v>
      </c>
      <c r="D1117" s="3">
        <v>4</v>
      </c>
      <c r="E1117" t="s">
        <v>885</v>
      </c>
      <c r="F1117" t="s">
        <v>905</v>
      </c>
      <c r="G1117" t="s">
        <v>898</v>
      </c>
      <c r="H1117" s="6">
        <f>_xlfn.XLOOKUP(A1117,Orders[OrderID],Orders[OrderDate])</f>
        <v>43353</v>
      </c>
      <c r="I1117" t="str">
        <f>_xlfn.XLOOKUP(A1117,Orders[OrderID],Orders[CustomerName])</f>
        <v>Aditi</v>
      </c>
      <c r="J1117" t="str">
        <f>_xlfn.XLOOKUP(A1117,Orders[OrderID],Orders[State])</f>
        <v>Madhya Pradesh</v>
      </c>
      <c r="K1117" t="str">
        <f>_xlfn.XLOOKUP(A1117,Orders[OrderID],Orders[City])</f>
        <v>Indore</v>
      </c>
      <c r="L1117" s="3">
        <f>YEAR(Clean_Data[[#This Row],[OrderDate]])</f>
        <v>2018</v>
      </c>
      <c r="M1117" s="3">
        <f>MONTH(Clean_Data[[#This Row],[OrderDate]])</f>
        <v>9</v>
      </c>
      <c r="N1117" s="8" t="str">
        <f>TEXT(Clean_Data[[#This Row],[OrderDate]],"mmm")</f>
        <v>Sep</v>
      </c>
      <c r="O1117" s="8" t="str">
        <f>TEXT(Clean_Data[[#This Row],[OrderDate]], "yyyy-mm")</f>
        <v>2018-09</v>
      </c>
      <c r="P1117" s="7">
        <f>Clean_Data[[#This Row],[Profit]]/Clean_Data[[#This Row],[Revenue ]]</f>
        <v>-0.4098360655737705</v>
      </c>
      <c r="Q1117" t="str">
        <f>"Q"&amp;ROUNDUP(MONTH(Clean_Data[[#This Row],[OrderDate]])/3,0)</f>
        <v>Q3</v>
      </c>
      <c r="R1117" t="str">
        <f>TEXT(Clean_Data[[#This Row],[OrderDate]], "dddd")</f>
        <v>Monday</v>
      </c>
    </row>
    <row r="1118" spans="1:18" x14ac:dyDescent="0.25">
      <c r="A1118" t="s">
        <v>269</v>
      </c>
      <c r="B1118" s="4">
        <v>222</v>
      </c>
      <c r="C1118" s="4">
        <v>74</v>
      </c>
      <c r="D1118" s="3">
        <v>5</v>
      </c>
      <c r="E1118" t="s">
        <v>895</v>
      </c>
      <c r="F1118" t="s">
        <v>899</v>
      </c>
      <c r="G1118" t="s">
        <v>887</v>
      </c>
      <c r="H1118" s="6">
        <f>_xlfn.XLOOKUP(A1118,Orders[OrderID],Orders[OrderDate])</f>
        <v>43136</v>
      </c>
      <c r="I1118" t="str">
        <f>_xlfn.XLOOKUP(A1118,Orders[OrderID],Orders[CustomerName])</f>
        <v>Diwakar</v>
      </c>
      <c r="J1118" t="str">
        <f>_xlfn.XLOOKUP(A1118,Orders[OrderID],Orders[State])</f>
        <v>Delhi</v>
      </c>
      <c r="K1118" t="str">
        <f>_xlfn.XLOOKUP(A1118,Orders[OrderID],Orders[City])</f>
        <v>Delhi</v>
      </c>
      <c r="L1118" s="3">
        <f>YEAR(Clean_Data[[#This Row],[OrderDate]])</f>
        <v>2018</v>
      </c>
      <c r="M1118" s="3">
        <f>MONTH(Clean_Data[[#This Row],[OrderDate]])</f>
        <v>2</v>
      </c>
      <c r="N1118" s="8" t="str">
        <f>TEXT(Clean_Data[[#This Row],[OrderDate]],"mmm")</f>
        <v>Feb</v>
      </c>
      <c r="O1118" s="8" t="str">
        <f>TEXT(Clean_Data[[#This Row],[OrderDate]], "yyyy-mm")</f>
        <v>2018-02</v>
      </c>
      <c r="P1118" s="7">
        <f>Clean_Data[[#This Row],[Profit]]/Clean_Data[[#This Row],[Revenue ]]</f>
        <v>0.33333333333333331</v>
      </c>
      <c r="Q1118" t="str">
        <f>"Q"&amp;ROUNDUP(MONTH(Clean_Data[[#This Row],[OrderDate]])/3,0)</f>
        <v>Q1</v>
      </c>
      <c r="R1118" t="str">
        <f>TEXT(Clean_Data[[#This Row],[OrderDate]], "dddd")</f>
        <v>Monday</v>
      </c>
    </row>
    <row r="1119" spans="1:18" x14ac:dyDescent="0.25">
      <c r="A1119" t="s">
        <v>419</v>
      </c>
      <c r="B1119" s="4">
        <v>342</v>
      </c>
      <c r="C1119" s="4">
        <v>-154</v>
      </c>
      <c r="D1119" s="3">
        <v>7</v>
      </c>
      <c r="E1119" t="s">
        <v>888</v>
      </c>
      <c r="F1119" t="s">
        <v>908</v>
      </c>
      <c r="G1119" t="s">
        <v>907</v>
      </c>
      <c r="H1119" s="6">
        <f>_xlfn.XLOOKUP(A1119,Orders[OrderID],Orders[OrderDate])</f>
        <v>43412</v>
      </c>
      <c r="I1119" t="str">
        <f>_xlfn.XLOOKUP(A1119,Orders[OrderID],Orders[CustomerName])</f>
        <v>Shubham</v>
      </c>
      <c r="J1119" t="str">
        <f>_xlfn.XLOOKUP(A1119,Orders[OrderID],Orders[State])</f>
        <v>Maharashtra</v>
      </c>
      <c r="K1119" t="str">
        <f>_xlfn.XLOOKUP(A1119,Orders[OrderID],Orders[City])</f>
        <v>Pune</v>
      </c>
      <c r="L1119" s="3">
        <f>YEAR(Clean_Data[[#This Row],[OrderDate]])</f>
        <v>2018</v>
      </c>
      <c r="M1119" s="3">
        <f>MONTH(Clean_Data[[#This Row],[OrderDate]])</f>
        <v>11</v>
      </c>
      <c r="N1119" s="8" t="str">
        <f>TEXT(Clean_Data[[#This Row],[OrderDate]],"mmm")</f>
        <v>Nov</v>
      </c>
      <c r="O1119" s="8" t="str">
        <f>TEXT(Clean_Data[[#This Row],[OrderDate]], "yyyy-mm")</f>
        <v>2018-11</v>
      </c>
      <c r="P1119" s="7">
        <f>Clean_Data[[#This Row],[Profit]]/Clean_Data[[#This Row],[Revenue ]]</f>
        <v>-0.45029239766081869</v>
      </c>
      <c r="Q1119" t="str">
        <f>"Q"&amp;ROUNDUP(MONTH(Clean_Data[[#This Row],[OrderDate]])/3,0)</f>
        <v>Q4</v>
      </c>
      <c r="R1119" t="str">
        <f>TEXT(Clean_Data[[#This Row],[OrderDate]], "dddd")</f>
        <v>Thursday</v>
      </c>
    </row>
    <row r="1120" spans="1:18" x14ac:dyDescent="0.25">
      <c r="A1120" t="s">
        <v>209</v>
      </c>
      <c r="B1120" s="4">
        <v>344</v>
      </c>
      <c r="C1120" s="4">
        <v>-34</v>
      </c>
      <c r="D1120" s="3">
        <v>3</v>
      </c>
      <c r="E1120" t="s">
        <v>895</v>
      </c>
      <c r="F1120" t="s">
        <v>897</v>
      </c>
      <c r="G1120" t="s">
        <v>907</v>
      </c>
      <c r="H1120" s="6">
        <f>_xlfn.XLOOKUP(A1120,Orders[OrderID],Orders[OrderDate])</f>
        <v>43243</v>
      </c>
      <c r="I1120" t="str">
        <f>_xlfn.XLOOKUP(A1120,Orders[OrderID],Orders[CustomerName])</f>
        <v>Anjali</v>
      </c>
      <c r="J1120" t="str">
        <f>_xlfn.XLOOKUP(A1120,Orders[OrderID],Orders[State])</f>
        <v>Haryana</v>
      </c>
      <c r="K1120" t="str">
        <f>_xlfn.XLOOKUP(A1120,Orders[OrderID],Orders[City])</f>
        <v>Chandigarh</v>
      </c>
      <c r="L1120" s="3">
        <f>YEAR(Clean_Data[[#This Row],[OrderDate]])</f>
        <v>2018</v>
      </c>
      <c r="M1120" s="3">
        <f>MONTH(Clean_Data[[#This Row],[OrderDate]])</f>
        <v>5</v>
      </c>
      <c r="N1120" s="8" t="str">
        <f>TEXT(Clean_Data[[#This Row],[OrderDate]],"mmm")</f>
        <v>May</v>
      </c>
      <c r="O1120" s="8" t="str">
        <f>TEXT(Clean_Data[[#This Row],[OrderDate]], "yyyy-mm")</f>
        <v>2018-05</v>
      </c>
      <c r="P1120" s="7">
        <f>Clean_Data[[#This Row],[Profit]]/Clean_Data[[#This Row],[Revenue ]]</f>
        <v>-9.8837209302325577E-2</v>
      </c>
      <c r="Q1120" t="str">
        <f>"Q"&amp;ROUNDUP(MONTH(Clean_Data[[#This Row],[OrderDate]])/3,0)</f>
        <v>Q2</v>
      </c>
      <c r="R1120" t="str">
        <f>TEXT(Clean_Data[[#This Row],[OrderDate]], "dddd")</f>
        <v>Wednesday</v>
      </c>
    </row>
    <row r="1121" spans="1:18" x14ac:dyDescent="0.25">
      <c r="A1121" t="s">
        <v>462</v>
      </c>
      <c r="B1121" s="4">
        <v>345</v>
      </c>
      <c r="C1121" s="4">
        <v>38</v>
      </c>
      <c r="D1121" s="3">
        <v>7</v>
      </c>
      <c r="E1121" t="s">
        <v>895</v>
      </c>
      <c r="F1121" t="s">
        <v>899</v>
      </c>
      <c r="G1121" t="s">
        <v>907</v>
      </c>
      <c r="H1121" s="6">
        <f>_xlfn.XLOOKUP(A1121,Orders[OrderID],Orders[OrderDate])</f>
        <v>43398</v>
      </c>
      <c r="I1121" t="str">
        <f>_xlfn.XLOOKUP(A1121,Orders[OrderID],Orders[CustomerName])</f>
        <v>Apoorva</v>
      </c>
      <c r="J1121" t="str">
        <f>_xlfn.XLOOKUP(A1121,Orders[OrderID],Orders[State])</f>
        <v>Haryana</v>
      </c>
      <c r="K1121" t="str">
        <f>_xlfn.XLOOKUP(A1121,Orders[OrderID],Orders[City])</f>
        <v>Chandigarh</v>
      </c>
      <c r="L1121" s="3">
        <f>YEAR(Clean_Data[[#This Row],[OrderDate]])</f>
        <v>2018</v>
      </c>
      <c r="M1121" s="3">
        <f>MONTH(Clean_Data[[#This Row],[OrderDate]])</f>
        <v>10</v>
      </c>
      <c r="N1121" s="8" t="str">
        <f>TEXT(Clean_Data[[#This Row],[OrderDate]],"mmm")</f>
        <v>Oct</v>
      </c>
      <c r="O1121" s="8" t="str">
        <f>TEXT(Clean_Data[[#This Row],[OrderDate]], "yyyy-mm")</f>
        <v>2018-10</v>
      </c>
      <c r="P1121" s="7">
        <f>Clean_Data[[#This Row],[Profit]]/Clean_Data[[#This Row],[Revenue ]]</f>
        <v>0.11014492753623188</v>
      </c>
      <c r="Q1121" t="str">
        <f>"Q"&amp;ROUNDUP(MONTH(Clean_Data[[#This Row],[OrderDate]])/3,0)</f>
        <v>Q4</v>
      </c>
      <c r="R1121" t="str">
        <f>TEXT(Clean_Data[[#This Row],[OrderDate]], "dddd")</f>
        <v>Thursday</v>
      </c>
    </row>
    <row r="1122" spans="1:18" x14ac:dyDescent="0.25">
      <c r="A1122" t="s">
        <v>806</v>
      </c>
      <c r="B1122" s="4">
        <v>46</v>
      </c>
      <c r="C1122" s="4">
        <v>0</v>
      </c>
      <c r="D1122" s="3">
        <v>2</v>
      </c>
      <c r="E1122" t="s">
        <v>885</v>
      </c>
      <c r="F1122" t="s">
        <v>886</v>
      </c>
      <c r="G1122" t="s">
        <v>887</v>
      </c>
      <c r="H1122" s="6">
        <f>_xlfn.XLOOKUP(A1122,Orders[OrderID],Orders[OrderDate])</f>
        <v>43281</v>
      </c>
      <c r="I1122" t="str">
        <f>_xlfn.XLOOKUP(A1122,Orders[OrderID],Orders[CustomerName])</f>
        <v>Shweta</v>
      </c>
      <c r="J1122" t="str">
        <f>_xlfn.XLOOKUP(A1122,Orders[OrderID],Orders[State])</f>
        <v>Madhya Pradesh</v>
      </c>
      <c r="K1122" t="str">
        <f>_xlfn.XLOOKUP(A1122,Orders[OrderID],Orders[City])</f>
        <v>Indore</v>
      </c>
      <c r="L1122" s="3">
        <f>YEAR(Clean_Data[[#This Row],[OrderDate]])</f>
        <v>2018</v>
      </c>
      <c r="M1122" s="3">
        <f>MONTH(Clean_Data[[#This Row],[OrderDate]])</f>
        <v>6</v>
      </c>
      <c r="N1122" s="8" t="str">
        <f>TEXT(Clean_Data[[#This Row],[OrderDate]],"mmm")</f>
        <v>Jun</v>
      </c>
      <c r="O1122" s="8" t="str">
        <f>TEXT(Clean_Data[[#This Row],[OrderDate]], "yyyy-mm")</f>
        <v>2018-06</v>
      </c>
      <c r="P1122" s="7">
        <f>Clean_Data[[#This Row],[Profit]]/Clean_Data[[#This Row],[Revenue ]]</f>
        <v>0</v>
      </c>
      <c r="Q1122" t="str">
        <f>"Q"&amp;ROUNDUP(MONTH(Clean_Data[[#This Row],[OrderDate]])/3,0)</f>
        <v>Q2</v>
      </c>
      <c r="R1122" t="str">
        <f>TEXT(Clean_Data[[#This Row],[OrderDate]], "dddd")</f>
        <v>Saturday</v>
      </c>
    </row>
    <row r="1123" spans="1:18" x14ac:dyDescent="0.25">
      <c r="A1123" t="s">
        <v>524</v>
      </c>
      <c r="B1123" s="4">
        <v>255</v>
      </c>
      <c r="C1123" s="4">
        <v>74</v>
      </c>
      <c r="D1123" s="3">
        <v>5</v>
      </c>
      <c r="E1123" t="s">
        <v>895</v>
      </c>
      <c r="F1123" t="s">
        <v>899</v>
      </c>
      <c r="G1123" t="s">
        <v>887</v>
      </c>
      <c r="H1123" s="6">
        <f>_xlfn.XLOOKUP(A1123,Orders[OrderID],Orders[OrderDate])</f>
        <v>43407</v>
      </c>
      <c r="I1123" t="str">
        <f>_xlfn.XLOOKUP(A1123,Orders[OrderID],Orders[CustomerName])</f>
        <v>Mrunal</v>
      </c>
      <c r="J1123" t="str">
        <f>_xlfn.XLOOKUP(A1123,Orders[OrderID],Orders[State])</f>
        <v>Maharashtra</v>
      </c>
      <c r="K1123" t="str">
        <f>_xlfn.XLOOKUP(A1123,Orders[OrderID],Orders[City])</f>
        <v>Mumbai</v>
      </c>
      <c r="L1123" s="3">
        <f>YEAR(Clean_Data[[#This Row],[OrderDate]])</f>
        <v>2018</v>
      </c>
      <c r="M1123" s="3">
        <f>MONTH(Clean_Data[[#This Row],[OrderDate]])</f>
        <v>11</v>
      </c>
      <c r="N1123" s="8" t="str">
        <f>TEXT(Clean_Data[[#This Row],[OrderDate]],"mmm")</f>
        <v>Nov</v>
      </c>
      <c r="O1123" s="8" t="str">
        <f>TEXT(Clean_Data[[#This Row],[OrderDate]], "yyyy-mm")</f>
        <v>2018-11</v>
      </c>
      <c r="P1123" s="7">
        <f>Clean_Data[[#This Row],[Profit]]/Clean_Data[[#This Row],[Revenue ]]</f>
        <v>0.29019607843137257</v>
      </c>
      <c r="Q1123" t="str">
        <f>"Q"&amp;ROUNDUP(MONTH(Clean_Data[[#This Row],[OrderDate]])/3,0)</f>
        <v>Q4</v>
      </c>
      <c r="R1123" t="str">
        <f>TEXT(Clean_Data[[#This Row],[OrderDate]], "dddd")</f>
        <v>Saturday</v>
      </c>
    </row>
    <row r="1124" spans="1:18" x14ac:dyDescent="0.25">
      <c r="A1124" t="s">
        <v>455</v>
      </c>
      <c r="B1124" s="4">
        <v>360</v>
      </c>
      <c r="C1124" s="4">
        <v>32</v>
      </c>
      <c r="D1124" s="3">
        <v>3</v>
      </c>
      <c r="E1124" t="s">
        <v>895</v>
      </c>
      <c r="F1124" t="s">
        <v>897</v>
      </c>
      <c r="G1124" t="s">
        <v>898</v>
      </c>
      <c r="H1124" s="6">
        <f>_xlfn.XLOOKUP(A1124,Orders[OrderID],Orders[OrderDate])</f>
        <v>43118</v>
      </c>
      <c r="I1124" t="str">
        <f>_xlfn.XLOOKUP(A1124,Orders[OrderID],Orders[CustomerName])</f>
        <v>Aparajita</v>
      </c>
      <c r="J1124" t="str">
        <f>_xlfn.XLOOKUP(A1124,Orders[OrderID],Orders[State])</f>
        <v>West Bengal</v>
      </c>
      <c r="K1124" t="str">
        <f>_xlfn.XLOOKUP(A1124,Orders[OrderID],Orders[City])</f>
        <v>Kolkata</v>
      </c>
      <c r="L1124" s="3">
        <f>YEAR(Clean_Data[[#This Row],[OrderDate]])</f>
        <v>2018</v>
      </c>
      <c r="M1124" s="3">
        <f>MONTH(Clean_Data[[#This Row],[OrderDate]])</f>
        <v>1</v>
      </c>
      <c r="N1124" s="8" t="str">
        <f>TEXT(Clean_Data[[#This Row],[OrderDate]],"mmm")</f>
        <v>Jan</v>
      </c>
      <c r="O1124" s="8" t="str">
        <f>TEXT(Clean_Data[[#This Row],[OrderDate]], "yyyy-mm")</f>
        <v>2018-01</v>
      </c>
      <c r="P1124" s="7">
        <f>Clean_Data[[#This Row],[Profit]]/Clean_Data[[#This Row],[Revenue ]]</f>
        <v>8.8888888888888892E-2</v>
      </c>
      <c r="Q1124" t="str">
        <f>"Q"&amp;ROUNDUP(MONTH(Clean_Data[[#This Row],[OrderDate]])/3,0)</f>
        <v>Q1</v>
      </c>
      <c r="R1124" t="str">
        <f>TEXT(Clean_Data[[#This Row],[OrderDate]], "dddd")</f>
        <v>Thursday</v>
      </c>
    </row>
    <row r="1125" spans="1:18" x14ac:dyDescent="0.25">
      <c r="A1125" t="s">
        <v>308</v>
      </c>
      <c r="B1125" s="4">
        <v>372</v>
      </c>
      <c r="C1125" s="4">
        <v>59</v>
      </c>
      <c r="D1125" s="3">
        <v>3</v>
      </c>
      <c r="E1125" t="s">
        <v>885</v>
      </c>
      <c r="F1125" t="s">
        <v>892</v>
      </c>
      <c r="G1125" t="s">
        <v>898</v>
      </c>
      <c r="H1125" s="6">
        <f>_xlfn.XLOOKUP(A1125,Orders[OrderID],Orders[OrderDate])</f>
        <v>43438</v>
      </c>
      <c r="I1125" t="str">
        <f>_xlfn.XLOOKUP(A1125,Orders[OrderID],Orders[CustomerName])</f>
        <v>Vrinda</v>
      </c>
      <c r="J1125" t="str">
        <f>_xlfn.XLOOKUP(A1125,Orders[OrderID],Orders[State])</f>
        <v>Uttar Pradesh</v>
      </c>
      <c r="K1125" t="str">
        <f>_xlfn.XLOOKUP(A1125,Orders[OrderID],Orders[City])</f>
        <v>Mathura</v>
      </c>
      <c r="L1125" s="3">
        <f>YEAR(Clean_Data[[#This Row],[OrderDate]])</f>
        <v>2018</v>
      </c>
      <c r="M1125" s="3">
        <f>MONTH(Clean_Data[[#This Row],[OrderDate]])</f>
        <v>12</v>
      </c>
      <c r="N1125" s="8" t="str">
        <f>TEXT(Clean_Data[[#This Row],[OrderDate]],"mmm")</f>
        <v>Dec</v>
      </c>
      <c r="O1125" s="8" t="str">
        <f>TEXT(Clean_Data[[#This Row],[OrderDate]], "yyyy-mm")</f>
        <v>2018-12</v>
      </c>
      <c r="P1125" s="7">
        <f>Clean_Data[[#This Row],[Profit]]/Clean_Data[[#This Row],[Revenue ]]</f>
        <v>0.15860215053763441</v>
      </c>
      <c r="Q1125" t="str">
        <f>"Q"&amp;ROUNDUP(MONTH(Clean_Data[[#This Row],[OrderDate]])/3,0)</f>
        <v>Q4</v>
      </c>
      <c r="R1125" t="str">
        <f>TEXT(Clean_Data[[#This Row],[OrderDate]], "dddd")</f>
        <v>Tuesday</v>
      </c>
    </row>
    <row r="1126" spans="1:18" x14ac:dyDescent="0.25">
      <c r="A1126" t="s">
        <v>142</v>
      </c>
      <c r="B1126" s="4">
        <v>61</v>
      </c>
      <c r="C1126" s="4">
        <v>30</v>
      </c>
      <c r="D1126" s="3">
        <v>2</v>
      </c>
      <c r="E1126" t="s">
        <v>895</v>
      </c>
      <c r="F1126" t="s">
        <v>899</v>
      </c>
      <c r="G1126" t="s">
        <v>898</v>
      </c>
      <c r="H1126" s="6">
        <f>_xlfn.XLOOKUP(A1126,Orders[OrderID],Orders[OrderDate])</f>
        <v>43412</v>
      </c>
      <c r="I1126" t="str">
        <f>_xlfn.XLOOKUP(A1126,Orders[OrderID],Orders[CustomerName])</f>
        <v>Abhijeet</v>
      </c>
      <c r="J1126" t="str">
        <f>_xlfn.XLOOKUP(A1126,Orders[OrderID],Orders[State])</f>
        <v>Madhya Pradesh</v>
      </c>
      <c r="K1126" t="str">
        <f>_xlfn.XLOOKUP(A1126,Orders[OrderID],Orders[City])</f>
        <v>Bhopal</v>
      </c>
      <c r="L1126" s="3">
        <f>YEAR(Clean_Data[[#This Row],[OrderDate]])</f>
        <v>2018</v>
      </c>
      <c r="M1126" s="3">
        <f>MONTH(Clean_Data[[#This Row],[OrderDate]])</f>
        <v>11</v>
      </c>
      <c r="N1126" s="8" t="str">
        <f>TEXT(Clean_Data[[#This Row],[OrderDate]],"mmm")</f>
        <v>Nov</v>
      </c>
      <c r="O1126" s="8" t="str">
        <f>TEXT(Clean_Data[[#This Row],[OrderDate]], "yyyy-mm")</f>
        <v>2018-11</v>
      </c>
      <c r="P1126" s="7">
        <f>Clean_Data[[#This Row],[Profit]]/Clean_Data[[#This Row],[Revenue ]]</f>
        <v>0.49180327868852458</v>
      </c>
      <c r="Q1126" t="str">
        <f>"Q"&amp;ROUNDUP(MONTH(Clean_Data[[#This Row],[OrderDate]])/3,0)</f>
        <v>Q4</v>
      </c>
      <c r="R1126" t="str">
        <f>TEXT(Clean_Data[[#This Row],[OrderDate]], "dddd")</f>
        <v>Thursday</v>
      </c>
    </row>
    <row r="1127" spans="1:18" x14ac:dyDescent="0.25">
      <c r="A1127" t="s">
        <v>689</v>
      </c>
      <c r="B1127" s="4">
        <v>42</v>
      </c>
      <c r="C1127" s="4">
        <v>12</v>
      </c>
      <c r="D1127" s="3">
        <v>5</v>
      </c>
      <c r="E1127" t="s">
        <v>895</v>
      </c>
      <c r="F1127" t="s">
        <v>899</v>
      </c>
      <c r="G1127" t="s">
        <v>887</v>
      </c>
      <c r="H1127" s="6">
        <f>_xlfn.XLOOKUP(A1127,Orders[OrderID],Orders[OrderDate])</f>
        <v>43205</v>
      </c>
      <c r="I1127" t="str">
        <f>_xlfn.XLOOKUP(A1127,Orders[OrderID],Orders[CustomerName])</f>
        <v>Kanak</v>
      </c>
      <c r="J1127" t="str">
        <f>_xlfn.XLOOKUP(A1127,Orders[OrderID],Orders[State])</f>
        <v>Goa</v>
      </c>
      <c r="K1127" t="str">
        <f>_xlfn.XLOOKUP(A1127,Orders[OrderID],Orders[City])</f>
        <v>Goa</v>
      </c>
      <c r="L1127" s="3">
        <f>YEAR(Clean_Data[[#This Row],[OrderDate]])</f>
        <v>2018</v>
      </c>
      <c r="M1127" s="3">
        <f>MONTH(Clean_Data[[#This Row],[OrderDate]])</f>
        <v>4</v>
      </c>
      <c r="N1127" s="8" t="str">
        <f>TEXT(Clean_Data[[#This Row],[OrderDate]],"mmm")</f>
        <v>Apr</v>
      </c>
      <c r="O1127" s="8" t="str">
        <f>TEXT(Clean_Data[[#This Row],[OrderDate]], "yyyy-mm")</f>
        <v>2018-04</v>
      </c>
      <c r="P1127" s="7">
        <f>Clean_Data[[#This Row],[Profit]]/Clean_Data[[#This Row],[Revenue ]]</f>
        <v>0.2857142857142857</v>
      </c>
      <c r="Q1127" t="str">
        <f>"Q"&amp;ROUNDUP(MONTH(Clean_Data[[#This Row],[OrderDate]])/3,0)</f>
        <v>Q2</v>
      </c>
      <c r="R1127" t="str">
        <f>TEXT(Clean_Data[[#This Row],[OrderDate]], "dddd")</f>
        <v>Sunday</v>
      </c>
    </row>
    <row r="1128" spans="1:18" x14ac:dyDescent="0.25">
      <c r="A1128" t="s">
        <v>641</v>
      </c>
      <c r="B1128" s="4">
        <v>42</v>
      </c>
      <c r="C1128" s="4">
        <v>-26</v>
      </c>
      <c r="D1128" s="3">
        <v>2</v>
      </c>
      <c r="E1128" t="s">
        <v>895</v>
      </c>
      <c r="F1128" t="s">
        <v>900</v>
      </c>
      <c r="G1128" t="s">
        <v>887</v>
      </c>
      <c r="H1128" s="6">
        <f>_xlfn.XLOOKUP(A1128,Orders[OrderID],Orders[OrderDate])</f>
        <v>43214</v>
      </c>
      <c r="I1128" t="str">
        <f>_xlfn.XLOOKUP(A1128,Orders[OrderID],Orders[CustomerName])</f>
        <v>Sahil</v>
      </c>
      <c r="J1128" t="str">
        <f>_xlfn.XLOOKUP(A1128,Orders[OrderID],Orders[State])</f>
        <v>Punjab</v>
      </c>
      <c r="K1128" t="str">
        <f>_xlfn.XLOOKUP(A1128,Orders[OrderID],Orders[City])</f>
        <v>Chandigarh</v>
      </c>
      <c r="L1128" s="3">
        <f>YEAR(Clean_Data[[#This Row],[OrderDate]])</f>
        <v>2018</v>
      </c>
      <c r="M1128" s="3">
        <f>MONTH(Clean_Data[[#This Row],[OrderDate]])</f>
        <v>4</v>
      </c>
      <c r="N1128" s="8" t="str">
        <f>TEXT(Clean_Data[[#This Row],[OrderDate]],"mmm")</f>
        <v>Apr</v>
      </c>
      <c r="O1128" s="8" t="str">
        <f>TEXT(Clean_Data[[#This Row],[OrderDate]], "yyyy-mm")</f>
        <v>2018-04</v>
      </c>
      <c r="P1128" s="7">
        <f>Clean_Data[[#This Row],[Profit]]/Clean_Data[[#This Row],[Revenue ]]</f>
        <v>-0.61904761904761907</v>
      </c>
      <c r="Q1128" t="str">
        <f>"Q"&amp;ROUNDUP(MONTH(Clean_Data[[#This Row],[OrderDate]])/3,0)</f>
        <v>Q2</v>
      </c>
      <c r="R1128" t="str">
        <f>TEXT(Clean_Data[[#This Row],[OrderDate]], "dddd")</f>
        <v>Tuesday</v>
      </c>
    </row>
    <row r="1129" spans="1:18" x14ac:dyDescent="0.25">
      <c r="A1129" t="s">
        <v>771</v>
      </c>
      <c r="B1129" s="4">
        <v>61</v>
      </c>
      <c r="C1129" s="4">
        <v>25</v>
      </c>
      <c r="D1129" s="3">
        <v>4</v>
      </c>
      <c r="E1129" t="s">
        <v>895</v>
      </c>
      <c r="F1129" t="s">
        <v>897</v>
      </c>
      <c r="G1129" t="s">
        <v>898</v>
      </c>
      <c r="H1129" s="6">
        <f>_xlfn.XLOOKUP(A1129,Orders[OrderID],Orders[OrderDate])</f>
        <v>43105</v>
      </c>
      <c r="I1129" t="str">
        <f>_xlfn.XLOOKUP(A1129,Orders[OrderID],Orders[CustomerName])</f>
        <v>Nikhil</v>
      </c>
      <c r="J1129" t="str">
        <f>_xlfn.XLOOKUP(A1129,Orders[OrderID],Orders[State])</f>
        <v>Punjab</v>
      </c>
      <c r="K1129" t="str">
        <f>_xlfn.XLOOKUP(A1129,Orders[OrderID],Orders[City])</f>
        <v>Chandigarh</v>
      </c>
      <c r="L1129" s="3">
        <f>YEAR(Clean_Data[[#This Row],[OrderDate]])</f>
        <v>2018</v>
      </c>
      <c r="M1129" s="3">
        <f>MONTH(Clean_Data[[#This Row],[OrderDate]])</f>
        <v>1</v>
      </c>
      <c r="N1129" s="8" t="str">
        <f>TEXT(Clean_Data[[#This Row],[OrderDate]],"mmm")</f>
        <v>Jan</v>
      </c>
      <c r="O1129" s="8" t="str">
        <f>TEXT(Clean_Data[[#This Row],[OrderDate]], "yyyy-mm")</f>
        <v>2018-01</v>
      </c>
      <c r="P1129" s="7">
        <f>Clean_Data[[#This Row],[Profit]]/Clean_Data[[#This Row],[Revenue ]]</f>
        <v>0.4098360655737705</v>
      </c>
      <c r="Q1129" t="str">
        <f>"Q"&amp;ROUNDUP(MONTH(Clean_Data[[#This Row],[OrderDate]])/3,0)</f>
        <v>Q1</v>
      </c>
      <c r="R1129" t="str">
        <f>TEXT(Clean_Data[[#This Row],[OrderDate]], "dddd")</f>
        <v>Friday</v>
      </c>
    </row>
    <row r="1130" spans="1:18" x14ac:dyDescent="0.25">
      <c r="A1130" t="s">
        <v>57</v>
      </c>
      <c r="B1130" s="4">
        <v>41</v>
      </c>
      <c r="C1130" s="4">
        <v>11</v>
      </c>
      <c r="D1130" s="3">
        <v>6</v>
      </c>
      <c r="E1130" t="s">
        <v>895</v>
      </c>
      <c r="F1130" t="s">
        <v>899</v>
      </c>
      <c r="G1130" t="s">
        <v>887</v>
      </c>
      <c r="H1130" s="6">
        <f>_xlfn.XLOOKUP(A1130,Orders[OrderID],Orders[OrderDate])</f>
        <v>43399</v>
      </c>
      <c r="I1130" t="str">
        <f>_xlfn.XLOOKUP(A1130,Orders[OrderID],Orders[CustomerName])</f>
        <v>Aastha</v>
      </c>
      <c r="J1130" t="str">
        <f>_xlfn.XLOOKUP(A1130,Orders[OrderID],Orders[State])</f>
        <v>Himachal Pradesh</v>
      </c>
      <c r="K1130" t="str">
        <f>_xlfn.XLOOKUP(A1130,Orders[OrderID],Orders[City])</f>
        <v>Simla</v>
      </c>
      <c r="L1130" s="3">
        <f>YEAR(Clean_Data[[#This Row],[OrderDate]])</f>
        <v>2018</v>
      </c>
      <c r="M1130" s="3">
        <f>MONTH(Clean_Data[[#This Row],[OrderDate]])</f>
        <v>10</v>
      </c>
      <c r="N1130" s="8" t="str">
        <f>TEXT(Clean_Data[[#This Row],[OrderDate]],"mmm")</f>
        <v>Oct</v>
      </c>
      <c r="O1130" s="8" t="str">
        <f>TEXT(Clean_Data[[#This Row],[OrderDate]], "yyyy-mm")</f>
        <v>2018-10</v>
      </c>
      <c r="P1130" s="7">
        <f>Clean_Data[[#This Row],[Profit]]/Clean_Data[[#This Row],[Revenue ]]</f>
        <v>0.26829268292682928</v>
      </c>
      <c r="Q1130" t="str">
        <f>"Q"&amp;ROUNDUP(MONTH(Clean_Data[[#This Row],[OrderDate]])/3,0)</f>
        <v>Q4</v>
      </c>
      <c r="R1130" t="str">
        <f>TEXT(Clean_Data[[#This Row],[OrderDate]], "dddd")</f>
        <v>Friday</v>
      </c>
    </row>
    <row r="1131" spans="1:18" x14ac:dyDescent="0.25">
      <c r="A1131" t="s">
        <v>348</v>
      </c>
      <c r="B1131" s="4">
        <v>40</v>
      </c>
      <c r="C1131" s="4">
        <v>13</v>
      </c>
      <c r="D1131" s="3">
        <v>3</v>
      </c>
      <c r="E1131" t="s">
        <v>895</v>
      </c>
      <c r="F1131" t="s">
        <v>906</v>
      </c>
      <c r="G1131" t="s">
        <v>887</v>
      </c>
      <c r="H1131" s="6">
        <f>_xlfn.XLOOKUP(A1131,Orders[OrderID],Orders[OrderDate])</f>
        <v>43103</v>
      </c>
      <c r="I1131" t="str">
        <f>_xlfn.XLOOKUP(A1131,Orders[OrderID],Orders[CustomerName])</f>
        <v>Monica</v>
      </c>
      <c r="J1131" t="str">
        <f>_xlfn.XLOOKUP(A1131,Orders[OrderID],Orders[State])</f>
        <v>Punjab</v>
      </c>
      <c r="K1131" t="str">
        <f>_xlfn.XLOOKUP(A1131,Orders[OrderID],Orders[City])</f>
        <v>Chandigarh</v>
      </c>
      <c r="L1131" s="3">
        <f>YEAR(Clean_Data[[#This Row],[OrderDate]])</f>
        <v>2018</v>
      </c>
      <c r="M1131" s="3">
        <f>MONTH(Clean_Data[[#This Row],[OrderDate]])</f>
        <v>1</v>
      </c>
      <c r="N1131" s="8" t="str">
        <f>TEXT(Clean_Data[[#This Row],[OrderDate]],"mmm")</f>
        <v>Jan</v>
      </c>
      <c r="O1131" s="8" t="str">
        <f>TEXT(Clean_Data[[#This Row],[OrderDate]], "yyyy-mm")</f>
        <v>2018-01</v>
      </c>
      <c r="P1131" s="7">
        <f>Clean_Data[[#This Row],[Profit]]/Clean_Data[[#This Row],[Revenue ]]</f>
        <v>0.32500000000000001</v>
      </c>
      <c r="Q1131" t="str">
        <f>"Q"&amp;ROUNDUP(MONTH(Clean_Data[[#This Row],[OrderDate]])/3,0)</f>
        <v>Q1</v>
      </c>
      <c r="R1131" t="str">
        <f>TEXT(Clean_Data[[#This Row],[OrderDate]], "dddd")</f>
        <v>Wednesday</v>
      </c>
    </row>
    <row r="1132" spans="1:18" x14ac:dyDescent="0.25">
      <c r="A1132" t="s">
        <v>548</v>
      </c>
      <c r="B1132" s="4">
        <v>59</v>
      </c>
      <c r="C1132" s="4">
        <v>21</v>
      </c>
      <c r="D1132" s="3">
        <v>2</v>
      </c>
      <c r="E1132" t="s">
        <v>895</v>
      </c>
      <c r="F1132" t="s">
        <v>903</v>
      </c>
      <c r="G1132" t="s">
        <v>898</v>
      </c>
      <c r="H1132" s="6">
        <f>_xlfn.XLOOKUP(A1132,Orders[OrderID],Orders[OrderDate])</f>
        <v>43381</v>
      </c>
      <c r="I1132" t="str">
        <f>_xlfn.XLOOKUP(A1132,Orders[OrderID],Orders[CustomerName])</f>
        <v>Apsingekar</v>
      </c>
      <c r="J1132" t="str">
        <f>_xlfn.XLOOKUP(A1132,Orders[OrderID],Orders[State])</f>
        <v>Bihar</v>
      </c>
      <c r="K1132" t="str">
        <f>_xlfn.XLOOKUP(A1132,Orders[OrderID],Orders[City])</f>
        <v>Patna</v>
      </c>
      <c r="L1132" s="3">
        <f>YEAR(Clean_Data[[#This Row],[OrderDate]])</f>
        <v>2018</v>
      </c>
      <c r="M1132" s="3">
        <f>MONTH(Clean_Data[[#This Row],[OrderDate]])</f>
        <v>10</v>
      </c>
      <c r="N1132" s="8" t="str">
        <f>TEXT(Clean_Data[[#This Row],[OrderDate]],"mmm")</f>
        <v>Oct</v>
      </c>
      <c r="O1132" s="8" t="str">
        <f>TEXT(Clean_Data[[#This Row],[OrderDate]], "yyyy-mm")</f>
        <v>2018-10</v>
      </c>
      <c r="P1132" s="7">
        <f>Clean_Data[[#This Row],[Profit]]/Clean_Data[[#This Row],[Revenue ]]</f>
        <v>0.3559322033898305</v>
      </c>
      <c r="Q1132" t="str">
        <f>"Q"&amp;ROUNDUP(MONTH(Clean_Data[[#This Row],[OrderDate]])/3,0)</f>
        <v>Q4</v>
      </c>
      <c r="R1132" t="str">
        <f>TEXT(Clean_Data[[#This Row],[OrderDate]], "dddd")</f>
        <v>Monday</v>
      </c>
    </row>
    <row r="1133" spans="1:18" x14ac:dyDescent="0.25">
      <c r="A1133" t="s">
        <v>356</v>
      </c>
      <c r="B1133" s="4">
        <v>57</v>
      </c>
      <c r="C1133" s="4">
        <v>27</v>
      </c>
      <c r="D1133" s="3">
        <v>2</v>
      </c>
      <c r="E1133" t="s">
        <v>895</v>
      </c>
      <c r="F1133" t="s">
        <v>909</v>
      </c>
      <c r="G1133" t="s">
        <v>898</v>
      </c>
      <c r="H1133" s="6">
        <f>_xlfn.XLOOKUP(A1133,Orders[OrderID],Orders[OrderDate])</f>
        <v>43127</v>
      </c>
      <c r="I1133" t="str">
        <f>_xlfn.XLOOKUP(A1133,Orders[OrderID],Orders[CustomerName])</f>
        <v>Shivangi</v>
      </c>
      <c r="J1133" t="str">
        <f>_xlfn.XLOOKUP(A1133,Orders[OrderID],Orders[State])</f>
        <v>Madhya Pradesh</v>
      </c>
      <c r="K1133" t="str">
        <f>_xlfn.XLOOKUP(A1133,Orders[OrderID],Orders[City])</f>
        <v>Indore</v>
      </c>
      <c r="L1133" s="3">
        <f>YEAR(Clean_Data[[#This Row],[OrderDate]])</f>
        <v>2018</v>
      </c>
      <c r="M1133" s="3">
        <f>MONTH(Clean_Data[[#This Row],[OrderDate]])</f>
        <v>1</v>
      </c>
      <c r="N1133" s="8" t="str">
        <f>TEXT(Clean_Data[[#This Row],[OrderDate]],"mmm")</f>
        <v>Jan</v>
      </c>
      <c r="O1133" s="8" t="str">
        <f>TEXT(Clean_Data[[#This Row],[OrderDate]], "yyyy-mm")</f>
        <v>2018-01</v>
      </c>
      <c r="P1133" s="7">
        <f>Clean_Data[[#This Row],[Profit]]/Clean_Data[[#This Row],[Revenue ]]</f>
        <v>0.47368421052631576</v>
      </c>
      <c r="Q1133" t="str">
        <f>"Q"&amp;ROUNDUP(MONTH(Clean_Data[[#This Row],[OrderDate]])/3,0)</f>
        <v>Q1</v>
      </c>
      <c r="R1133" t="str">
        <f>TEXT(Clean_Data[[#This Row],[OrderDate]], "dddd")</f>
        <v>Saturday</v>
      </c>
    </row>
    <row r="1134" spans="1:18" x14ac:dyDescent="0.25">
      <c r="A1134" t="s">
        <v>442</v>
      </c>
      <c r="B1134" s="4">
        <v>17</v>
      </c>
      <c r="C1134" s="4">
        <v>6</v>
      </c>
      <c r="D1134" s="3">
        <v>1</v>
      </c>
      <c r="E1134" t="s">
        <v>895</v>
      </c>
      <c r="F1134" t="s">
        <v>903</v>
      </c>
      <c r="G1134" t="s">
        <v>898</v>
      </c>
      <c r="H1134" s="6">
        <f>_xlfn.XLOOKUP(A1134,Orders[OrderID],Orders[OrderDate])</f>
        <v>43262</v>
      </c>
      <c r="I1134" t="str">
        <f>_xlfn.XLOOKUP(A1134,Orders[OrderID],Orders[CustomerName])</f>
        <v>Sanjna</v>
      </c>
      <c r="J1134" t="str">
        <f>_xlfn.XLOOKUP(A1134,Orders[OrderID],Orders[State])</f>
        <v>Maharashtra</v>
      </c>
      <c r="K1134" t="str">
        <f>_xlfn.XLOOKUP(A1134,Orders[OrderID],Orders[City])</f>
        <v>Mumbai</v>
      </c>
      <c r="L1134" s="3">
        <f>YEAR(Clean_Data[[#This Row],[OrderDate]])</f>
        <v>2018</v>
      </c>
      <c r="M1134" s="3">
        <f>MONTH(Clean_Data[[#This Row],[OrderDate]])</f>
        <v>6</v>
      </c>
      <c r="N1134" s="8" t="str">
        <f>TEXT(Clean_Data[[#This Row],[OrderDate]],"mmm")</f>
        <v>Jun</v>
      </c>
      <c r="O1134" s="8" t="str">
        <f>TEXT(Clean_Data[[#This Row],[OrderDate]], "yyyy-mm")</f>
        <v>2018-06</v>
      </c>
      <c r="P1134" s="7">
        <f>Clean_Data[[#This Row],[Profit]]/Clean_Data[[#This Row],[Revenue ]]</f>
        <v>0.35294117647058826</v>
      </c>
      <c r="Q1134" t="str">
        <f>"Q"&amp;ROUNDUP(MONTH(Clean_Data[[#This Row],[OrderDate]])/3,0)</f>
        <v>Q2</v>
      </c>
      <c r="R1134" t="str">
        <f>TEXT(Clean_Data[[#This Row],[OrderDate]], "dddd")</f>
        <v>Monday</v>
      </c>
    </row>
    <row r="1135" spans="1:18" x14ac:dyDescent="0.25">
      <c r="A1135" t="s">
        <v>493</v>
      </c>
      <c r="B1135" s="4">
        <v>40</v>
      </c>
      <c r="C1135" s="4">
        <v>10</v>
      </c>
      <c r="D1135" s="3">
        <v>2</v>
      </c>
      <c r="E1135" t="s">
        <v>895</v>
      </c>
      <c r="F1135" t="s">
        <v>903</v>
      </c>
      <c r="G1135" t="s">
        <v>887</v>
      </c>
      <c r="H1135" s="6">
        <f>_xlfn.XLOOKUP(A1135,Orders[OrderID],Orders[OrderDate])</f>
        <v>43185</v>
      </c>
      <c r="I1135" t="str">
        <f>_xlfn.XLOOKUP(A1135,Orders[OrderID],Orders[CustomerName])</f>
        <v>Vandana</v>
      </c>
      <c r="J1135" t="str">
        <f>_xlfn.XLOOKUP(A1135,Orders[OrderID],Orders[State])</f>
        <v>Himachal Pradesh</v>
      </c>
      <c r="K1135" t="str">
        <f>_xlfn.XLOOKUP(A1135,Orders[OrderID],Orders[City])</f>
        <v>Simla</v>
      </c>
      <c r="L1135" s="3">
        <f>YEAR(Clean_Data[[#This Row],[OrderDate]])</f>
        <v>2018</v>
      </c>
      <c r="M1135" s="3">
        <f>MONTH(Clean_Data[[#This Row],[OrderDate]])</f>
        <v>3</v>
      </c>
      <c r="N1135" s="8" t="str">
        <f>TEXT(Clean_Data[[#This Row],[OrderDate]],"mmm")</f>
        <v>Mar</v>
      </c>
      <c r="O1135" s="8" t="str">
        <f>TEXT(Clean_Data[[#This Row],[OrderDate]], "yyyy-mm")</f>
        <v>2018-03</v>
      </c>
      <c r="P1135" s="7">
        <f>Clean_Data[[#This Row],[Profit]]/Clean_Data[[#This Row],[Revenue ]]</f>
        <v>0.25</v>
      </c>
      <c r="Q1135" t="str">
        <f>"Q"&amp;ROUNDUP(MONTH(Clean_Data[[#This Row],[OrderDate]])/3,0)</f>
        <v>Q1</v>
      </c>
      <c r="R1135" t="str">
        <f>TEXT(Clean_Data[[#This Row],[OrderDate]], "dddd")</f>
        <v>Monday</v>
      </c>
    </row>
    <row r="1136" spans="1:18" x14ac:dyDescent="0.25">
      <c r="A1136" t="s">
        <v>273</v>
      </c>
      <c r="B1136" s="4">
        <v>349</v>
      </c>
      <c r="C1136" s="4">
        <v>-24</v>
      </c>
      <c r="D1136" s="3">
        <v>2</v>
      </c>
      <c r="E1136" t="s">
        <v>895</v>
      </c>
      <c r="F1136" t="s">
        <v>897</v>
      </c>
      <c r="G1136" t="s">
        <v>907</v>
      </c>
      <c r="H1136" s="6">
        <f>_xlfn.XLOOKUP(A1136,Orders[OrderID],Orders[OrderDate])</f>
        <v>43340</v>
      </c>
      <c r="I1136" t="str">
        <f>_xlfn.XLOOKUP(A1136,Orders[OrderID],Orders[CustomerName])</f>
        <v>Sanjova</v>
      </c>
      <c r="J1136" t="str">
        <f>_xlfn.XLOOKUP(A1136,Orders[OrderID],Orders[State])</f>
        <v>Maharashtra</v>
      </c>
      <c r="K1136" t="str">
        <f>_xlfn.XLOOKUP(A1136,Orders[OrderID],Orders[City])</f>
        <v>Pune</v>
      </c>
      <c r="L1136" s="3">
        <f>YEAR(Clean_Data[[#This Row],[OrderDate]])</f>
        <v>2018</v>
      </c>
      <c r="M1136" s="3">
        <f>MONTH(Clean_Data[[#This Row],[OrderDate]])</f>
        <v>8</v>
      </c>
      <c r="N1136" s="8" t="str">
        <f>TEXT(Clean_Data[[#This Row],[OrderDate]],"mmm")</f>
        <v>Aug</v>
      </c>
      <c r="O1136" s="8" t="str">
        <f>TEXT(Clean_Data[[#This Row],[OrderDate]], "yyyy-mm")</f>
        <v>2018-08</v>
      </c>
      <c r="P1136" s="7">
        <f>Clean_Data[[#This Row],[Profit]]/Clean_Data[[#This Row],[Revenue ]]</f>
        <v>-6.8767908309455589E-2</v>
      </c>
      <c r="Q1136" t="str">
        <f>"Q"&amp;ROUNDUP(MONTH(Clean_Data[[#This Row],[OrderDate]])/3,0)</f>
        <v>Q3</v>
      </c>
      <c r="R1136" t="str">
        <f>TEXT(Clean_Data[[#This Row],[OrderDate]], "dddd")</f>
        <v>Tuesday</v>
      </c>
    </row>
    <row r="1137" spans="1:18" x14ac:dyDescent="0.25">
      <c r="A1137" t="s">
        <v>472</v>
      </c>
      <c r="B1137" s="4">
        <v>335</v>
      </c>
      <c r="C1137" s="4">
        <v>-22</v>
      </c>
      <c r="D1137" s="3">
        <v>7</v>
      </c>
      <c r="E1137" t="s">
        <v>888</v>
      </c>
      <c r="F1137" t="s">
        <v>889</v>
      </c>
      <c r="G1137" t="s">
        <v>898</v>
      </c>
      <c r="H1137" s="6">
        <f>_xlfn.XLOOKUP(A1137,Orders[OrderID],Orders[OrderDate])</f>
        <v>43358</v>
      </c>
      <c r="I1137" t="str">
        <f>_xlfn.XLOOKUP(A1137,Orders[OrderID],Orders[CustomerName])</f>
        <v>Aayushi</v>
      </c>
      <c r="J1137" t="str">
        <f>_xlfn.XLOOKUP(A1137,Orders[OrderID],Orders[State])</f>
        <v>Maharashtra</v>
      </c>
      <c r="K1137" t="str">
        <f>_xlfn.XLOOKUP(A1137,Orders[OrderID],Orders[City])</f>
        <v>Mumbai</v>
      </c>
      <c r="L1137" s="3">
        <f>YEAR(Clean_Data[[#This Row],[OrderDate]])</f>
        <v>2018</v>
      </c>
      <c r="M1137" s="3">
        <f>MONTH(Clean_Data[[#This Row],[OrderDate]])</f>
        <v>9</v>
      </c>
      <c r="N1137" s="8" t="str">
        <f>TEXT(Clean_Data[[#This Row],[OrderDate]],"mmm")</f>
        <v>Sep</v>
      </c>
      <c r="O1137" s="8" t="str">
        <f>TEXT(Clean_Data[[#This Row],[OrderDate]], "yyyy-mm")</f>
        <v>2018-09</v>
      </c>
      <c r="P1137" s="7">
        <f>Clean_Data[[#This Row],[Profit]]/Clean_Data[[#This Row],[Revenue ]]</f>
        <v>-6.5671641791044774E-2</v>
      </c>
      <c r="Q1137" t="str">
        <f>"Q"&amp;ROUNDUP(MONTH(Clean_Data[[#This Row],[OrderDate]])/3,0)</f>
        <v>Q3</v>
      </c>
      <c r="R1137" t="str">
        <f>TEXT(Clean_Data[[#This Row],[OrderDate]], "dddd")</f>
        <v>Saturday</v>
      </c>
    </row>
    <row r="1138" spans="1:18" x14ac:dyDescent="0.25">
      <c r="A1138" t="s">
        <v>419</v>
      </c>
      <c r="B1138" s="4">
        <v>40</v>
      </c>
      <c r="C1138" s="4">
        <v>16</v>
      </c>
      <c r="D1138" s="3">
        <v>3</v>
      </c>
      <c r="E1138" t="s">
        <v>895</v>
      </c>
      <c r="F1138" t="s">
        <v>899</v>
      </c>
      <c r="G1138" t="s">
        <v>887</v>
      </c>
      <c r="H1138" s="6">
        <f>_xlfn.XLOOKUP(A1138,Orders[OrderID],Orders[OrderDate])</f>
        <v>43412</v>
      </c>
      <c r="I1138" t="str">
        <f>_xlfn.XLOOKUP(A1138,Orders[OrderID],Orders[CustomerName])</f>
        <v>Shubham</v>
      </c>
      <c r="J1138" t="str">
        <f>_xlfn.XLOOKUP(A1138,Orders[OrderID],Orders[State])</f>
        <v>Maharashtra</v>
      </c>
      <c r="K1138" t="str">
        <f>_xlfn.XLOOKUP(A1138,Orders[OrderID],Orders[City])</f>
        <v>Pune</v>
      </c>
      <c r="L1138" s="3">
        <f>YEAR(Clean_Data[[#This Row],[OrderDate]])</f>
        <v>2018</v>
      </c>
      <c r="M1138" s="3">
        <f>MONTH(Clean_Data[[#This Row],[OrderDate]])</f>
        <v>11</v>
      </c>
      <c r="N1138" s="8" t="str">
        <f>TEXT(Clean_Data[[#This Row],[OrderDate]],"mmm")</f>
        <v>Nov</v>
      </c>
      <c r="O1138" s="8" t="str">
        <f>TEXT(Clean_Data[[#This Row],[OrderDate]], "yyyy-mm")</f>
        <v>2018-11</v>
      </c>
      <c r="P1138" s="7">
        <f>Clean_Data[[#This Row],[Profit]]/Clean_Data[[#This Row],[Revenue ]]</f>
        <v>0.4</v>
      </c>
      <c r="Q1138" t="str">
        <f>"Q"&amp;ROUNDUP(MONTH(Clean_Data[[#This Row],[OrderDate]])/3,0)</f>
        <v>Q4</v>
      </c>
      <c r="R1138" t="str">
        <f>TEXT(Clean_Data[[#This Row],[OrderDate]], "dddd")</f>
        <v>Thursday</v>
      </c>
    </row>
    <row r="1139" spans="1:18" x14ac:dyDescent="0.25">
      <c r="A1139" t="s">
        <v>119</v>
      </c>
      <c r="B1139" s="4">
        <v>40</v>
      </c>
      <c r="C1139" s="4">
        <v>17</v>
      </c>
      <c r="D1139" s="3">
        <v>2</v>
      </c>
      <c r="E1139" t="s">
        <v>895</v>
      </c>
      <c r="F1139" t="s">
        <v>903</v>
      </c>
      <c r="G1139" t="s">
        <v>887</v>
      </c>
      <c r="H1139" s="6">
        <f>_xlfn.XLOOKUP(A1139,Orders[OrderID],Orders[OrderDate])</f>
        <v>43185</v>
      </c>
      <c r="I1139" t="str">
        <f>_xlfn.XLOOKUP(A1139,Orders[OrderID],Orders[CustomerName])</f>
        <v>Shrichand</v>
      </c>
      <c r="J1139" t="str">
        <f>_xlfn.XLOOKUP(A1139,Orders[OrderID],Orders[State])</f>
        <v>Punjab</v>
      </c>
      <c r="K1139" t="str">
        <f>_xlfn.XLOOKUP(A1139,Orders[OrderID],Orders[City])</f>
        <v>Chandigarh</v>
      </c>
      <c r="L1139" s="3">
        <f>YEAR(Clean_Data[[#This Row],[OrderDate]])</f>
        <v>2018</v>
      </c>
      <c r="M1139" s="3">
        <f>MONTH(Clean_Data[[#This Row],[OrderDate]])</f>
        <v>3</v>
      </c>
      <c r="N1139" s="8" t="str">
        <f>TEXT(Clean_Data[[#This Row],[OrderDate]],"mmm")</f>
        <v>Mar</v>
      </c>
      <c r="O1139" s="8" t="str">
        <f>TEXT(Clean_Data[[#This Row],[OrderDate]], "yyyy-mm")</f>
        <v>2018-03</v>
      </c>
      <c r="P1139" s="7">
        <f>Clean_Data[[#This Row],[Profit]]/Clean_Data[[#This Row],[Revenue ]]</f>
        <v>0.42499999999999999</v>
      </c>
      <c r="Q1139" t="str">
        <f>"Q"&amp;ROUNDUP(MONTH(Clean_Data[[#This Row],[OrderDate]])/3,0)</f>
        <v>Q1</v>
      </c>
      <c r="R1139" t="str">
        <f>TEXT(Clean_Data[[#This Row],[OrderDate]], "dddd")</f>
        <v>Monday</v>
      </c>
    </row>
    <row r="1140" spans="1:18" x14ac:dyDescent="0.25">
      <c r="A1140" t="s">
        <v>641</v>
      </c>
      <c r="B1140" s="4">
        <v>40</v>
      </c>
      <c r="C1140" s="4">
        <v>-7</v>
      </c>
      <c r="D1140" s="3">
        <v>3</v>
      </c>
      <c r="E1140" t="s">
        <v>895</v>
      </c>
      <c r="F1140" t="s">
        <v>903</v>
      </c>
      <c r="G1140" t="s">
        <v>887</v>
      </c>
      <c r="H1140" s="6">
        <f>_xlfn.XLOOKUP(A1140,Orders[OrderID],Orders[OrderDate])</f>
        <v>43214</v>
      </c>
      <c r="I1140" t="str">
        <f>_xlfn.XLOOKUP(A1140,Orders[OrderID],Orders[CustomerName])</f>
        <v>Sahil</v>
      </c>
      <c r="J1140" t="str">
        <f>_xlfn.XLOOKUP(A1140,Orders[OrderID],Orders[State])</f>
        <v>Punjab</v>
      </c>
      <c r="K1140" t="str">
        <f>_xlfn.XLOOKUP(A1140,Orders[OrderID],Orders[City])</f>
        <v>Chandigarh</v>
      </c>
      <c r="L1140" s="3">
        <f>YEAR(Clean_Data[[#This Row],[OrderDate]])</f>
        <v>2018</v>
      </c>
      <c r="M1140" s="3">
        <f>MONTH(Clean_Data[[#This Row],[OrderDate]])</f>
        <v>4</v>
      </c>
      <c r="N1140" s="8" t="str">
        <f>TEXT(Clean_Data[[#This Row],[OrderDate]],"mmm")</f>
        <v>Apr</v>
      </c>
      <c r="O1140" s="8" t="str">
        <f>TEXT(Clean_Data[[#This Row],[OrderDate]], "yyyy-mm")</f>
        <v>2018-04</v>
      </c>
      <c r="P1140" s="7">
        <f>Clean_Data[[#This Row],[Profit]]/Clean_Data[[#This Row],[Revenue ]]</f>
        <v>-0.17499999999999999</v>
      </c>
      <c r="Q1140" t="str">
        <f>"Q"&amp;ROUNDUP(MONTH(Clean_Data[[#This Row],[OrderDate]])/3,0)</f>
        <v>Q2</v>
      </c>
      <c r="R1140" t="str">
        <f>TEXT(Clean_Data[[#This Row],[OrderDate]], "dddd")</f>
        <v>Tuesday</v>
      </c>
    </row>
    <row r="1141" spans="1:18" x14ac:dyDescent="0.25">
      <c r="A1141" t="s">
        <v>269</v>
      </c>
      <c r="B1141" s="4">
        <v>352</v>
      </c>
      <c r="C1141" s="4">
        <v>74</v>
      </c>
      <c r="D1141" s="3">
        <v>8</v>
      </c>
      <c r="E1141" t="s">
        <v>895</v>
      </c>
      <c r="F1141" t="s">
        <v>903</v>
      </c>
      <c r="G1141" t="s">
        <v>907</v>
      </c>
      <c r="H1141" s="6">
        <f>_xlfn.XLOOKUP(A1141,Orders[OrderID],Orders[OrderDate])</f>
        <v>43136</v>
      </c>
      <c r="I1141" t="str">
        <f>_xlfn.XLOOKUP(A1141,Orders[OrderID],Orders[CustomerName])</f>
        <v>Diwakar</v>
      </c>
      <c r="J1141" t="str">
        <f>_xlfn.XLOOKUP(A1141,Orders[OrderID],Orders[State])</f>
        <v>Delhi</v>
      </c>
      <c r="K1141" t="str">
        <f>_xlfn.XLOOKUP(A1141,Orders[OrderID],Orders[City])</f>
        <v>Delhi</v>
      </c>
      <c r="L1141" s="3">
        <f>YEAR(Clean_Data[[#This Row],[OrderDate]])</f>
        <v>2018</v>
      </c>
      <c r="M1141" s="3">
        <f>MONTH(Clean_Data[[#This Row],[OrderDate]])</f>
        <v>2</v>
      </c>
      <c r="N1141" s="8" t="str">
        <f>TEXT(Clean_Data[[#This Row],[OrderDate]],"mmm")</f>
        <v>Feb</v>
      </c>
      <c r="O1141" s="8" t="str">
        <f>TEXT(Clean_Data[[#This Row],[OrderDate]], "yyyy-mm")</f>
        <v>2018-02</v>
      </c>
      <c r="P1141" s="7">
        <f>Clean_Data[[#This Row],[Profit]]/Clean_Data[[#This Row],[Revenue ]]</f>
        <v>0.21022727272727273</v>
      </c>
      <c r="Q1141" t="str">
        <f>"Q"&amp;ROUNDUP(MONTH(Clean_Data[[#This Row],[OrderDate]])/3,0)</f>
        <v>Q1</v>
      </c>
      <c r="R1141" t="str">
        <f>TEXT(Clean_Data[[#This Row],[OrderDate]], "dddd")</f>
        <v>Monday</v>
      </c>
    </row>
    <row r="1142" spans="1:18" x14ac:dyDescent="0.25">
      <c r="A1142" t="s">
        <v>659</v>
      </c>
      <c r="B1142" s="4">
        <v>55</v>
      </c>
      <c r="C1142" s="4">
        <v>-26</v>
      </c>
      <c r="D1142" s="3">
        <v>4</v>
      </c>
      <c r="E1142" t="s">
        <v>895</v>
      </c>
      <c r="F1142" t="s">
        <v>897</v>
      </c>
      <c r="G1142" t="s">
        <v>898</v>
      </c>
      <c r="H1142" s="6">
        <f>_xlfn.XLOOKUP(A1142,Orders[OrderID],Orders[OrderDate])</f>
        <v>43224</v>
      </c>
      <c r="I1142" t="str">
        <f>_xlfn.XLOOKUP(A1142,Orders[OrderID],Orders[CustomerName])</f>
        <v>Aditya</v>
      </c>
      <c r="J1142" t="str">
        <f>_xlfn.XLOOKUP(A1142,Orders[OrderID],Orders[State])</f>
        <v>Punjab</v>
      </c>
      <c r="K1142" t="str">
        <f>_xlfn.XLOOKUP(A1142,Orders[OrderID],Orders[City])</f>
        <v>Chandigarh</v>
      </c>
      <c r="L1142" s="3">
        <f>YEAR(Clean_Data[[#This Row],[OrderDate]])</f>
        <v>2018</v>
      </c>
      <c r="M1142" s="3">
        <f>MONTH(Clean_Data[[#This Row],[OrderDate]])</f>
        <v>5</v>
      </c>
      <c r="N1142" s="8" t="str">
        <f>TEXT(Clean_Data[[#This Row],[OrderDate]],"mmm")</f>
        <v>May</v>
      </c>
      <c r="O1142" s="8" t="str">
        <f>TEXT(Clean_Data[[#This Row],[OrderDate]], "yyyy-mm")</f>
        <v>2018-05</v>
      </c>
      <c r="P1142" s="7">
        <f>Clean_Data[[#This Row],[Profit]]/Clean_Data[[#This Row],[Revenue ]]</f>
        <v>-0.47272727272727272</v>
      </c>
      <c r="Q1142" t="str">
        <f>"Q"&amp;ROUNDUP(MONTH(Clean_Data[[#This Row],[OrderDate]])/3,0)</f>
        <v>Q2</v>
      </c>
      <c r="R1142" t="str">
        <f>TEXT(Clean_Data[[#This Row],[OrderDate]], "dddd")</f>
        <v>Friday</v>
      </c>
    </row>
    <row r="1143" spans="1:18" x14ac:dyDescent="0.25">
      <c r="A1143" t="s">
        <v>219</v>
      </c>
      <c r="B1143" s="4">
        <v>352</v>
      </c>
      <c r="C1143" s="4">
        <v>18</v>
      </c>
      <c r="D1143" s="3">
        <v>5</v>
      </c>
      <c r="E1143" t="s">
        <v>895</v>
      </c>
      <c r="F1143" t="s">
        <v>896</v>
      </c>
      <c r="G1143" t="s">
        <v>907</v>
      </c>
      <c r="H1143" s="6">
        <f>_xlfn.XLOOKUP(A1143,Orders[OrderID],Orders[OrderDate])</f>
        <v>43113</v>
      </c>
      <c r="I1143" t="str">
        <f>_xlfn.XLOOKUP(A1143,Orders[OrderID],Orders[CustomerName])</f>
        <v>Priyanka</v>
      </c>
      <c r="J1143" t="str">
        <f>_xlfn.XLOOKUP(A1143,Orders[OrderID],Orders[State])</f>
        <v>Madhya Pradesh</v>
      </c>
      <c r="K1143" t="str">
        <f>_xlfn.XLOOKUP(A1143,Orders[OrderID],Orders[City])</f>
        <v>Indore</v>
      </c>
      <c r="L1143" s="3">
        <f>YEAR(Clean_Data[[#This Row],[OrderDate]])</f>
        <v>2018</v>
      </c>
      <c r="M1143" s="3">
        <f>MONTH(Clean_Data[[#This Row],[OrderDate]])</f>
        <v>1</v>
      </c>
      <c r="N1143" s="8" t="str">
        <f>TEXT(Clean_Data[[#This Row],[OrderDate]],"mmm")</f>
        <v>Jan</v>
      </c>
      <c r="O1143" s="8" t="str">
        <f>TEXT(Clean_Data[[#This Row],[OrderDate]], "yyyy-mm")</f>
        <v>2018-01</v>
      </c>
      <c r="P1143" s="7">
        <f>Clean_Data[[#This Row],[Profit]]/Clean_Data[[#This Row],[Revenue ]]</f>
        <v>5.113636363636364E-2</v>
      </c>
      <c r="Q1143" t="str">
        <f>"Q"&amp;ROUNDUP(MONTH(Clean_Data[[#This Row],[OrderDate]])/3,0)</f>
        <v>Q1</v>
      </c>
      <c r="R1143" t="str">
        <f>TEXT(Clean_Data[[#This Row],[OrderDate]], "dddd")</f>
        <v>Saturday</v>
      </c>
    </row>
    <row r="1144" spans="1:18" x14ac:dyDescent="0.25">
      <c r="A1144" t="s">
        <v>341</v>
      </c>
      <c r="B1144" s="4">
        <v>53</v>
      </c>
      <c r="C1144" s="4">
        <v>-18</v>
      </c>
      <c r="D1144" s="3">
        <v>4</v>
      </c>
      <c r="E1144" t="s">
        <v>895</v>
      </c>
      <c r="F1144" t="s">
        <v>906</v>
      </c>
      <c r="G1144" t="s">
        <v>898</v>
      </c>
      <c r="H1144" s="6">
        <f>_xlfn.XLOOKUP(A1144,Orders[OrderID],Orders[OrderDate])</f>
        <v>43286</v>
      </c>
      <c r="I1144" t="str">
        <f>_xlfn.XLOOKUP(A1144,Orders[OrderID],Orders[CustomerName])</f>
        <v>Megha</v>
      </c>
      <c r="J1144" t="str">
        <f>_xlfn.XLOOKUP(A1144,Orders[OrderID],Orders[State])</f>
        <v>Maharashtra</v>
      </c>
      <c r="K1144" t="str">
        <f>_xlfn.XLOOKUP(A1144,Orders[OrderID],Orders[City])</f>
        <v>Pune</v>
      </c>
      <c r="L1144" s="3">
        <f>YEAR(Clean_Data[[#This Row],[OrderDate]])</f>
        <v>2018</v>
      </c>
      <c r="M1144" s="3">
        <f>MONTH(Clean_Data[[#This Row],[OrderDate]])</f>
        <v>7</v>
      </c>
      <c r="N1144" s="8" t="str">
        <f>TEXT(Clean_Data[[#This Row],[OrderDate]],"mmm")</f>
        <v>Jul</v>
      </c>
      <c r="O1144" s="8" t="str">
        <f>TEXT(Clean_Data[[#This Row],[OrderDate]], "yyyy-mm")</f>
        <v>2018-07</v>
      </c>
      <c r="P1144" s="7">
        <f>Clean_Data[[#This Row],[Profit]]/Clean_Data[[#This Row],[Revenue ]]</f>
        <v>-0.33962264150943394</v>
      </c>
      <c r="Q1144" t="str">
        <f>"Q"&amp;ROUNDUP(MONTH(Clean_Data[[#This Row],[OrderDate]])/3,0)</f>
        <v>Q3</v>
      </c>
      <c r="R1144" t="str">
        <f>TEXT(Clean_Data[[#This Row],[OrderDate]], "dddd")</f>
        <v>Thursday</v>
      </c>
    </row>
    <row r="1145" spans="1:18" x14ac:dyDescent="0.25">
      <c r="A1145" t="s">
        <v>375</v>
      </c>
      <c r="B1145" s="4">
        <v>51</v>
      </c>
      <c r="C1145" s="4">
        <v>7</v>
      </c>
      <c r="D1145" s="3">
        <v>2</v>
      </c>
      <c r="E1145" t="s">
        <v>888</v>
      </c>
      <c r="F1145" t="s">
        <v>908</v>
      </c>
      <c r="G1145" t="s">
        <v>898</v>
      </c>
      <c r="H1145" s="6">
        <f>_xlfn.XLOOKUP(A1145,Orders[OrderID],Orders[OrderDate])</f>
        <v>43261</v>
      </c>
      <c r="I1145" t="str">
        <f>_xlfn.XLOOKUP(A1145,Orders[OrderID],Orders[CustomerName])</f>
        <v>Sheetal</v>
      </c>
      <c r="J1145" t="str">
        <f>_xlfn.XLOOKUP(A1145,Orders[OrderID],Orders[State])</f>
        <v>Madhya Pradesh</v>
      </c>
      <c r="K1145" t="str">
        <f>_xlfn.XLOOKUP(A1145,Orders[OrderID],Orders[City])</f>
        <v>Indore</v>
      </c>
      <c r="L1145" s="3">
        <f>YEAR(Clean_Data[[#This Row],[OrderDate]])</f>
        <v>2018</v>
      </c>
      <c r="M1145" s="3">
        <f>MONTH(Clean_Data[[#This Row],[OrderDate]])</f>
        <v>6</v>
      </c>
      <c r="N1145" s="8" t="str">
        <f>TEXT(Clean_Data[[#This Row],[OrderDate]],"mmm")</f>
        <v>Jun</v>
      </c>
      <c r="O1145" s="8" t="str">
        <f>TEXT(Clean_Data[[#This Row],[OrderDate]], "yyyy-mm")</f>
        <v>2018-06</v>
      </c>
      <c r="P1145" s="7">
        <f>Clean_Data[[#This Row],[Profit]]/Clean_Data[[#This Row],[Revenue ]]</f>
        <v>0.13725490196078433</v>
      </c>
      <c r="Q1145" t="str">
        <f>"Q"&amp;ROUNDUP(MONTH(Clean_Data[[#This Row],[OrderDate]])/3,0)</f>
        <v>Q2</v>
      </c>
      <c r="R1145" t="str">
        <f>TEXT(Clean_Data[[#This Row],[OrderDate]], "dddd")</f>
        <v>Sunday</v>
      </c>
    </row>
    <row r="1146" spans="1:18" x14ac:dyDescent="0.25">
      <c r="A1146" t="s">
        <v>775</v>
      </c>
      <c r="B1146" s="4">
        <v>40</v>
      </c>
      <c r="C1146" s="4">
        <v>-37</v>
      </c>
      <c r="D1146" s="3">
        <v>3</v>
      </c>
      <c r="E1146" t="s">
        <v>895</v>
      </c>
      <c r="F1146" t="s">
        <v>903</v>
      </c>
      <c r="G1146" t="s">
        <v>887</v>
      </c>
      <c r="H1146" s="6">
        <f>_xlfn.XLOOKUP(A1146,Orders[OrderID],Orders[OrderDate])</f>
        <v>43315</v>
      </c>
      <c r="I1146" t="str">
        <f>_xlfn.XLOOKUP(A1146,Orders[OrderID],Orders[CustomerName])</f>
        <v>Rane</v>
      </c>
      <c r="J1146" t="str">
        <f>_xlfn.XLOOKUP(A1146,Orders[OrderID],Orders[State])</f>
        <v>Maharashtra</v>
      </c>
      <c r="K1146" t="str">
        <f>_xlfn.XLOOKUP(A1146,Orders[OrderID],Orders[City])</f>
        <v>Mumbai</v>
      </c>
      <c r="L1146" s="3">
        <f>YEAR(Clean_Data[[#This Row],[OrderDate]])</f>
        <v>2018</v>
      </c>
      <c r="M1146" s="3">
        <f>MONTH(Clean_Data[[#This Row],[OrderDate]])</f>
        <v>8</v>
      </c>
      <c r="N1146" s="8" t="str">
        <f>TEXT(Clean_Data[[#This Row],[OrderDate]],"mmm")</f>
        <v>Aug</v>
      </c>
      <c r="O1146" s="8" t="str">
        <f>TEXT(Clean_Data[[#This Row],[OrderDate]], "yyyy-mm")</f>
        <v>2018-08</v>
      </c>
      <c r="P1146" s="7">
        <f>Clean_Data[[#This Row],[Profit]]/Clean_Data[[#This Row],[Revenue ]]</f>
        <v>-0.92500000000000004</v>
      </c>
      <c r="Q1146" t="str">
        <f>"Q"&amp;ROUNDUP(MONTH(Clean_Data[[#This Row],[OrderDate]])/3,0)</f>
        <v>Q3</v>
      </c>
      <c r="R1146" t="str">
        <f>TEXT(Clean_Data[[#This Row],[OrderDate]], "dddd")</f>
        <v>Friday</v>
      </c>
    </row>
    <row r="1147" spans="1:18" x14ac:dyDescent="0.25">
      <c r="A1147" t="s">
        <v>10</v>
      </c>
      <c r="B1147" s="4">
        <v>39</v>
      </c>
      <c r="C1147" s="4">
        <v>14</v>
      </c>
      <c r="D1147" s="3">
        <v>5</v>
      </c>
      <c r="E1147" t="s">
        <v>895</v>
      </c>
      <c r="F1147" t="s">
        <v>904</v>
      </c>
      <c r="G1147" t="s">
        <v>887</v>
      </c>
      <c r="H1147" s="6">
        <f>_xlfn.XLOOKUP(A1147,Orders[OrderID],Orders[OrderDate])</f>
        <v>43124</v>
      </c>
      <c r="I1147" t="str">
        <f>_xlfn.XLOOKUP(A1147,Orders[OrderID],Orders[CustomerName])</f>
        <v>Madan Mohan</v>
      </c>
      <c r="J1147" t="str">
        <f>_xlfn.XLOOKUP(A1147,Orders[OrderID],Orders[State])</f>
        <v>Uttar Pradesh</v>
      </c>
      <c r="K1147" t="str">
        <f>_xlfn.XLOOKUP(A1147,Orders[OrderID],Orders[City])</f>
        <v>Mathura</v>
      </c>
      <c r="L1147" s="3">
        <f>YEAR(Clean_Data[[#This Row],[OrderDate]])</f>
        <v>2018</v>
      </c>
      <c r="M1147" s="3">
        <f>MONTH(Clean_Data[[#This Row],[OrderDate]])</f>
        <v>1</v>
      </c>
      <c r="N1147" s="8" t="str">
        <f>TEXT(Clean_Data[[#This Row],[OrderDate]],"mmm")</f>
        <v>Jan</v>
      </c>
      <c r="O1147" s="8" t="str">
        <f>TEXT(Clean_Data[[#This Row],[OrderDate]], "yyyy-mm")</f>
        <v>2018-01</v>
      </c>
      <c r="P1147" s="7">
        <f>Clean_Data[[#This Row],[Profit]]/Clean_Data[[#This Row],[Revenue ]]</f>
        <v>0.35897435897435898</v>
      </c>
      <c r="Q1147" t="str">
        <f>"Q"&amp;ROUNDUP(MONTH(Clean_Data[[#This Row],[OrderDate]])/3,0)</f>
        <v>Q1</v>
      </c>
      <c r="R1147" t="str">
        <f>TEXT(Clean_Data[[#This Row],[OrderDate]], "dddd")</f>
        <v>Wednesday</v>
      </c>
    </row>
    <row r="1148" spans="1:18" x14ac:dyDescent="0.25">
      <c r="A1148" t="s">
        <v>457</v>
      </c>
      <c r="B1148" s="4">
        <v>355</v>
      </c>
      <c r="C1148" s="4">
        <v>-4</v>
      </c>
      <c r="D1148" s="3">
        <v>2</v>
      </c>
      <c r="E1148" t="s">
        <v>895</v>
      </c>
      <c r="F1148" t="s">
        <v>897</v>
      </c>
      <c r="G1148" t="s">
        <v>907</v>
      </c>
      <c r="H1148" s="6">
        <f>_xlfn.XLOOKUP(A1148,Orders[OrderID],Orders[OrderDate])</f>
        <v>43345</v>
      </c>
      <c r="I1148" t="str">
        <f>_xlfn.XLOOKUP(A1148,Orders[OrderID],Orders[CustomerName])</f>
        <v>Surbhi</v>
      </c>
      <c r="J1148" t="str">
        <f>_xlfn.XLOOKUP(A1148,Orders[OrderID],Orders[State])</f>
        <v>Maharashtra</v>
      </c>
      <c r="K1148" t="str">
        <f>_xlfn.XLOOKUP(A1148,Orders[OrderID],Orders[City])</f>
        <v>Mumbai</v>
      </c>
      <c r="L1148" s="3">
        <f>YEAR(Clean_Data[[#This Row],[OrderDate]])</f>
        <v>2018</v>
      </c>
      <c r="M1148" s="3">
        <f>MONTH(Clean_Data[[#This Row],[OrderDate]])</f>
        <v>9</v>
      </c>
      <c r="N1148" s="8" t="str">
        <f>TEXT(Clean_Data[[#This Row],[OrderDate]],"mmm")</f>
        <v>Sep</v>
      </c>
      <c r="O1148" s="8" t="str">
        <f>TEXT(Clean_Data[[#This Row],[OrderDate]], "yyyy-mm")</f>
        <v>2018-09</v>
      </c>
      <c r="P1148" s="7">
        <f>Clean_Data[[#This Row],[Profit]]/Clean_Data[[#This Row],[Revenue ]]</f>
        <v>-1.1267605633802818E-2</v>
      </c>
      <c r="Q1148" t="str">
        <f>"Q"&amp;ROUNDUP(MONTH(Clean_Data[[#This Row],[OrderDate]])/3,0)</f>
        <v>Q3</v>
      </c>
      <c r="R1148" t="str">
        <f>TEXT(Clean_Data[[#This Row],[OrderDate]], "dddd")</f>
        <v>Sunday</v>
      </c>
    </row>
    <row r="1149" spans="1:18" x14ac:dyDescent="0.25">
      <c r="A1149" t="s">
        <v>442</v>
      </c>
      <c r="B1149" s="4">
        <v>357</v>
      </c>
      <c r="C1149" s="4">
        <v>139</v>
      </c>
      <c r="D1149" s="3">
        <v>2</v>
      </c>
      <c r="E1149" t="s">
        <v>895</v>
      </c>
      <c r="F1149" t="s">
        <v>897</v>
      </c>
      <c r="G1149" t="s">
        <v>907</v>
      </c>
      <c r="H1149" s="6">
        <f>_xlfn.XLOOKUP(A1149,Orders[OrderID],Orders[OrderDate])</f>
        <v>43262</v>
      </c>
      <c r="I1149" t="str">
        <f>_xlfn.XLOOKUP(A1149,Orders[OrderID],Orders[CustomerName])</f>
        <v>Sanjna</v>
      </c>
      <c r="J1149" t="str">
        <f>_xlfn.XLOOKUP(A1149,Orders[OrderID],Orders[State])</f>
        <v>Maharashtra</v>
      </c>
      <c r="K1149" t="str">
        <f>_xlfn.XLOOKUP(A1149,Orders[OrderID],Orders[City])</f>
        <v>Mumbai</v>
      </c>
      <c r="L1149" s="3">
        <f>YEAR(Clean_Data[[#This Row],[OrderDate]])</f>
        <v>2018</v>
      </c>
      <c r="M1149" s="3">
        <f>MONTH(Clean_Data[[#This Row],[OrderDate]])</f>
        <v>6</v>
      </c>
      <c r="N1149" s="8" t="str">
        <f>TEXT(Clean_Data[[#This Row],[OrderDate]],"mmm")</f>
        <v>Jun</v>
      </c>
      <c r="O1149" s="8" t="str">
        <f>TEXT(Clean_Data[[#This Row],[OrderDate]], "yyyy-mm")</f>
        <v>2018-06</v>
      </c>
      <c r="P1149" s="7">
        <f>Clean_Data[[#This Row],[Profit]]/Clean_Data[[#This Row],[Revenue ]]</f>
        <v>0.38935574229691877</v>
      </c>
      <c r="Q1149" t="str">
        <f>"Q"&amp;ROUNDUP(MONTH(Clean_Data[[#This Row],[OrderDate]])/3,0)</f>
        <v>Q2</v>
      </c>
      <c r="R1149" t="str">
        <f>TEXT(Clean_Data[[#This Row],[OrderDate]], "dddd")</f>
        <v>Monday</v>
      </c>
    </row>
    <row r="1150" spans="1:18" x14ac:dyDescent="0.25">
      <c r="A1150" t="s">
        <v>134</v>
      </c>
      <c r="B1150" s="4">
        <v>38</v>
      </c>
      <c r="C1150" s="4">
        <v>18</v>
      </c>
      <c r="D1150" s="3">
        <v>1</v>
      </c>
      <c r="E1150" t="s">
        <v>895</v>
      </c>
      <c r="F1150" t="s">
        <v>900</v>
      </c>
      <c r="G1150" t="s">
        <v>887</v>
      </c>
      <c r="H1150" s="6">
        <f>_xlfn.XLOOKUP(A1150,Orders[OrderID],Orders[OrderDate])</f>
        <v>43193</v>
      </c>
      <c r="I1150" t="str">
        <f>_xlfn.XLOOKUP(A1150,Orders[OrderID],Orders[CustomerName])</f>
        <v>Jahan</v>
      </c>
      <c r="J1150" t="str">
        <f>_xlfn.XLOOKUP(A1150,Orders[OrderID],Orders[State])</f>
        <v>Madhya Pradesh</v>
      </c>
      <c r="K1150" t="str">
        <f>_xlfn.XLOOKUP(A1150,Orders[OrderID],Orders[City])</f>
        <v>Bhopal</v>
      </c>
      <c r="L1150" s="3">
        <f>YEAR(Clean_Data[[#This Row],[OrderDate]])</f>
        <v>2018</v>
      </c>
      <c r="M1150" s="3">
        <f>MONTH(Clean_Data[[#This Row],[OrderDate]])</f>
        <v>4</v>
      </c>
      <c r="N1150" s="8" t="str">
        <f>TEXT(Clean_Data[[#This Row],[OrderDate]],"mmm")</f>
        <v>Apr</v>
      </c>
      <c r="O1150" s="8" t="str">
        <f>TEXT(Clean_Data[[#This Row],[OrderDate]], "yyyy-mm")</f>
        <v>2018-04</v>
      </c>
      <c r="P1150" s="7">
        <f>Clean_Data[[#This Row],[Profit]]/Clean_Data[[#This Row],[Revenue ]]</f>
        <v>0.47368421052631576</v>
      </c>
      <c r="Q1150" t="str">
        <f>"Q"&amp;ROUNDUP(MONTH(Clean_Data[[#This Row],[OrderDate]])/3,0)</f>
        <v>Q2</v>
      </c>
      <c r="R1150" t="str">
        <f>TEXT(Clean_Data[[#This Row],[OrderDate]], "dddd")</f>
        <v>Tuesday</v>
      </c>
    </row>
    <row r="1151" spans="1:18" x14ac:dyDescent="0.25">
      <c r="A1151" t="s">
        <v>395</v>
      </c>
      <c r="B1151" s="4">
        <v>38</v>
      </c>
      <c r="C1151" s="4">
        <v>9</v>
      </c>
      <c r="D1151" s="3">
        <v>2</v>
      </c>
      <c r="E1151" t="s">
        <v>895</v>
      </c>
      <c r="F1151" t="s">
        <v>903</v>
      </c>
      <c r="G1151" t="s">
        <v>887</v>
      </c>
      <c r="H1151" s="6">
        <f>_xlfn.XLOOKUP(A1151,Orders[OrderID],Orders[OrderDate])</f>
        <v>43165</v>
      </c>
      <c r="I1151" t="str">
        <f>_xlfn.XLOOKUP(A1151,Orders[OrderID],Orders[CustomerName])</f>
        <v>Paridhi</v>
      </c>
      <c r="J1151" t="str">
        <f>_xlfn.XLOOKUP(A1151,Orders[OrderID],Orders[State])</f>
        <v>Rajasthan</v>
      </c>
      <c r="K1151" t="str">
        <f>_xlfn.XLOOKUP(A1151,Orders[OrderID],Orders[City])</f>
        <v>Jaipur</v>
      </c>
      <c r="L1151" s="3">
        <f>YEAR(Clean_Data[[#This Row],[OrderDate]])</f>
        <v>2018</v>
      </c>
      <c r="M1151" s="3">
        <f>MONTH(Clean_Data[[#This Row],[OrderDate]])</f>
        <v>3</v>
      </c>
      <c r="N1151" s="8" t="str">
        <f>TEXT(Clean_Data[[#This Row],[OrderDate]],"mmm")</f>
        <v>Mar</v>
      </c>
      <c r="O1151" s="8" t="str">
        <f>TEXT(Clean_Data[[#This Row],[OrderDate]], "yyyy-mm")</f>
        <v>2018-03</v>
      </c>
      <c r="P1151" s="7">
        <f>Clean_Data[[#This Row],[Profit]]/Clean_Data[[#This Row],[Revenue ]]</f>
        <v>0.23684210526315788</v>
      </c>
      <c r="Q1151" t="str">
        <f>"Q"&amp;ROUNDUP(MONTH(Clean_Data[[#This Row],[OrderDate]])/3,0)</f>
        <v>Q1</v>
      </c>
      <c r="R1151" t="str">
        <f>TEXT(Clean_Data[[#This Row],[OrderDate]], "dddd")</f>
        <v>Tuesday</v>
      </c>
    </row>
    <row r="1152" spans="1:18" x14ac:dyDescent="0.25">
      <c r="A1152" t="s">
        <v>541</v>
      </c>
      <c r="B1152" s="4">
        <v>141</v>
      </c>
      <c r="C1152" s="4">
        <v>10</v>
      </c>
      <c r="D1152" s="3">
        <v>4</v>
      </c>
      <c r="E1152" t="s">
        <v>895</v>
      </c>
      <c r="F1152" t="s">
        <v>909</v>
      </c>
      <c r="G1152" t="s">
        <v>898</v>
      </c>
      <c r="H1152" s="6">
        <f>_xlfn.XLOOKUP(A1152,Orders[OrderID],Orders[OrderDate])</f>
        <v>43324</v>
      </c>
      <c r="I1152" t="str">
        <f>_xlfn.XLOOKUP(A1152,Orders[OrderID],Orders[CustomerName])</f>
        <v>Nitant</v>
      </c>
      <c r="J1152" t="str">
        <f>_xlfn.XLOOKUP(A1152,Orders[OrderID],Orders[State])</f>
        <v>Rajasthan</v>
      </c>
      <c r="K1152" t="str">
        <f>_xlfn.XLOOKUP(A1152,Orders[OrderID],Orders[City])</f>
        <v>Jaipur</v>
      </c>
      <c r="L1152" s="3">
        <f>YEAR(Clean_Data[[#This Row],[OrderDate]])</f>
        <v>2018</v>
      </c>
      <c r="M1152" s="3">
        <f>MONTH(Clean_Data[[#This Row],[OrderDate]])</f>
        <v>8</v>
      </c>
      <c r="N1152" s="8" t="str">
        <f>TEXT(Clean_Data[[#This Row],[OrderDate]],"mmm")</f>
        <v>Aug</v>
      </c>
      <c r="O1152" s="8" t="str">
        <f>TEXT(Clean_Data[[#This Row],[OrderDate]], "yyyy-mm")</f>
        <v>2018-08</v>
      </c>
      <c r="P1152" s="7">
        <f>Clean_Data[[#This Row],[Profit]]/Clean_Data[[#This Row],[Revenue ]]</f>
        <v>7.0921985815602842E-2</v>
      </c>
      <c r="Q1152" t="str">
        <f>"Q"&amp;ROUNDUP(MONTH(Clean_Data[[#This Row],[OrderDate]])/3,0)</f>
        <v>Q3</v>
      </c>
      <c r="R1152" t="str">
        <f>TEXT(Clean_Data[[#This Row],[OrderDate]], "dddd")</f>
        <v>Sunday</v>
      </c>
    </row>
    <row r="1153" spans="1:18" x14ac:dyDescent="0.25">
      <c r="A1153" t="s">
        <v>768</v>
      </c>
      <c r="B1153" s="4">
        <v>36</v>
      </c>
      <c r="C1153" s="4">
        <v>4</v>
      </c>
      <c r="D1153" s="3">
        <v>9</v>
      </c>
      <c r="E1153" t="s">
        <v>895</v>
      </c>
      <c r="F1153" t="s">
        <v>899</v>
      </c>
      <c r="G1153" t="s">
        <v>887</v>
      </c>
      <c r="H1153" s="6">
        <f>_xlfn.XLOOKUP(A1153,Orders[OrderID],Orders[OrderDate])</f>
        <v>43402</v>
      </c>
      <c r="I1153" t="str">
        <f>_xlfn.XLOOKUP(A1153,Orders[OrderID],Orders[CustomerName])</f>
        <v>Krishna</v>
      </c>
      <c r="J1153" t="str">
        <f>_xlfn.XLOOKUP(A1153,Orders[OrderID],Orders[State])</f>
        <v>Madhya Pradesh</v>
      </c>
      <c r="K1153" t="str">
        <f>_xlfn.XLOOKUP(A1153,Orders[OrderID],Orders[City])</f>
        <v>Indore</v>
      </c>
      <c r="L1153" s="3">
        <f>YEAR(Clean_Data[[#This Row],[OrderDate]])</f>
        <v>2018</v>
      </c>
      <c r="M1153" s="3">
        <f>MONTH(Clean_Data[[#This Row],[OrderDate]])</f>
        <v>10</v>
      </c>
      <c r="N1153" s="8" t="str">
        <f>TEXT(Clean_Data[[#This Row],[OrderDate]],"mmm")</f>
        <v>Oct</v>
      </c>
      <c r="O1153" s="8" t="str">
        <f>TEXT(Clean_Data[[#This Row],[OrderDate]], "yyyy-mm")</f>
        <v>2018-10</v>
      </c>
      <c r="P1153" s="7">
        <f>Clean_Data[[#This Row],[Profit]]/Clean_Data[[#This Row],[Revenue ]]</f>
        <v>0.1111111111111111</v>
      </c>
      <c r="Q1153" t="str">
        <f>"Q"&amp;ROUNDUP(MONTH(Clean_Data[[#This Row],[OrderDate]])/3,0)</f>
        <v>Q4</v>
      </c>
      <c r="R1153" t="str">
        <f>TEXT(Clean_Data[[#This Row],[OrderDate]], "dddd")</f>
        <v>Monday</v>
      </c>
    </row>
    <row r="1154" spans="1:18" x14ac:dyDescent="0.25">
      <c r="A1154" t="s">
        <v>348</v>
      </c>
      <c r="B1154" s="4">
        <v>351</v>
      </c>
      <c r="C1154" s="4">
        <v>-94</v>
      </c>
      <c r="D1154" s="3">
        <v>5</v>
      </c>
      <c r="E1154" t="s">
        <v>885</v>
      </c>
      <c r="F1154" t="s">
        <v>886</v>
      </c>
      <c r="G1154" t="s">
        <v>887</v>
      </c>
      <c r="H1154" s="6">
        <f>_xlfn.XLOOKUP(A1154,Orders[OrderID],Orders[OrderDate])</f>
        <v>43103</v>
      </c>
      <c r="I1154" t="str">
        <f>_xlfn.XLOOKUP(A1154,Orders[OrderID],Orders[CustomerName])</f>
        <v>Monica</v>
      </c>
      <c r="J1154" t="str">
        <f>_xlfn.XLOOKUP(A1154,Orders[OrderID],Orders[State])</f>
        <v>Punjab</v>
      </c>
      <c r="K1154" t="str">
        <f>_xlfn.XLOOKUP(A1154,Orders[OrderID],Orders[City])</f>
        <v>Chandigarh</v>
      </c>
      <c r="L1154" s="3">
        <f>YEAR(Clean_Data[[#This Row],[OrderDate]])</f>
        <v>2018</v>
      </c>
      <c r="M1154" s="3">
        <f>MONTH(Clean_Data[[#This Row],[OrderDate]])</f>
        <v>1</v>
      </c>
      <c r="N1154" s="8" t="str">
        <f>TEXT(Clean_Data[[#This Row],[OrderDate]],"mmm")</f>
        <v>Jan</v>
      </c>
      <c r="O1154" s="8" t="str">
        <f>TEXT(Clean_Data[[#This Row],[OrderDate]], "yyyy-mm")</f>
        <v>2018-01</v>
      </c>
      <c r="P1154" s="7">
        <f>Clean_Data[[#This Row],[Profit]]/Clean_Data[[#This Row],[Revenue ]]</f>
        <v>-0.26780626780626782</v>
      </c>
      <c r="Q1154" t="str">
        <f>"Q"&amp;ROUNDUP(MONTH(Clean_Data[[#This Row],[OrderDate]])/3,0)</f>
        <v>Q1</v>
      </c>
      <c r="R1154" t="str">
        <f>TEXT(Clean_Data[[#This Row],[OrderDate]], "dddd")</f>
        <v>Wednesday</v>
      </c>
    </row>
    <row r="1155" spans="1:18" x14ac:dyDescent="0.25">
      <c r="A1155" t="s">
        <v>378</v>
      </c>
      <c r="B1155" s="4">
        <v>369</v>
      </c>
      <c r="C1155" s="4">
        <v>15</v>
      </c>
      <c r="D1155" s="3">
        <v>3</v>
      </c>
      <c r="E1155" t="s">
        <v>885</v>
      </c>
      <c r="F1155" t="s">
        <v>886</v>
      </c>
      <c r="G1155" t="s">
        <v>907</v>
      </c>
      <c r="H1155" s="6">
        <f>_xlfn.XLOOKUP(A1155,Orders[OrderID],Orders[OrderDate])</f>
        <v>43154</v>
      </c>
      <c r="I1155" t="str">
        <f>_xlfn.XLOOKUP(A1155,Orders[OrderID],Orders[CustomerName])</f>
        <v>Pinky</v>
      </c>
      <c r="J1155" t="str">
        <f>_xlfn.XLOOKUP(A1155,Orders[OrderID],Orders[State])</f>
        <v>Jammu and Kashmir</v>
      </c>
      <c r="K1155" t="str">
        <f>_xlfn.XLOOKUP(A1155,Orders[OrderID],Orders[City])</f>
        <v>Kashmir</v>
      </c>
      <c r="L1155" s="3">
        <f>YEAR(Clean_Data[[#This Row],[OrderDate]])</f>
        <v>2018</v>
      </c>
      <c r="M1155" s="3">
        <f>MONTH(Clean_Data[[#This Row],[OrderDate]])</f>
        <v>2</v>
      </c>
      <c r="N1155" s="8" t="str">
        <f>TEXT(Clean_Data[[#This Row],[OrderDate]],"mmm")</f>
        <v>Feb</v>
      </c>
      <c r="O1155" s="8" t="str">
        <f>TEXT(Clean_Data[[#This Row],[OrderDate]], "yyyy-mm")</f>
        <v>2018-02</v>
      </c>
      <c r="P1155" s="7">
        <f>Clean_Data[[#This Row],[Profit]]/Clean_Data[[#This Row],[Revenue ]]</f>
        <v>4.065040650406504E-2</v>
      </c>
      <c r="Q1155" t="str">
        <f>"Q"&amp;ROUNDUP(MONTH(Clean_Data[[#This Row],[OrderDate]])/3,0)</f>
        <v>Q1</v>
      </c>
      <c r="R1155" t="str">
        <f>TEXT(Clean_Data[[#This Row],[OrderDate]], "dddd")</f>
        <v>Friday</v>
      </c>
    </row>
    <row r="1156" spans="1:18" x14ac:dyDescent="0.25">
      <c r="A1156" t="s">
        <v>470</v>
      </c>
      <c r="B1156" s="4">
        <v>53</v>
      </c>
      <c r="C1156" s="4">
        <v>24</v>
      </c>
      <c r="D1156" s="3">
        <v>6</v>
      </c>
      <c r="E1156" t="s">
        <v>895</v>
      </c>
      <c r="F1156" t="s">
        <v>899</v>
      </c>
      <c r="G1156" t="s">
        <v>890</v>
      </c>
      <c r="H1156" s="6">
        <f>_xlfn.XLOOKUP(A1156,Orders[OrderID],Orders[OrderDate])</f>
        <v>43410</v>
      </c>
      <c r="I1156" t="str">
        <f>_xlfn.XLOOKUP(A1156,Orders[OrderID],Orders[CustomerName])</f>
        <v>Kushal</v>
      </c>
      <c r="J1156" t="str">
        <f>_xlfn.XLOOKUP(A1156,Orders[OrderID],Orders[State])</f>
        <v>Nagaland</v>
      </c>
      <c r="K1156" t="str">
        <f>_xlfn.XLOOKUP(A1156,Orders[OrderID],Orders[City])</f>
        <v>Kohima</v>
      </c>
      <c r="L1156" s="3">
        <f>YEAR(Clean_Data[[#This Row],[OrderDate]])</f>
        <v>2018</v>
      </c>
      <c r="M1156" s="3">
        <f>MONTH(Clean_Data[[#This Row],[OrderDate]])</f>
        <v>11</v>
      </c>
      <c r="N1156" s="8" t="str">
        <f>TEXT(Clean_Data[[#This Row],[OrderDate]],"mmm")</f>
        <v>Nov</v>
      </c>
      <c r="O1156" s="8" t="str">
        <f>TEXT(Clean_Data[[#This Row],[OrderDate]], "yyyy-mm")</f>
        <v>2018-11</v>
      </c>
      <c r="P1156" s="7">
        <f>Clean_Data[[#This Row],[Profit]]/Clean_Data[[#This Row],[Revenue ]]</f>
        <v>0.45283018867924529</v>
      </c>
      <c r="Q1156" t="str">
        <f>"Q"&amp;ROUNDUP(MONTH(Clean_Data[[#This Row],[OrderDate]])/3,0)</f>
        <v>Q4</v>
      </c>
      <c r="R1156" t="str">
        <f>TEXT(Clean_Data[[#This Row],[OrderDate]], "dddd")</f>
        <v>Tuesday</v>
      </c>
    </row>
    <row r="1157" spans="1:18" x14ac:dyDescent="0.25">
      <c r="A1157" t="s">
        <v>408</v>
      </c>
      <c r="B1157" s="4">
        <v>371</v>
      </c>
      <c r="C1157" s="4">
        <v>115</v>
      </c>
      <c r="D1157" s="3">
        <v>1</v>
      </c>
      <c r="E1157" t="s">
        <v>888</v>
      </c>
      <c r="F1157" t="s">
        <v>891</v>
      </c>
      <c r="G1157" t="s">
        <v>907</v>
      </c>
      <c r="H1157" s="6">
        <f>_xlfn.XLOOKUP(A1157,Orders[OrderID],Orders[OrderDate])</f>
        <v>43293</v>
      </c>
      <c r="I1157" t="str">
        <f>_xlfn.XLOOKUP(A1157,Orders[OrderID],Orders[CustomerName])</f>
        <v>Anjali</v>
      </c>
      <c r="J1157" t="str">
        <f>_xlfn.XLOOKUP(A1157,Orders[OrderID],Orders[State])</f>
        <v>Maharashtra</v>
      </c>
      <c r="K1157" t="str">
        <f>_xlfn.XLOOKUP(A1157,Orders[OrderID],Orders[City])</f>
        <v>Mumbai</v>
      </c>
      <c r="L1157" s="3">
        <f>YEAR(Clean_Data[[#This Row],[OrderDate]])</f>
        <v>2018</v>
      </c>
      <c r="M1157" s="3">
        <f>MONTH(Clean_Data[[#This Row],[OrderDate]])</f>
        <v>7</v>
      </c>
      <c r="N1157" s="8" t="str">
        <f>TEXT(Clean_Data[[#This Row],[OrderDate]],"mmm")</f>
        <v>Jul</v>
      </c>
      <c r="O1157" s="8" t="str">
        <f>TEXT(Clean_Data[[#This Row],[OrderDate]], "yyyy-mm")</f>
        <v>2018-07</v>
      </c>
      <c r="P1157" s="7">
        <f>Clean_Data[[#This Row],[Profit]]/Clean_Data[[#This Row],[Revenue ]]</f>
        <v>0.30997304582210244</v>
      </c>
      <c r="Q1157" t="str">
        <f>"Q"&amp;ROUNDUP(MONTH(Clean_Data[[#This Row],[OrderDate]])/3,0)</f>
        <v>Q3</v>
      </c>
      <c r="R1157" t="str">
        <f>TEXT(Clean_Data[[#This Row],[OrderDate]], "dddd")</f>
        <v>Thursday</v>
      </c>
    </row>
    <row r="1158" spans="1:18" x14ac:dyDescent="0.25">
      <c r="A1158" t="s">
        <v>230</v>
      </c>
      <c r="B1158" s="4">
        <v>499</v>
      </c>
      <c r="C1158" s="4">
        <v>33</v>
      </c>
      <c r="D1158" s="3">
        <v>4</v>
      </c>
      <c r="E1158" t="s">
        <v>895</v>
      </c>
      <c r="F1158" t="s">
        <v>897</v>
      </c>
      <c r="G1158" t="s">
        <v>887</v>
      </c>
      <c r="H1158" s="6">
        <f>_xlfn.XLOOKUP(A1158,Orders[OrderID],Orders[OrderDate])</f>
        <v>43441</v>
      </c>
      <c r="I1158" t="str">
        <f>_xlfn.XLOOKUP(A1158,Orders[OrderID],Orders[CustomerName])</f>
        <v>Abhishek</v>
      </c>
      <c r="J1158" t="str">
        <f>_xlfn.XLOOKUP(A1158,Orders[OrderID],Orders[State])</f>
        <v>Rajasthan</v>
      </c>
      <c r="K1158" t="str">
        <f>_xlfn.XLOOKUP(A1158,Orders[OrderID],Orders[City])</f>
        <v>Udaipur</v>
      </c>
      <c r="L1158" s="3">
        <f>YEAR(Clean_Data[[#This Row],[OrderDate]])</f>
        <v>2018</v>
      </c>
      <c r="M1158" s="3">
        <f>MONTH(Clean_Data[[#This Row],[OrderDate]])</f>
        <v>12</v>
      </c>
      <c r="N1158" s="8" t="str">
        <f>TEXT(Clean_Data[[#This Row],[OrderDate]],"mmm")</f>
        <v>Dec</v>
      </c>
      <c r="O1158" s="8" t="str">
        <f>TEXT(Clean_Data[[#This Row],[OrderDate]], "yyyy-mm")</f>
        <v>2018-12</v>
      </c>
      <c r="P1158" s="7">
        <f>Clean_Data[[#This Row],[Profit]]/Clean_Data[[#This Row],[Revenue ]]</f>
        <v>6.6132264529058113E-2</v>
      </c>
      <c r="Q1158" t="str">
        <f>"Q"&amp;ROUNDUP(MONTH(Clean_Data[[#This Row],[OrderDate]])/3,0)</f>
        <v>Q4</v>
      </c>
      <c r="R1158" t="str">
        <f>TEXT(Clean_Data[[#This Row],[OrderDate]], "dddd")</f>
        <v>Friday</v>
      </c>
    </row>
    <row r="1159" spans="1:18" x14ac:dyDescent="0.25">
      <c r="A1159" t="s">
        <v>308</v>
      </c>
      <c r="B1159" s="4">
        <v>223</v>
      </c>
      <c r="C1159" s="4">
        <v>62</v>
      </c>
      <c r="D1159" s="3">
        <v>7</v>
      </c>
      <c r="E1159" t="s">
        <v>895</v>
      </c>
      <c r="F1159" t="s">
        <v>909</v>
      </c>
      <c r="G1159" t="s">
        <v>887</v>
      </c>
      <c r="H1159" s="6">
        <f>_xlfn.XLOOKUP(A1159,Orders[OrderID],Orders[OrderDate])</f>
        <v>43438</v>
      </c>
      <c r="I1159" t="str">
        <f>_xlfn.XLOOKUP(A1159,Orders[OrderID],Orders[CustomerName])</f>
        <v>Vrinda</v>
      </c>
      <c r="J1159" t="str">
        <f>_xlfn.XLOOKUP(A1159,Orders[OrderID],Orders[State])</f>
        <v>Uttar Pradesh</v>
      </c>
      <c r="K1159" t="str">
        <f>_xlfn.XLOOKUP(A1159,Orders[OrderID],Orders[City])</f>
        <v>Mathura</v>
      </c>
      <c r="L1159" s="3">
        <f>YEAR(Clean_Data[[#This Row],[OrderDate]])</f>
        <v>2018</v>
      </c>
      <c r="M1159" s="3">
        <f>MONTH(Clean_Data[[#This Row],[OrderDate]])</f>
        <v>12</v>
      </c>
      <c r="N1159" s="8" t="str">
        <f>TEXT(Clean_Data[[#This Row],[OrderDate]],"mmm")</f>
        <v>Dec</v>
      </c>
      <c r="O1159" s="8" t="str">
        <f>TEXT(Clean_Data[[#This Row],[OrderDate]], "yyyy-mm")</f>
        <v>2018-12</v>
      </c>
      <c r="P1159" s="7">
        <f>Clean_Data[[#This Row],[Profit]]/Clean_Data[[#This Row],[Revenue ]]</f>
        <v>0.27802690582959644</v>
      </c>
      <c r="Q1159" t="str">
        <f>"Q"&amp;ROUNDUP(MONTH(Clean_Data[[#This Row],[OrderDate]])/3,0)</f>
        <v>Q4</v>
      </c>
      <c r="R1159" t="str">
        <f>TEXT(Clean_Data[[#This Row],[OrderDate]], "dddd")</f>
        <v>Tuesday</v>
      </c>
    </row>
    <row r="1160" spans="1:18" x14ac:dyDescent="0.25">
      <c r="A1160" t="s">
        <v>354</v>
      </c>
      <c r="B1160" s="4">
        <v>50</v>
      </c>
      <c r="C1160" s="4">
        <v>-4</v>
      </c>
      <c r="D1160" s="3">
        <v>6</v>
      </c>
      <c r="E1160" t="s">
        <v>895</v>
      </c>
      <c r="F1160" t="s">
        <v>906</v>
      </c>
      <c r="G1160" t="s">
        <v>890</v>
      </c>
      <c r="H1160" s="6">
        <f>_xlfn.XLOOKUP(A1160,Orders[OrderID],Orders[OrderDate])</f>
        <v>43130</v>
      </c>
      <c r="I1160" t="str">
        <f>_xlfn.XLOOKUP(A1160,Orders[OrderID],Orders[CustomerName])</f>
        <v>Atul</v>
      </c>
      <c r="J1160" t="str">
        <f>_xlfn.XLOOKUP(A1160,Orders[OrderID],Orders[State])</f>
        <v>Delhi</v>
      </c>
      <c r="K1160" t="str">
        <f>_xlfn.XLOOKUP(A1160,Orders[OrderID],Orders[City])</f>
        <v>Delhi</v>
      </c>
      <c r="L1160" s="3">
        <f>YEAR(Clean_Data[[#This Row],[OrderDate]])</f>
        <v>2018</v>
      </c>
      <c r="M1160" s="3">
        <f>MONTH(Clean_Data[[#This Row],[OrderDate]])</f>
        <v>1</v>
      </c>
      <c r="N1160" s="8" t="str">
        <f>TEXT(Clean_Data[[#This Row],[OrderDate]],"mmm")</f>
        <v>Jan</v>
      </c>
      <c r="O1160" s="8" t="str">
        <f>TEXT(Clean_Data[[#This Row],[OrderDate]], "yyyy-mm")</f>
        <v>2018-01</v>
      </c>
      <c r="P1160" s="7">
        <f>Clean_Data[[#This Row],[Profit]]/Clean_Data[[#This Row],[Revenue ]]</f>
        <v>-0.08</v>
      </c>
      <c r="Q1160" t="str">
        <f>"Q"&amp;ROUNDUP(MONTH(Clean_Data[[#This Row],[OrderDate]])/3,0)</f>
        <v>Q1</v>
      </c>
      <c r="R1160" t="str">
        <f>TEXT(Clean_Data[[#This Row],[OrderDate]], "dddd")</f>
        <v>Tuesday</v>
      </c>
    </row>
    <row r="1161" spans="1:18" x14ac:dyDescent="0.25">
      <c r="A1161" t="s">
        <v>425</v>
      </c>
      <c r="B1161" s="4">
        <v>391</v>
      </c>
      <c r="C1161" s="4">
        <v>90</v>
      </c>
      <c r="D1161" s="3">
        <v>6</v>
      </c>
      <c r="E1161" t="s">
        <v>885</v>
      </c>
      <c r="F1161" t="s">
        <v>894</v>
      </c>
      <c r="G1161" t="s">
        <v>907</v>
      </c>
      <c r="H1161" s="6">
        <f>_xlfn.XLOOKUP(A1161,Orders[OrderID],Orders[OrderDate])</f>
        <v>43169</v>
      </c>
      <c r="I1161" t="str">
        <f>_xlfn.XLOOKUP(A1161,Orders[OrderID],Orders[CustomerName])</f>
        <v>Sonal</v>
      </c>
      <c r="J1161" t="str">
        <f>_xlfn.XLOOKUP(A1161,Orders[OrderID],Orders[State])</f>
        <v>Bihar</v>
      </c>
      <c r="K1161" t="str">
        <f>_xlfn.XLOOKUP(A1161,Orders[OrderID],Orders[City])</f>
        <v>Patna</v>
      </c>
      <c r="L1161" s="3">
        <f>YEAR(Clean_Data[[#This Row],[OrderDate]])</f>
        <v>2018</v>
      </c>
      <c r="M1161" s="3">
        <f>MONTH(Clean_Data[[#This Row],[OrderDate]])</f>
        <v>3</v>
      </c>
      <c r="N1161" s="8" t="str">
        <f>TEXT(Clean_Data[[#This Row],[OrderDate]],"mmm")</f>
        <v>Mar</v>
      </c>
      <c r="O1161" s="8" t="str">
        <f>TEXT(Clean_Data[[#This Row],[OrderDate]], "yyyy-mm")</f>
        <v>2018-03</v>
      </c>
      <c r="P1161" s="7">
        <f>Clean_Data[[#This Row],[Profit]]/Clean_Data[[#This Row],[Revenue ]]</f>
        <v>0.23017902813299232</v>
      </c>
      <c r="Q1161" t="str">
        <f>"Q"&amp;ROUNDUP(MONTH(Clean_Data[[#This Row],[OrderDate]])/3,0)</f>
        <v>Q1</v>
      </c>
      <c r="R1161" t="str">
        <f>TEXT(Clean_Data[[#This Row],[OrderDate]], "dddd")</f>
        <v>Saturday</v>
      </c>
    </row>
    <row r="1162" spans="1:18" x14ac:dyDescent="0.25">
      <c r="A1162" t="s">
        <v>428</v>
      </c>
      <c r="B1162" s="4">
        <v>416</v>
      </c>
      <c r="C1162" s="4">
        <v>137</v>
      </c>
      <c r="D1162" s="3">
        <v>3</v>
      </c>
      <c r="E1162" t="s">
        <v>885</v>
      </c>
      <c r="F1162" t="s">
        <v>894</v>
      </c>
      <c r="G1162" t="s">
        <v>907</v>
      </c>
      <c r="H1162" s="6">
        <f>_xlfn.XLOOKUP(A1162,Orders[OrderID],Orders[OrderDate])</f>
        <v>43291</v>
      </c>
      <c r="I1162" t="str">
        <f>_xlfn.XLOOKUP(A1162,Orders[OrderID],Orders[CustomerName])</f>
        <v>Srishti</v>
      </c>
      <c r="J1162" t="str">
        <f>_xlfn.XLOOKUP(A1162,Orders[OrderID],Orders[State])</f>
        <v>Jammu and Kashmir</v>
      </c>
      <c r="K1162" t="str">
        <f>_xlfn.XLOOKUP(A1162,Orders[OrderID],Orders[City])</f>
        <v>Kashmir</v>
      </c>
      <c r="L1162" s="3">
        <f>YEAR(Clean_Data[[#This Row],[OrderDate]])</f>
        <v>2018</v>
      </c>
      <c r="M1162" s="3">
        <f>MONTH(Clean_Data[[#This Row],[OrderDate]])</f>
        <v>7</v>
      </c>
      <c r="N1162" s="8" t="str">
        <f>TEXT(Clean_Data[[#This Row],[OrderDate]],"mmm")</f>
        <v>Jul</v>
      </c>
      <c r="O1162" s="8" t="str">
        <f>TEXT(Clean_Data[[#This Row],[OrderDate]], "yyyy-mm")</f>
        <v>2018-07</v>
      </c>
      <c r="P1162" s="7">
        <f>Clean_Data[[#This Row],[Profit]]/Clean_Data[[#This Row],[Revenue ]]</f>
        <v>0.32932692307692307</v>
      </c>
      <c r="Q1162" t="str">
        <f>"Q"&amp;ROUNDUP(MONTH(Clean_Data[[#This Row],[OrderDate]])/3,0)</f>
        <v>Q3</v>
      </c>
      <c r="R1162" t="str">
        <f>TEXT(Clean_Data[[#This Row],[OrderDate]], "dddd")</f>
        <v>Tuesday</v>
      </c>
    </row>
    <row r="1163" spans="1:18" x14ac:dyDescent="0.25">
      <c r="A1163" t="s">
        <v>217</v>
      </c>
      <c r="B1163" s="4">
        <v>424</v>
      </c>
      <c r="C1163" s="4">
        <v>-17</v>
      </c>
      <c r="D1163" s="3">
        <v>9</v>
      </c>
      <c r="E1163" t="s">
        <v>888</v>
      </c>
      <c r="F1163" t="s">
        <v>889</v>
      </c>
      <c r="G1163" t="s">
        <v>907</v>
      </c>
      <c r="H1163" s="6">
        <f>_xlfn.XLOOKUP(A1163,Orders[OrderID],Orders[OrderDate])</f>
        <v>43278</v>
      </c>
      <c r="I1163" t="str">
        <f>_xlfn.XLOOKUP(A1163,Orders[OrderID],Orders[CustomerName])</f>
        <v>Shaily</v>
      </c>
      <c r="J1163" t="str">
        <f>_xlfn.XLOOKUP(A1163,Orders[OrderID],Orders[State])</f>
        <v>Maharashtra</v>
      </c>
      <c r="K1163" t="str">
        <f>_xlfn.XLOOKUP(A1163,Orders[OrderID],Orders[City])</f>
        <v>Mumbai</v>
      </c>
      <c r="L1163" s="3">
        <f>YEAR(Clean_Data[[#This Row],[OrderDate]])</f>
        <v>2018</v>
      </c>
      <c r="M1163" s="3">
        <f>MONTH(Clean_Data[[#This Row],[OrderDate]])</f>
        <v>6</v>
      </c>
      <c r="N1163" s="8" t="str">
        <f>TEXT(Clean_Data[[#This Row],[OrderDate]],"mmm")</f>
        <v>Jun</v>
      </c>
      <c r="O1163" s="8" t="str">
        <f>TEXT(Clean_Data[[#This Row],[OrderDate]], "yyyy-mm")</f>
        <v>2018-06</v>
      </c>
      <c r="P1163" s="7">
        <f>Clean_Data[[#This Row],[Profit]]/Clean_Data[[#This Row],[Revenue ]]</f>
        <v>-4.0094339622641507E-2</v>
      </c>
      <c r="Q1163" t="str">
        <f>"Q"&amp;ROUNDUP(MONTH(Clean_Data[[#This Row],[OrderDate]])/3,0)</f>
        <v>Q2</v>
      </c>
      <c r="R1163" t="str">
        <f>TEXT(Clean_Data[[#This Row],[OrderDate]], "dddd")</f>
        <v>Wednesday</v>
      </c>
    </row>
    <row r="1164" spans="1:18" x14ac:dyDescent="0.25">
      <c r="A1164" t="s">
        <v>454</v>
      </c>
      <c r="B1164" s="4">
        <v>362</v>
      </c>
      <c r="C1164" s="4">
        <v>127</v>
      </c>
      <c r="D1164" s="3">
        <v>1</v>
      </c>
      <c r="E1164" t="s">
        <v>888</v>
      </c>
      <c r="F1164" t="s">
        <v>891</v>
      </c>
      <c r="G1164" t="s">
        <v>887</v>
      </c>
      <c r="H1164" s="6">
        <f>_xlfn.XLOOKUP(A1164,Orders[OrderID],Orders[OrderDate])</f>
        <v>43208</v>
      </c>
      <c r="I1164" t="str">
        <f>_xlfn.XLOOKUP(A1164,Orders[OrderID],Orders[CustomerName])</f>
        <v>Manju</v>
      </c>
      <c r="J1164" t="str">
        <f>_xlfn.XLOOKUP(A1164,Orders[OrderID],Orders[State])</f>
        <v>Andhra Pradesh</v>
      </c>
      <c r="K1164" t="str">
        <f>_xlfn.XLOOKUP(A1164,Orders[OrderID],Orders[City])</f>
        <v>Hyderabad</v>
      </c>
      <c r="L1164" s="3">
        <f>YEAR(Clean_Data[[#This Row],[OrderDate]])</f>
        <v>2018</v>
      </c>
      <c r="M1164" s="3">
        <f>MONTH(Clean_Data[[#This Row],[OrderDate]])</f>
        <v>4</v>
      </c>
      <c r="N1164" s="8" t="str">
        <f>TEXT(Clean_Data[[#This Row],[OrderDate]],"mmm")</f>
        <v>Apr</v>
      </c>
      <c r="O1164" s="8" t="str">
        <f>TEXT(Clean_Data[[#This Row],[OrderDate]], "yyyy-mm")</f>
        <v>2018-04</v>
      </c>
      <c r="P1164" s="7">
        <f>Clean_Data[[#This Row],[Profit]]/Clean_Data[[#This Row],[Revenue ]]</f>
        <v>0.35082872928176795</v>
      </c>
      <c r="Q1164" t="str">
        <f>"Q"&amp;ROUNDUP(MONTH(Clean_Data[[#This Row],[OrderDate]])/3,0)</f>
        <v>Q2</v>
      </c>
      <c r="R1164" t="str">
        <f>TEXT(Clean_Data[[#This Row],[OrderDate]], "dddd")</f>
        <v>Wednesday</v>
      </c>
    </row>
    <row r="1165" spans="1:18" x14ac:dyDescent="0.25">
      <c r="A1165" t="s">
        <v>204</v>
      </c>
      <c r="B1165" s="4">
        <v>36</v>
      </c>
      <c r="C1165" s="4">
        <v>-7</v>
      </c>
      <c r="D1165" s="3">
        <v>1</v>
      </c>
      <c r="E1165" t="s">
        <v>885</v>
      </c>
      <c r="F1165" t="s">
        <v>886</v>
      </c>
      <c r="G1165" t="s">
        <v>887</v>
      </c>
      <c r="H1165" s="6">
        <f>_xlfn.XLOOKUP(A1165,Orders[OrderID],Orders[OrderDate])</f>
        <v>43219</v>
      </c>
      <c r="I1165" t="str">
        <f>_xlfn.XLOOKUP(A1165,Orders[OrderID],Orders[CustomerName])</f>
        <v>Kirti</v>
      </c>
      <c r="J1165" t="str">
        <f>_xlfn.XLOOKUP(A1165,Orders[OrderID],Orders[State])</f>
        <v>Jammu and Kashmir</v>
      </c>
      <c r="K1165" t="str">
        <f>_xlfn.XLOOKUP(A1165,Orders[OrderID],Orders[City])</f>
        <v>Kashmir</v>
      </c>
      <c r="L1165" s="3">
        <f>YEAR(Clean_Data[[#This Row],[OrderDate]])</f>
        <v>2018</v>
      </c>
      <c r="M1165" s="3">
        <f>MONTH(Clean_Data[[#This Row],[OrderDate]])</f>
        <v>4</v>
      </c>
      <c r="N1165" s="8" t="str">
        <f>TEXT(Clean_Data[[#This Row],[OrderDate]],"mmm")</f>
        <v>Apr</v>
      </c>
      <c r="O1165" s="8" t="str">
        <f>TEXT(Clean_Data[[#This Row],[OrderDate]], "yyyy-mm")</f>
        <v>2018-04</v>
      </c>
      <c r="P1165" s="7">
        <f>Clean_Data[[#This Row],[Profit]]/Clean_Data[[#This Row],[Revenue ]]</f>
        <v>-0.19444444444444445</v>
      </c>
      <c r="Q1165" t="str">
        <f>"Q"&amp;ROUNDUP(MONTH(Clean_Data[[#This Row],[OrderDate]])/3,0)</f>
        <v>Q2</v>
      </c>
      <c r="R1165" t="str">
        <f>TEXT(Clean_Data[[#This Row],[OrderDate]], "dddd")</f>
        <v>Sunday</v>
      </c>
    </row>
    <row r="1166" spans="1:18" x14ac:dyDescent="0.25">
      <c r="A1166" t="s">
        <v>417</v>
      </c>
      <c r="B1166" s="4">
        <v>34</v>
      </c>
      <c r="C1166" s="4">
        <v>-10</v>
      </c>
      <c r="D1166" s="3">
        <v>3</v>
      </c>
      <c r="E1166" t="s">
        <v>895</v>
      </c>
      <c r="F1166" t="s">
        <v>901</v>
      </c>
      <c r="G1166" t="s">
        <v>887</v>
      </c>
      <c r="H1166" s="6">
        <f>_xlfn.XLOOKUP(A1166,Orders[OrderID],Orders[OrderDate])</f>
        <v>43118</v>
      </c>
      <c r="I1166" t="str">
        <f>_xlfn.XLOOKUP(A1166,Orders[OrderID],Orders[CustomerName])</f>
        <v>Surbhi</v>
      </c>
      <c r="J1166" t="str">
        <f>_xlfn.XLOOKUP(A1166,Orders[OrderID],Orders[State])</f>
        <v>Gujarat</v>
      </c>
      <c r="K1166" t="str">
        <f>_xlfn.XLOOKUP(A1166,Orders[OrderID],Orders[City])</f>
        <v>Ahmedabad</v>
      </c>
      <c r="L1166" s="3">
        <f>YEAR(Clean_Data[[#This Row],[OrderDate]])</f>
        <v>2018</v>
      </c>
      <c r="M1166" s="3">
        <f>MONTH(Clean_Data[[#This Row],[OrderDate]])</f>
        <v>1</v>
      </c>
      <c r="N1166" s="8" t="str">
        <f>TEXT(Clean_Data[[#This Row],[OrderDate]],"mmm")</f>
        <v>Jan</v>
      </c>
      <c r="O1166" s="8" t="str">
        <f>TEXT(Clean_Data[[#This Row],[OrderDate]], "yyyy-mm")</f>
        <v>2018-01</v>
      </c>
      <c r="P1166" s="7">
        <f>Clean_Data[[#This Row],[Profit]]/Clean_Data[[#This Row],[Revenue ]]</f>
        <v>-0.29411764705882354</v>
      </c>
      <c r="Q1166" t="str">
        <f>"Q"&amp;ROUNDUP(MONTH(Clean_Data[[#This Row],[OrderDate]])/3,0)</f>
        <v>Q1</v>
      </c>
      <c r="R1166" t="str">
        <f>TEXT(Clean_Data[[#This Row],[OrderDate]], "dddd")</f>
        <v>Thursday</v>
      </c>
    </row>
    <row r="1167" spans="1:18" x14ac:dyDescent="0.25">
      <c r="A1167" t="s">
        <v>160</v>
      </c>
      <c r="B1167" s="4">
        <v>367</v>
      </c>
      <c r="C1167" s="4">
        <v>73</v>
      </c>
      <c r="D1167" s="3">
        <v>3</v>
      </c>
      <c r="E1167" t="s">
        <v>885</v>
      </c>
      <c r="F1167" t="s">
        <v>886</v>
      </c>
      <c r="G1167" t="s">
        <v>898</v>
      </c>
      <c r="H1167" s="6">
        <f>_xlfn.XLOOKUP(A1167,Orders[OrderID],Orders[OrderDate])</f>
        <v>43427</v>
      </c>
      <c r="I1167" t="str">
        <f>_xlfn.XLOOKUP(A1167,Orders[OrderID],Orders[CustomerName])</f>
        <v>Divyeta</v>
      </c>
      <c r="J1167" t="str">
        <f>_xlfn.XLOOKUP(A1167,Orders[OrderID],Orders[State])</f>
        <v>Madhya Pradesh</v>
      </c>
      <c r="K1167" t="str">
        <f>_xlfn.XLOOKUP(A1167,Orders[OrderID],Orders[City])</f>
        <v>Indore</v>
      </c>
      <c r="L1167" s="3">
        <f>YEAR(Clean_Data[[#This Row],[OrderDate]])</f>
        <v>2018</v>
      </c>
      <c r="M1167" s="3">
        <f>MONTH(Clean_Data[[#This Row],[OrderDate]])</f>
        <v>11</v>
      </c>
      <c r="N1167" s="8" t="str">
        <f>TEXT(Clean_Data[[#This Row],[OrderDate]],"mmm")</f>
        <v>Nov</v>
      </c>
      <c r="O1167" s="8" t="str">
        <f>TEXT(Clean_Data[[#This Row],[OrderDate]], "yyyy-mm")</f>
        <v>2018-11</v>
      </c>
      <c r="P1167" s="7">
        <f>Clean_Data[[#This Row],[Profit]]/Clean_Data[[#This Row],[Revenue ]]</f>
        <v>0.1989100817438692</v>
      </c>
      <c r="Q1167" t="str">
        <f>"Q"&amp;ROUNDUP(MONTH(Clean_Data[[#This Row],[OrderDate]])/3,0)</f>
        <v>Q4</v>
      </c>
      <c r="R1167" t="str">
        <f>TEXT(Clean_Data[[#This Row],[OrderDate]], "dddd")</f>
        <v>Friday</v>
      </c>
    </row>
    <row r="1168" spans="1:18" x14ac:dyDescent="0.25">
      <c r="A1168" t="s">
        <v>350</v>
      </c>
      <c r="B1168" s="4">
        <v>425</v>
      </c>
      <c r="C1168" s="4">
        <v>208</v>
      </c>
      <c r="D1168" s="3">
        <v>7</v>
      </c>
      <c r="E1168" t="s">
        <v>895</v>
      </c>
      <c r="F1168" t="s">
        <v>897</v>
      </c>
      <c r="G1168" t="s">
        <v>907</v>
      </c>
      <c r="H1168" s="6">
        <f>_xlfn.XLOOKUP(A1168,Orders[OrderID],Orders[OrderDate])</f>
        <v>43168</v>
      </c>
      <c r="I1168" t="str">
        <f>_xlfn.XLOOKUP(A1168,Orders[OrderID],Orders[CustomerName])</f>
        <v>Kirti</v>
      </c>
      <c r="J1168" t="str">
        <f>_xlfn.XLOOKUP(A1168,Orders[OrderID],Orders[State])</f>
        <v>Jammu and Kashmir</v>
      </c>
      <c r="K1168" t="str">
        <f>_xlfn.XLOOKUP(A1168,Orders[OrderID],Orders[City])</f>
        <v>Kashmir</v>
      </c>
      <c r="L1168" s="3">
        <f>YEAR(Clean_Data[[#This Row],[OrderDate]])</f>
        <v>2018</v>
      </c>
      <c r="M1168" s="3">
        <f>MONTH(Clean_Data[[#This Row],[OrderDate]])</f>
        <v>3</v>
      </c>
      <c r="N1168" s="8" t="str">
        <f>TEXT(Clean_Data[[#This Row],[OrderDate]],"mmm")</f>
        <v>Mar</v>
      </c>
      <c r="O1168" s="8" t="str">
        <f>TEXT(Clean_Data[[#This Row],[OrderDate]], "yyyy-mm")</f>
        <v>2018-03</v>
      </c>
      <c r="P1168" s="7">
        <f>Clean_Data[[#This Row],[Profit]]/Clean_Data[[#This Row],[Revenue ]]</f>
        <v>0.48941176470588238</v>
      </c>
      <c r="Q1168" t="str">
        <f>"Q"&amp;ROUNDUP(MONTH(Clean_Data[[#This Row],[OrderDate]])/3,0)</f>
        <v>Q1</v>
      </c>
      <c r="R1168" t="str">
        <f>TEXT(Clean_Data[[#This Row],[OrderDate]], "dddd")</f>
        <v>Friday</v>
      </c>
    </row>
    <row r="1169" spans="1:18" x14ac:dyDescent="0.25">
      <c r="A1169" t="s">
        <v>421</v>
      </c>
      <c r="B1169" s="4">
        <v>433</v>
      </c>
      <c r="C1169" s="4">
        <v>26</v>
      </c>
      <c r="D1169" s="3">
        <v>3</v>
      </c>
      <c r="E1169" t="s">
        <v>885</v>
      </c>
      <c r="F1169" t="s">
        <v>892</v>
      </c>
      <c r="G1169" t="s">
        <v>907</v>
      </c>
      <c r="H1169" s="6">
        <f>_xlfn.XLOOKUP(A1169,Orders[OrderID],Orders[OrderDate])</f>
        <v>43259</v>
      </c>
      <c r="I1169" t="str">
        <f>_xlfn.XLOOKUP(A1169,Orders[OrderID],Orders[CustomerName])</f>
        <v>Shreya</v>
      </c>
      <c r="J1169" t="str">
        <f>_xlfn.XLOOKUP(A1169,Orders[OrderID],Orders[State])</f>
        <v xml:space="preserve">Kerala </v>
      </c>
      <c r="K1169" t="str">
        <f>_xlfn.XLOOKUP(A1169,Orders[OrderID],Orders[City])</f>
        <v>Thiruvananthapuram</v>
      </c>
      <c r="L1169" s="3">
        <f>YEAR(Clean_Data[[#This Row],[OrderDate]])</f>
        <v>2018</v>
      </c>
      <c r="M1169" s="3">
        <f>MONTH(Clean_Data[[#This Row],[OrderDate]])</f>
        <v>6</v>
      </c>
      <c r="N1169" s="8" t="str">
        <f>TEXT(Clean_Data[[#This Row],[OrderDate]],"mmm")</f>
        <v>Jun</v>
      </c>
      <c r="O1169" s="8" t="str">
        <f>TEXT(Clean_Data[[#This Row],[OrderDate]], "yyyy-mm")</f>
        <v>2018-06</v>
      </c>
      <c r="P1169" s="7">
        <f>Clean_Data[[#This Row],[Profit]]/Clean_Data[[#This Row],[Revenue ]]</f>
        <v>6.0046189376443418E-2</v>
      </c>
      <c r="Q1169" t="str">
        <f>"Q"&amp;ROUNDUP(MONTH(Clean_Data[[#This Row],[OrderDate]])/3,0)</f>
        <v>Q2</v>
      </c>
      <c r="R1169" t="str">
        <f>TEXT(Clean_Data[[#This Row],[OrderDate]], "dddd")</f>
        <v>Friday</v>
      </c>
    </row>
    <row r="1170" spans="1:18" x14ac:dyDescent="0.25">
      <c r="A1170" t="s">
        <v>408</v>
      </c>
      <c r="B1170" s="4">
        <v>460</v>
      </c>
      <c r="C1170" s="4">
        <v>31</v>
      </c>
      <c r="D1170" s="3">
        <v>3</v>
      </c>
      <c r="E1170" t="s">
        <v>888</v>
      </c>
      <c r="F1170" t="s">
        <v>891</v>
      </c>
      <c r="G1170" t="s">
        <v>907</v>
      </c>
      <c r="H1170" s="6">
        <f>_xlfn.XLOOKUP(A1170,Orders[OrderID],Orders[OrderDate])</f>
        <v>43293</v>
      </c>
      <c r="I1170" t="str">
        <f>_xlfn.XLOOKUP(A1170,Orders[OrderID],Orders[CustomerName])</f>
        <v>Anjali</v>
      </c>
      <c r="J1170" t="str">
        <f>_xlfn.XLOOKUP(A1170,Orders[OrderID],Orders[State])</f>
        <v>Maharashtra</v>
      </c>
      <c r="K1170" t="str">
        <f>_xlfn.XLOOKUP(A1170,Orders[OrderID],Orders[City])</f>
        <v>Mumbai</v>
      </c>
      <c r="L1170" s="3">
        <f>YEAR(Clean_Data[[#This Row],[OrderDate]])</f>
        <v>2018</v>
      </c>
      <c r="M1170" s="3">
        <f>MONTH(Clean_Data[[#This Row],[OrderDate]])</f>
        <v>7</v>
      </c>
      <c r="N1170" s="8" t="str">
        <f>TEXT(Clean_Data[[#This Row],[OrderDate]],"mmm")</f>
        <v>Jul</v>
      </c>
      <c r="O1170" s="8" t="str">
        <f>TEXT(Clean_Data[[#This Row],[OrderDate]], "yyyy-mm")</f>
        <v>2018-07</v>
      </c>
      <c r="P1170" s="7">
        <f>Clean_Data[[#This Row],[Profit]]/Clean_Data[[#This Row],[Revenue ]]</f>
        <v>6.7391304347826086E-2</v>
      </c>
      <c r="Q1170" t="str">
        <f>"Q"&amp;ROUNDUP(MONTH(Clean_Data[[#This Row],[OrderDate]])/3,0)</f>
        <v>Q3</v>
      </c>
      <c r="R1170" t="str">
        <f>TEXT(Clean_Data[[#This Row],[OrderDate]], "dddd")</f>
        <v>Thursday</v>
      </c>
    </row>
    <row r="1171" spans="1:18" x14ac:dyDescent="0.25">
      <c r="A1171" t="s">
        <v>212</v>
      </c>
      <c r="B1171" s="4">
        <v>62</v>
      </c>
      <c r="C1171" s="4">
        <v>-56</v>
      </c>
      <c r="D1171" s="3">
        <v>5</v>
      </c>
      <c r="E1171" t="s">
        <v>895</v>
      </c>
      <c r="F1171" t="s">
        <v>900</v>
      </c>
      <c r="G1171" t="s">
        <v>887</v>
      </c>
      <c r="H1171" s="6">
        <f>_xlfn.XLOOKUP(A1171,Orders[OrderID],Orders[OrderDate])</f>
        <v>43329</v>
      </c>
      <c r="I1171" t="str">
        <f>_xlfn.XLOOKUP(A1171,Orders[OrderID],Orders[CustomerName])</f>
        <v>Shivam</v>
      </c>
      <c r="J1171" t="str">
        <f>_xlfn.XLOOKUP(A1171,Orders[OrderID],Orders[State])</f>
        <v>Uttar Pradesh</v>
      </c>
      <c r="K1171" t="str">
        <f>_xlfn.XLOOKUP(A1171,Orders[OrderID],Orders[City])</f>
        <v>Lucknow</v>
      </c>
      <c r="L1171" s="3">
        <f>YEAR(Clean_Data[[#This Row],[OrderDate]])</f>
        <v>2018</v>
      </c>
      <c r="M1171" s="3">
        <f>MONTH(Clean_Data[[#This Row],[OrderDate]])</f>
        <v>8</v>
      </c>
      <c r="N1171" s="8" t="str">
        <f>TEXT(Clean_Data[[#This Row],[OrderDate]],"mmm")</f>
        <v>Aug</v>
      </c>
      <c r="O1171" s="8" t="str">
        <f>TEXT(Clean_Data[[#This Row],[OrderDate]], "yyyy-mm")</f>
        <v>2018-08</v>
      </c>
      <c r="P1171" s="7">
        <f>Clean_Data[[#This Row],[Profit]]/Clean_Data[[#This Row],[Revenue ]]</f>
        <v>-0.90322580645161288</v>
      </c>
      <c r="Q1171" t="str">
        <f>"Q"&amp;ROUNDUP(MONTH(Clean_Data[[#This Row],[OrderDate]])/3,0)</f>
        <v>Q3</v>
      </c>
      <c r="R1171" t="str">
        <f>TEXT(Clean_Data[[#This Row],[OrderDate]], "dddd")</f>
        <v>Friday</v>
      </c>
    </row>
    <row r="1172" spans="1:18" x14ac:dyDescent="0.25">
      <c r="A1172" t="s">
        <v>244</v>
      </c>
      <c r="B1172" s="4">
        <v>50</v>
      </c>
      <c r="C1172" s="4">
        <v>16</v>
      </c>
      <c r="D1172" s="3">
        <v>1</v>
      </c>
      <c r="E1172" t="s">
        <v>895</v>
      </c>
      <c r="F1172" t="s">
        <v>903</v>
      </c>
      <c r="G1172" t="s">
        <v>890</v>
      </c>
      <c r="H1172" s="6">
        <f>_xlfn.XLOOKUP(A1172,Orders[OrderID],Orders[OrderDate])</f>
        <v>43411</v>
      </c>
      <c r="I1172" t="str">
        <f>_xlfn.XLOOKUP(A1172,Orders[OrderID],Orders[CustomerName])</f>
        <v>Soumyabrata</v>
      </c>
      <c r="J1172" t="str">
        <f>_xlfn.XLOOKUP(A1172,Orders[OrderID],Orders[State])</f>
        <v>Andhra Pradesh</v>
      </c>
      <c r="K1172" t="str">
        <f>_xlfn.XLOOKUP(A1172,Orders[OrderID],Orders[City])</f>
        <v>Hyderabad</v>
      </c>
      <c r="L1172" s="3">
        <f>YEAR(Clean_Data[[#This Row],[OrderDate]])</f>
        <v>2018</v>
      </c>
      <c r="M1172" s="3">
        <f>MONTH(Clean_Data[[#This Row],[OrderDate]])</f>
        <v>11</v>
      </c>
      <c r="N1172" s="8" t="str">
        <f>TEXT(Clean_Data[[#This Row],[OrderDate]],"mmm")</f>
        <v>Nov</v>
      </c>
      <c r="O1172" s="8" t="str">
        <f>TEXT(Clean_Data[[#This Row],[OrderDate]], "yyyy-mm")</f>
        <v>2018-11</v>
      </c>
      <c r="P1172" s="7">
        <f>Clean_Data[[#This Row],[Profit]]/Clean_Data[[#This Row],[Revenue ]]</f>
        <v>0.32</v>
      </c>
      <c r="Q1172" t="str">
        <f>"Q"&amp;ROUNDUP(MONTH(Clean_Data[[#This Row],[OrderDate]])/3,0)</f>
        <v>Q4</v>
      </c>
      <c r="R1172" t="str">
        <f>TEXT(Clean_Data[[#This Row],[OrderDate]], "dddd")</f>
        <v>Wednesday</v>
      </c>
    </row>
    <row r="1173" spans="1:18" x14ac:dyDescent="0.25">
      <c r="A1173" t="s">
        <v>409</v>
      </c>
      <c r="B1173" s="4">
        <v>460</v>
      </c>
      <c r="C1173" s="4">
        <v>-143</v>
      </c>
      <c r="D1173" s="3">
        <v>3</v>
      </c>
      <c r="E1173" t="s">
        <v>888</v>
      </c>
      <c r="F1173" t="s">
        <v>889</v>
      </c>
      <c r="G1173" t="s">
        <v>907</v>
      </c>
      <c r="H1173" s="6">
        <f>_xlfn.XLOOKUP(A1173,Orders[OrderID],Orders[OrderDate])</f>
        <v>43452</v>
      </c>
      <c r="I1173" t="str">
        <f>_xlfn.XLOOKUP(A1173,Orders[OrderID],Orders[CustomerName])</f>
        <v>Kajal</v>
      </c>
      <c r="J1173" t="str">
        <f>_xlfn.XLOOKUP(A1173,Orders[OrderID],Orders[State])</f>
        <v>Delhi</v>
      </c>
      <c r="K1173" t="str">
        <f>_xlfn.XLOOKUP(A1173,Orders[OrderID],Orders[City])</f>
        <v>Delhi</v>
      </c>
      <c r="L1173" s="3">
        <f>YEAR(Clean_Data[[#This Row],[OrderDate]])</f>
        <v>2018</v>
      </c>
      <c r="M1173" s="3">
        <f>MONTH(Clean_Data[[#This Row],[OrderDate]])</f>
        <v>12</v>
      </c>
      <c r="N1173" s="8" t="str">
        <f>TEXT(Clean_Data[[#This Row],[OrderDate]],"mmm")</f>
        <v>Dec</v>
      </c>
      <c r="O1173" s="8" t="str">
        <f>TEXT(Clean_Data[[#This Row],[OrderDate]], "yyyy-mm")</f>
        <v>2018-12</v>
      </c>
      <c r="P1173" s="7">
        <f>Clean_Data[[#This Row],[Profit]]/Clean_Data[[#This Row],[Revenue ]]</f>
        <v>-0.31086956521739129</v>
      </c>
      <c r="Q1173" t="str">
        <f>"Q"&amp;ROUNDUP(MONTH(Clean_Data[[#This Row],[OrderDate]])/3,0)</f>
        <v>Q4</v>
      </c>
      <c r="R1173" t="str">
        <f>TEXT(Clean_Data[[#This Row],[OrderDate]], "dddd")</f>
        <v>Tuesday</v>
      </c>
    </row>
    <row r="1174" spans="1:18" x14ac:dyDescent="0.25">
      <c r="A1174" t="s">
        <v>638</v>
      </c>
      <c r="B1174" s="4">
        <v>34</v>
      </c>
      <c r="C1174" s="4">
        <v>3</v>
      </c>
      <c r="D1174" s="3">
        <v>3</v>
      </c>
      <c r="E1174" t="s">
        <v>895</v>
      </c>
      <c r="F1174" t="s">
        <v>897</v>
      </c>
      <c r="G1174" t="s">
        <v>887</v>
      </c>
      <c r="H1174" s="6">
        <f>_xlfn.XLOOKUP(A1174,Orders[OrderID],Orders[OrderDate])</f>
        <v>43183</v>
      </c>
      <c r="I1174" t="str">
        <f>_xlfn.XLOOKUP(A1174,Orders[OrderID],Orders[CustomerName])</f>
        <v>Yogesh</v>
      </c>
      <c r="J1174" t="str">
        <f>_xlfn.XLOOKUP(A1174,Orders[OrderID],Orders[State])</f>
        <v>Bihar</v>
      </c>
      <c r="K1174" t="str">
        <f>_xlfn.XLOOKUP(A1174,Orders[OrderID],Orders[City])</f>
        <v>Patna</v>
      </c>
      <c r="L1174" s="3">
        <f>YEAR(Clean_Data[[#This Row],[OrderDate]])</f>
        <v>2018</v>
      </c>
      <c r="M1174" s="3">
        <f>MONTH(Clean_Data[[#This Row],[OrderDate]])</f>
        <v>3</v>
      </c>
      <c r="N1174" s="8" t="str">
        <f>TEXT(Clean_Data[[#This Row],[OrderDate]],"mmm")</f>
        <v>Mar</v>
      </c>
      <c r="O1174" s="8" t="str">
        <f>TEXT(Clean_Data[[#This Row],[OrderDate]], "yyyy-mm")</f>
        <v>2018-03</v>
      </c>
      <c r="P1174" s="7">
        <f>Clean_Data[[#This Row],[Profit]]/Clean_Data[[#This Row],[Revenue ]]</f>
        <v>8.8235294117647065E-2</v>
      </c>
      <c r="Q1174" t="str">
        <f>"Q"&amp;ROUNDUP(MONTH(Clean_Data[[#This Row],[OrderDate]])/3,0)</f>
        <v>Q1</v>
      </c>
      <c r="R1174" t="str">
        <f>TEXT(Clean_Data[[#This Row],[OrderDate]], "dddd")</f>
        <v>Saturday</v>
      </c>
    </row>
    <row r="1175" spans="1:18" x14ac:dyDescent="0.25">
      <c r="A1175" t="s">
        <v>345</v>
      </c>
      <c r="B1175" s="4">
        <v>227</v>
      </c>
      <c r="C1175" s="4">
        <v>59</v>
      </c>
      <c r="D1175" s="3">
        <v>2</v>
      </c>
      <c r="E1175" t="s">
        <v>888</v>
      </c>
      <c r="F1175" t="s">
        <v>908</v>
      </c>
      <c r="G1175" t="s">
        <v>898</v>
      </c>
      <c r="H1175" s="6">
        <f>_xlfn.XLOOKUP(A1175,Orders[OrderID],Orders[OrderDate])</f>
        <v>43414</v>
      </c>
      <c r="I1175" t="str">
        <f>_xlfn.XLOOKUP(A1175,Orders[OrderID],Orders[CustomerName])</f>
        <v>Anand</v>
      </c>
      <c r="J1175" t="str">
        <f>_xlfn.XLOOKUP(A1175,Orders[OrderID],Orders[State])</f>
        <v>Madhya Pradesh</v>
      </c>
      <c r="K1175" t="str">
        <f>_xlfn.XLOOKUP(A1175,Orders[OrderID],Orders[City])</f>
        <v>Indore</v>
      </c>
      <c r="L1175" s="3">
        <f>YEAR(Clean_Data[[#This Row],[OrderDate]])</f>
        <v>2018</v>
      </c>
      <c r="M1175" s="3">
        <f>MONTH(Clean_Data[[#This Row],[OrderDate]])</f>
        <v>11</v>
      </c>
      <c r="N1175" s="8" t="str">
        <f>TEXT(Clean_Data[[#This Row],[OrderDate]],"mmm")</f>
        <v>Nov</v>
      </c>
      <c r="O1175" s="8" t="str">
        <f>TEXT(Clean_Data[[#This Row],[OrderDate]], "yyyy-mm")</f>
        <v>2018-11</v>
      </c>
      <c r="P1175" s="7">
        <f>Clean_Data[[#This Row],[Profit]]/Clean_Data[[#This Row],[Revenue ]]</f>
        <v>0.25991189427312777</v>
      </c>
      <c r="Q1175" t="str">
        <f>"Q"&amp;ROUNDUP(MONTH(Clean_Data[[#This Row],[OrderDate]])/3,0)</f>
        <v>Q4</v>
      </c>
      <c r="R1175" t="str">
        <f>TEXT(Clean_Data[[#This Row],[OrderDate]], "dddd")</f>
        <v>Saturday</v>
      </c>
    </row>
    <row r="1176" spans="1:18" x14ac:dyDescent="0.25">
      <c r="A1176" t="s">
        <v>403</v>
      </c>
      <c r="B1176" s="4">
        <v>469</v>
      </c>
      <c r="C1176" s="4">
        <v>33</v>
      </c>
      <c r="D1176" s="3">
        <v>4</v>
      </c>
      <c r="E1176" t="s">
        <v>885</v>
      </c>
      <c r="F1176" t="s">
        <v>886</v>
      </c>
      <c r="G1176" t="s">
        <v>907</v>
      </c>
      <c r="H1176" s="6">
        <f>_xlfn.XLOOKUP(A1176,Orders[OrderID],Orders[OrderDate])</f>
        <v>43105</v>
      </c>
      <c r="I1176" t="str">
        <f>_xlfn.XLOOKUP(A1176,Orders[OrderID],Orders[CustomerName])</f>
        <v>Vineet</v>
      </c>
      <c r="J1176" t="str">
        <f>_xlfn.XLOOKUP(A1176,Orders[OrderID],Orders[State])</f>
        <v>Sikkim</v>
      </c>
      <c r="K1176" t="str">
        <f>_xlfn.XLOOKUP(A1176,Orders[OrderID],Orders[City])</f>
        <v>Gangtok</v>
      </c>
      <c r="L1176" s="3">
        <f>YEAR(Clean_Data[[#This Row],[OrderDate]])</f>
        <v>2018</v>
      </c>
      <c r="M1176" s="3">
        <f>MONTH(Clean_Data[[#This Row],[OrderDate]])</f>
        <v>1</v>
      </c>
      <c r="N1176" s="8" t="str">
        <f>TEXT(Clean_Data[[#This Row],[OrderDate]],"mmm")</f>
        <v>Jan</v>
      </c>
      <c r="O1176" s="8" t="str">
        <f>TEXT(Clean_Data[[#This Row],[OrderDate]], "yyyy-mm")</f>
        <v>2018-01</v>
      </c>
      <c r="P1176" s="7">
        <f>Clean_Data[[#This Row],[Profit]]/Clean_Data[[#This Row],[Revenue ]]</f>
        <v>7.0362473347547971E-2</v>
      </c>
      <c r="Q1176" t="str">
        <f>"Q"&amp;ROUNDUP(MONTH(Clean_Data[[#This Row],[OrderDate]])/3,0)</f>
        <v>Q1</v>
      </c>
      <c r="R1176" t="str">
        <f>TEXT(Clean_Data[[#This Row],[OrderDate]], "dddd")</f>
        <v>Friday</v>
      </c>
    </row>
    <row r="1177" spans="1:18" x14ac:dyDescent="0.25">
      <c r="A1177" t="s">
        <v>470</v>
      </c>
      <c r="B1177" s="4">
        <v>103</v>
      </c>
      <c r="C1177" s="4">
        <v>46</v>
      </c>
      <c r="D1177" s="3">
        <v>2</v>
      </c>
      <c r="E1177" t="s">
        <v>895</v>
      </c>
      <c r="F1177" t="s">
        <v>897</v>
      </c>
      <c r="G1177" t="s">
        <v>898</v>
      </c>
      <c r="H1177" s="6">
        <f>_xlfn.XLOOKUP(A1177,Orders[OrderID],Orders[OrderDate])</f>
        <v>43410</v>
      </c>
      <c r="I1177" t="str">
        <f>_xlfn.XLOOKUP(A1177,Orders[OrderID],Orders[CustomerName])</f>
        <v>Kushal</v>
      </c>
      <c r="J1177" t="str">
        <f>_xlfn.XLOOKUP(A1177,Orders[OrderID],Orders[State])</f>
        <v>Nagaland</v>
      </c>
      <c r="K1177" t="str">
        <f>_xlfn.XLOOKUP(A1177,Orders[OrderID],Orders[City])</f>
        <v>Kohima</v>
      </c>
      <c r="L1177" s="3">
        <f>YEAR(Clean_Data[[#This Row],[OrderDate]])</f>
        <v>2018</v>
      </c>
      <c r="M1177" s="3">
        <f>MONTH(Clean_Data[[#This Row],[OrderDate]])</f>
        <v>11</v>
      </c>
      <c r="N1177" s="8" t="str">
        <f>TEXT(Clean_Data[[#This Row],[OrderDate]],"mmm")</f>
        <v>Nov</v>
      </c>
      <c r="O1177" s="8" t="str">
        <f>TEXT(Clean_Data[[#This Row],[OrderDate]], "yyyy-mm")</f>
        <v>2018-11</v>
      </c>
      <c r="P1177" s="7">
        <f>Clean_Data[[#This Row],[Profit]]/Clean_Data[[#This Row],[Revenue ]]</f>
        <v>0.44660194174757284</v>
      </c>
      <c r="Q1177" t="str">
        <f>"Q"&amp;ROUNDUP(MONTH(Clean_Data[[#This Row],[OrderDate]])/3,0)</f>
        <v>Q4</v>
      </c>
      <c r="R1177" t="str">
        <f>TEXT(Clean_Data[[#This Row],[OrderDate]], "dddd")</f>
        <v>Tuesday</v>
      </c>
    </row>
    <row r="1178" spans="1:18" x14ac:dyDescent="0.25">
      <c r="A1178" t="s">
        <v>716</v>
      </c>
      <c r="B1178" s="4">
        <v>34</v>
      </c>
      <c r="C1178" s="4">
        <v>-13</v>
      </c>
      <c r="D1178" s="3">
        <v>5</v>
      </c>
      <c r="E1178" t="s">
        <v>895</v>
      </c>
      <c r="F1178" t="s">
        <v>904</v>
      </c>
      <c r="G1178" t="s">
        <v>887</v>
      </c>
      <c r="H1178" s="6">
        <f>_xlfn.XLOOKUP(A1178,Orders[OrderID],Orders[OrderDate])</f>
        <v>43275</v>
      </c>
      <c r="I1178" t="str">
        <f>_xlfn.XLOOKUP(A1178,Orders[OrderID],Orders[CustomerName])</f>
        <v>Kritika</v>
      </c>
      <c r="J1178" t="str">
        <f>_xlfn.XLOOKUP(A1178,Orders[OrderID],Orders[State])</f>
        <v>Uttar Pradesh</v>
      </c>
      <c r="K1178" t="str">
        <f>_xlfn.XLOOKUP(A1178,Orders[OrderID],Orders[City])</f>
        <v>Lucknow</v>
      </c>
      <c r="L1178" s="3">
        <f>YEAR(Clean_Data[[#This Row],[OrderDate]])</f>
        <v>2018</v>
      </c>
      <c r="M1178" s="3">
        <f>MONTH(Clean_Data[[#This Row],[OrderDate]])</f>
        <v>6</v>
      </c>
      <c r="N1178" s="8" t="str">
        <f>TEXT(Clean_Data[[#This Row],[OrderDate]],"mmm")</f>
        <v>Jun</v>
      </c>
      <c r="O1178" s="8" t="str">
        <f>TEXT(Clean_Data[[#This Row],[OrderDate]], "yyyy-mm")</f>
        <v>2018-06</v>
      </c>
      <c r="P1178" s="7">
        <f>Clean_Data[[#This Row],[Profit]]/Clean_Data[[#This Row],[Revenue ]]</f>
        <v>-0.38235294117647056</v>
      </c>
      <c r="Q1178" t="str">
        <f>"Q"&amp;ROUNDUP(MONTH(Clean_Data[[#This Row],[OrderDate]])/3,0)</f>
        <v>Q2</v>
      </c>
      <c r="R1178" t="str">
        <f>TEXT(Clean_Data[[#This Row],[OrderDate]], "dddd")</f>
        <v>Sunday</v>
      </c>
    </row>
    <row r="1179" spans="1:18" x14ac:dyDescent="0.25">
      <c r="A1179" t="s">
        <v>360</v>
      </c>
      <c r="B1179" s="4">
        <v>137</v>
      </c>
      <c r="C1179" s="4">
        <v>63</v>
      </c>
      <c r="D1179" s="3">
        <v>3</v>
      </c>
      <c r="E1179" t="s">
        <v>895</v>
      </c>
      <c r="F1179" t="s">
        <v>903</v>
      </c>
      <c r="G1179" t="s">
        <v>887</v>
      </c>
      <c r="H1179" s="6">
        <f>_xlfn.XLOOKUP(A1179,Orders[OrderID],Orders[OrderDate])</f>
        <v>43181</v>
      </c>
      <c r="I1179" t="str">
        <f>_xlfn.XLOOKUP(A1179,Orders[OrderID],Orders[CustomerName])</f>
        <v>Kasheen</v>
      </c>
      <c r="J1179" t="str">
        <f>_xlfn.XLOOKUP(A1179,Orders[OrderID],Orders[State])</f>
        <v>West Bengal</v>
      </c>
      <c r="K1179" t="str">
        <f>_xlfn.XLOOKUP(A1179,Orders[OrderID],Orders[City])</f>
        <v>Kolkata</v>
      </c>
      <c r="L1179" s="3">
        <f>YEAR(Clean_Data[[#This Row],[OrderDate]])</f>
        <v>2018</v>
      </c>
      <c r="M1179" s="3">
        <f>MONTH(Clean_Data[[#This Row],[OrderDate]])</f>
        <v>3</v>
      </c>
      <c r="N1179" s="8" t="str">
        <f>TEXT(Clean_Data[[#This Row],[OrderDate]],"mmm")</f>
        <v>Mar</v>
      </c>
      <c r="O1179" s="8" t="str">
        <f>TEXT(Clean_Data[[#This Row],[OrderDate]], "yyyy-mm")</f>
        <v>2018-03</v>
      </c>
      <c r="P1179" s="7">
        <f>Clean_Data[[#This Row],[Profit]]/Clean_Data[[#This Row],[Revenue ]]</f>
        <v>0.45985401459854014</v>
      </c>
      <c r="Q1179" t="str">
        <f>"Q"&amp;ROUNDUP(MONTH(Clean_Data[[#This Row],[OrderDate]])/3,0)</f>
        <v>Q1</v>
      </c>
      <c r="R1179" t="str">
        <f>TEXT(Clean_Data[[#This Row],[OrderDate]], "dddd")</f>
        <v>Thursday</v>
      </c>
    </row>
    <row r="1180" spans="1:18" x14ac:dyDescent="0.25">
      <c r="A1180" t="s">
        <v>824</v>
      </c>
      <c r="B1180" s="4">
        <v>34</v>
      </c>
      <c r="C1180" s="4">
        <v>12</v>
      </c>
      <c r="D1180" s="3">
        <v>2</v>
      </c>
      <c r="E1180" t="s">
        <v>895</v>
      </c>
      <c r="F1180" t="s">
        <v>903</v>
      </c>
      <c r="G1180" t="s">
        <v>887</v>
      </c>
      <c r="H1180" s="6">
        <f>_xlfn.XLOOKUP(A1180,Orders[OrderID],Orders[OrderDate])</f>
        <v>43180</v>
      </c>
      <c r="I1180" t="str">
        <f>_xlfn.XLOOKUP(A1180,Orders[OrderID],Orders[CustomerName])</f>
        <v>Pearl</v>
      </c>
      <c r="J1180" t="str">
        <f>_xlfn.XLOOKUP(A1180,Orders[OrderID],Orders[State])</f>
        <v>Maharashtra</v>
      </c>
      <c r="K1180" t="str">
        <f>_xlfn.XLOOKUP(A1180,Orders[OrderID],Orders[City])</f>
        <v>Pune</v>
      </c>
      <c r="L1180" s="3">
        <f>YEAR(Clean_Data[[#This Row],[OrderDate]])</f>
        <v>2018</v>
      </c>
      <c r="M1180" s="3">
        <f>MONTH(Clean_Data[[#This Row],[OrderDate]])</f>
        <v>3</v>
      </c>
      <c r="N1180" s="8" t="str">
        <f>TEXT(Clean_Data[[#This Row],[OrderDate]],"mmm")</f>
        <v>Mar</v>
      </c>
      <c r="O1180" s="8" t="str">
        <f>TEXT(Clean_Data[[#This Row],[OrderDate]], "yyyy-mm")</f>
        <v>2018-03</v>
      </c>
      <c r="P1180" s="7">
        <f>Clean_Data[[#This Row],[Profit]]/Clean_Data[[#This Row],[Revenue ]]</f>
        <v>0.35294117647058826</v>
      </c>
      <c r="Q1180" t="str">
        <f>"Q"&amp;ROUNDUP(MONTH(Clean_Data[[#This Row],[OrderDate]])/3,0)</f>
        <v>Q1</v>
      </c>
      <c r="R1180" t="str">
        <f>TEXT(Clean_Data[[#This Row],[OrderDate]], "dddd")</f>
        <v>Wednesday</v>
      </c>
    </row>
    <row r="1181" spans="1:18" x14ac:dyDescent="0.25">
      <c r="A1181" t="s">
        <v>400</v>
      </c>
      <c r="B1181" s="4">
        <v>474</v>
      </c>
      <c r="C1181" s="4">
        <v>56</v>
      </c>
      <c r="D1181" s="3">
        <v>4</v>
      </c>
      <c r="E1181" t="s">
        <v>885</v>
      </c>
      <c r="F1181" t="s">
        <v>894</v>
      </c>
      <c r="G1181" t="s">
        <v>907</v>
      </c>
      <c r="H1181" s="6">
        <f>_xlfn.XLOOKUP(A1181,Orders[OrderID],Orders[OrderDate])</f>
        <v>43117</v>
      </c>
      <c r="I1181" t="str">
        <f>_xlfn.XLOOKUP(A1181,Orders[OrderID],Orders[CustomerName])</f>
        <v>Shreya</v>
      </c>
      <c r="J1181" t="str">
        <f>_xlfn.XLOOKUP(A1181,Orders[OrderID],Orders[State])</f>
        <v>Maharashtra</v>
      </c>
      <c r="K1181" t="str">
        <f>_xlfn.XLOOKUP(A1181,Orders[OrderID],Orders[City])</f>
        <v>Mumbai</v>
      </c>
      <c r="L1181" s="3">
        <f>YEAR(Clean_Data[[#This Row],[OrderDate]])</f>
        <v>2018</v>
      </c>
      <c r="M1181" s="3">
        <f>MONTH(Clean_Data[[#This Row],[OrderDate]])</f>
        <v>1</v>
      </c>
      <c r="N1181" s="8" t="str">
        <f>TEXT(Clean_Data[[#This Row],[OrderDate]],"mmm")</f>
        <v>Jan</v>
      </c>
      <c r="O1181" s="8" t="str">
        <f>TEXT(Clean_Data[[#This Row],[OrderDate]], "yyyy-mm")</f>
        <v>2018-01</v>
      </c>
      <c r="P1181" s="7">
        <f>Clean_Data[[#This Row],[Profit]]/Clean_Data[[#This Row],[Revenue ]]</f>
        <v>0.11814345991561181</v>
      </c>
      <c r="Q1181" t="str">
        <f>"Q"&amp;ROUNDUP(MONTH(Clean_Data[[#This Row],[OrderDate]])/3,0)</f>
        <v>Q1</v>
      </c>
      <c r="R1181" t="str">
        <f>TEXT(Clean_Data[[#This Row],[OrderDate]], "dddd")</f>
        <v>Wednesday</v>
      </c>
    </row>
    <row r="1182" spans="1:18" x14ac:dyDescent="0.25">
      <c r="A1182" t="s">
        <v>544</v>
      </c>
      <c r="B1182" s="4">
        <v>50</v>
      </c>
      <c r="C1182" s="4">
        <v>3</v>
      </c>
      <c r="D1182" s="3">
        <v>2</v>
      </c>
      <c r="E1182" t="s">
        <v>895</v>
      </c>
      <c r="F1182" t="s">
        <v>903</v>
      </c>
      <c r="G1182" t="s">
        <v>890</v>
      </c>
      <c r="H1182" s="6">
        <f>_xlfn.XLOOKUP(A1182,Orders[OrderID],Orders[OrderDate])</f>
        <v>43419</v>
      </c>
      <c r="I1182" t="str">
        <f>_xlfn.XLOOKUP(A1182,Orders[OrderID],Orders[CustomerName])</f>
        <v>Aayush</v>
      </c>
      <c r="J1182" t="str">
        <f>_xlfn.XLOOKUP(A1182,Orders[OrderID],Orders[State])</f>
        <v>Uttar Pradesh</v>
      </c>
      <c r="K1182" t="str">
        <f>_xlfn.XLOOKUP(A1182,Orders[OrderID],Orders[City])</f>
        <v>Lucknow</v>
      </c>
      <c r="L1182" s="3">
        <f>YEAR(Clean_Data[[#This Row],[OrderDate]])</f>
        <v>2018</v>
      </c>
      <c r="M1182" s="3">
        <f>MONTH(Clean_Data[[#This Row],[OrderDate]])</f>
        <v>11</v>
      </c>
      <c r="N1182" s="8" t="str">
        <f>TEXT(Clean_Data[[#This Row],[OrderDate]],"mmm")</f>
        <v>Nov</v>
      </c>
      <c r="O1182" s="8" t="str">
        <f>TEXT(Clean_Data[[#This Row],[OrderDate]], "yyyy-mm")</f>
        <v>2018-11</v>
      </c>
      <c r="P1182" s="7">
        <f>Clean_Data[[#This Row],[Profit]]/Clean_Data[[#This Row],[Revenue ]]</f>
        <v>0.06</v>
      </c>
      <c r="Q1182" t="str">
        <f>"Q"&amp;ROUNDUP(MONTH(Clean_Data[[#This Row],[OrderDate]])/3,0)</f>
        <v>Q4</v>
      </c>
      <c r="R1182" t="str">
        <f>TEXT(Clean_Data[[#This Row],[OrderDate]], "dddd")</f>
        <v>Thursday</v>
      </c>
    </row>
    <row r="1183" spans="1:18" x14ac:dyDescent="0.25">
      <c r="A1183" t="s">
        <v>198</v>
      </c>
      <c r="B1183" s="4">
        <v>69</v>
      </c>
      <c r="C1183" s="4">
        <v>-67</v>
      </c>
      <c r="D1183" s="3">
        <v>4</v>
      </c>
      <c r="E1183" t="s">
        <v>895</v>
      </c>
      <c r="F1183" t="s">
        <v>900</v>
      </c>
      <c r="G1183" t="s">
        <v>898</v>
      </c>
      <c r="H1183" s="6">
        <f>_xlfn.XLOOKUP(A1183,Orders[OrderID],Orders[OrderDate])</f>
        <v>43353</v>
      </c>
      <c r="I1183" t="str">
        <f>_xlfn.XLOOKUP(A1183,Orders[OrderID],Orders[CustomerName])</f>
        <v>Aditi</v>
      </c>
      <c r="J1183" t="str">
        <f>_xlfn.XLOOKUP(A1183,Orders[OrderID],Orders[State])</f>
        <v>Madhya Pradesh</v>
      </c>
      <c r="K1183" t="str">
        <f>_xlfn.XLOOKUP(A1183,Orders[OrderID],Orders[City])</f>
        <v>Indore</v>
      </c>
      <c r="L1183" s="3">
        <f>YEAR(Clean_Data[[#This Row],[OrderDate]])</f>
        <v>2018</v>
      </c>
      <c r="M1183" s="3">
        <f>MONTH(Clean_Data[[#This Row],[OrderDate]])</f>
        <v>9</v>
      </c>
      <c r="N1183" s="8" t="str">
        <f>TEXT(Clean_Data[[#This Row],[OrderDate]],"mmm")</f>
        <v>Sep</v>
      </c>
      <c r="O1183" s="8" t="str">
        <f>TEXT(Clean_Data[[#This Row],[OrderDate]], "yyyy-mm")</f>
        <v>2018-09</v>
      </c>
      <c r="P1183" s="7">
        <f>Clean_Data[[#This Row],[Profit]]/Clean_Data[[#This Row],[Revenue ]]</f>
        <v>-0.97101449275362317</v>
      </c>
      <c r="Q1183" t="str">
        <f>"Q"&amp;ROUNDUP(MONTH(Clean_Data[[#This Row],[OrderDate]])/3,0)</f>
        <v>Q3</v>
      </c>
      <c r="R1183" t="str">
        <f>TEXT(Clean_Data[[#This Row],[OrderDate]], "dddd")</f>
        <v>Monday</v>
      </c>
    </row>
    <row r="1184" spans="1:18" x14ac:dyDescent="0.25">
      <c r="A1184" t="s">
        <v>438</v>
      </c>
      <c r="B1184" s="4">
        <v>389</v>
      </c>
      <c r="C1184" s="4">
        <v>-83</v>
      </c>
      <c r="D1184" s="3">
        <v>3</v>
      </c>
      <c r="E1184" t="s">
        <v>888</v>
      </c>
      <c r="F1184" t="s">
        <v>889</v>
      </c>
      <c r="G1184" t="s">
        <v>898</v>
      </c>
      <c r="H1184" s="6">
        <f>_xlfn.XLOOKUP(A1184,Orders[OrderID],Orders[OrderDate])</f>
        <v>43216</v>
      </c>
      <c r="I1184" t="str">
        <f>_xlfn.XLOOKUP(A1184,Orders[OrderID],Orders[CustomerName])</f>
        <v>Sanjay</v>
      </c>
      <c r="J1184" t="str">
        <f>_xlfn.XLOOKUP(A1184,Orders[OrderID],Orders[State])</f>
        <v>Goa</v>
      </c>
      <c r="K1184" t="str">
        <f>_xlfn.XLOOKUP(A1184,Orders[OrderID],Orders[City])</f>
        <v>Goa</v>
      </c>
      <c r="L1184" s="3">
        <f>YEAR(Clean_Data[[#This Row],[OrderDate]])</f>
        <v>2018</v>
      </c>
      <c r="M1184" s="3">
        <f>MONTH(Clean_Data[[#This Row],[OrderDate]])</f>
        <v>4</v>
      </c>
      <c r="N1184" s="8" t="str">
        <f>TEXT(Clean_Data[[#This Row],[OrderDate]],"mmm")</f>
        <v>Apr</v>
      </c>
      <c r="O1184" s="8" t="str">
        <f>TEXT(Clean_Data[[#This Row],[OrderDate]], "yyyy-mm")</f>
        <v>2018-04</v>
      </c>
      <c r="P1184" s="7">
        <f>Clean_Data[[#This Row],[Profit]]/Clean_Data[[#This Row],[Revenue ]]</f>
        <v>-0.21336760925449871</v>
      </c>
      <c r="Q1184" t="str">
        <f>"Q"&amp;ROUNDUP(MONTH(Clean_Data[[#This Row],[OrderDate]])/3,0)</f>
        <v>Q2</v>
      </c>
      <c r="R1184" t="str">
        <f>TEXT(Clean_Data[[#This Row],[OrderDate]], "dddd")</f>
        <v>Thursday</v>
      </c>
    </row>
    <row r="1185" spans="1:18" x14ac:dyDescent="0.25">
      <c r="A1185" t="s">
        <v>212</v>
      </c>
      <c r="B1185" s="4">
        <v>77</v>
      </c>
      <c r="C1185" s="4">
        <v>-43</v>
      </c>
      <c r="D1185" s="3">
        <v>8</v>
      </c>
      <c r="E1185" t="s">
        <v>895</v>
      </c>
      <c r="F1185" t="s">
        <v>903</v>
      </c>
      <c r="G1185" t="s">
        <v>887</v>
      </c>
      <c r="H1185" s="6">
        <f>_xlfn.XLOOKUP(A1185,Orders[OrderID],Orders[OrderDate])</f>
        <v>43329</v>
      </c>
      <c r="I1185" t="str">
        <f>_xlfn.XLOOKUP(A1185,Orders[OrderID],Orders[CustomerName])</f>
        <v>Shivam</v>
      </c>
      <c r="J1185" t="str">
        <f>_xlfn.XLOOKUP(A1185,Orders[OrderID],Orders[State])</f>
        <v>Uttar Pradesh</v>
      </c>
      <c r="K1185" t="str">
        <f>_xlfn.XLOOKUP(A1185,Orders[OrderID],Orders[City])</f>
        <v>Lucknow</v>
      </c>
      <c r="L1185" s="3">
        <f>YEAR(Clean_Data[[#This Row],[OrderDate]])</f>
        <v>2018</v>
      </c>
      <c r="M1185" s="3">
        <f>MONTH(Clean_Data[[#This Row],[OrderDate]])</f>
        <v>8</v>
      </c>
      <c r="N1185" s="8" t="str">
        <f>TEXT(Clean_Data[[#This Row],[OrderDate]],"mmm")</f>
        <v>Aug</v>
      </c>
      <c r="O1185" s="8" t="str">
        <f>TEXT(Clean_Data[[#This Row],[OrderDate]], "yyyy-mm")</f>
        <v>2018-08</v>
      </c>
      <c r="P1185" s="7">
        <f>Clean_Data[[#This Row],[Profit]]/Clean_Data[[#This Row],[Revenue ]]</f>
        <v>-0.55844155844155841</v>
      </c>
      <c r="Q1185" t="str">
        <f>"Q"&amp;ROUNDUP(MONTH(Clean_Data[[#This Row],[OrderDate]])/3,0)</f>
        <v>Q3</v>
      </c>
      <c r="R1185" t="str">
        <f>TEXT(Clean_Data[[#This Row],[OrderDate]], "dddd")</f>
        <v>Friday</v>
      </c>
    </row>
    <row r="1186" spans="1:18" x14ac:dyDescent="0.25">
      <c r="A1186" t="s">
        <v>442</v>
      </c>
      <c r="B1186" s="4">
        <v>51</v>
      </c>
      <c r="C1186" s="4">
        <v>21</v>
      </c>
      <c r="D1186" s="3">
        <v>3</v>
      </c>
      <c r="E1186" t="s">
        <v>895</v>
      </c>
      <c r="F1186" t="s">
        <v>906</v>
      </c>
      <c r="G1186" t="s">
        <v>887</v>
      </c>
      <c r="H1186" s="6">
        <f>_xlfn.XLOOKUP(A1186,Orders[OrderID],Orders[OrderDate])</f>
        <v>43262</v>
      </c>
      <c r="I1186" t="str">
        <f>_xlfn.XLOOKUP(A1186,Orders[OrderID],Orders[CustomerName])</f>
        <v>Sanjna</v>
      </c>
      <c r="J1186" t="str">
        <f>_xlfn.XLOOKUP(A1186,Orders[OrderID],Orders[State])</f>
        <v>Maharashtra</v>
      </c>
      <c r="K1186" t="str">
        <f>_xlfn.XLOOKUP(A1186,Orders[OrderID],Orders[City])</f>
        <v>Mumbai</v>
      </c>
      <c r="L1186" s="3">
        <f>YEAR(Clean_Data[[#This Row],[OrderDate]])</f>
        <v>2018</v>
      </c>
      <c r="M1186" s="3">
        <f>MONTH(Clean_Data[[#This Row],[OrderDate]])</f>
        <v>6</v>
      </c>
      <c r="N1186" s="8" t="str">
        <f>TEXT(Clean_Data[[#This Row],[OrderDate]],"mmm")</f>
        <v>Jun</v>
      </c>
      <c r="O1186" s="8" t="str">
        <f>TEXT(Clean_Data[[#This Row],[OrderDate]], "yyyy-mm")</f>
        <v>2018-06</v>
      </c>
      <c r="P1186" s="7">
        <f>Clean_Data[[#This Row],[Profit]]/Clean_Data[[#This Row],[Revenue ]]</f>
        <v>0.41176470588235292</v>
      </c>
      <c r="Q1186" t="str">
        <f>"Q"&amp;ROUNDUP(MONTH(Clean_Data[[#This Row],[OrderDate]])/3,0)</f>
        <v>Q2</v>
      </c>
      <c r="R1186" t="str">
        <f>TEXT(Clean_Data[[#This Row],[OrderDate]], "dddd")</f>
        <v>Monday</v>
      </c>
    </row>
    <row r="1187" spans="1:18" x14ac:dyDescent="0.25">
      <c r="A1187" t="s">
        <v>292</v>
      </c>
      <c r="B1187" s="4">
        <v>394</v>
      </c>
      <c r="C1187" s="4">
        <v>146</v>
      </c>
      <c r="D1187" s="3">
        <v>2</v>
      </c>
      <c r="E1187" t="s">
        <v>888</v>
      </c>
      <c r="F1187" t="s">
        <v>891</v>
      </c>
      <c r="G1187" t="s">
        <v>898</v>
      </c>
      <c r="H1187" s="6">
        <f>_xlfn.XLOOKUP(A1187,Orders[OrderID],Orders[OrderDate])</f>
        <v>43432</v>
      </c>
      <c r="I1187" t="str">
        <f>_xlfn.XLOOKUP(A1187,Orders[OrderID],Orders[CustomerName])</f>
        <v>Shatayu</v>
      </c>
      <c r="J1187" t="str">
        <f>_xlfn.XLOOKUP(A1187,Orders[OrderID],Orders[State])</f>
        <v>Madhya Pradesh</v>
      </c>
      <c r="K1187" t="str">
        <f>_xlfn.XLOOKUP(A1187,Orders[OrderID],Orders[City])</f>
        <v>Indore</v>
      </c>
      <c r="L1187" s="3">
        <f>YEAR(Clean_Data[[#This Row],[OrderDate]])</f>
        <v>2018</v>
      </c>
      <c r="M1187" s="3">
        <f>MONTH(Clean_Data[[#This Row],[OrderDate]])</f>
        <v>11</v>
      </c>
      <c r="N1187" s="8" t="str">
        <f>TEXT(Clean_Data[[#This Row],[OrderDate]],"mmm")</f>
        <v>Nov</v>
      </c>
      <c r="O1187" s="8" t="str">
        <f>TEXT(Clean_Data[[#This Row],[OrderDate]], "yyyy-mm")</f>
        <v>2018-11</v>
      </c>
      <c r="P1187" s="7">
        <f>Clean_Data[[#This Row],[Profit]]/Clean_Data[[#This Row],[Revenue ]]</f>
        <v>0.37055837563451777</v>
      </c>
      <c r="Q1187" t="str">
        <f>"Q"&amp;ROUNDUP(MONTH(Clean_Data[[#This Row],[OrderDate]])/3,0)</f>
        <v>Q4</v>
      </c>
      <c r="R1187" t="str">
        <f>TEXT(Clean_Data[[#This Row],[OrderDate]], "dddd")</f>
        <v>Wednesday</v>
      </c>
    </row>
    <row r="1188" spans="1:18" x14ac:dyDescent="0.25">
      <c r="A1188" t="s">
        <v>497</v>
      </c>
      <c r="B1188" s="4">
        <v>48</v>
      </c>
      <c r="C1188" s="4">
        <v>-22</v>
      </c>
      <c r="D1188" s="3">
        <v>2</v>
      </c>
      <c r="E1188" t="s">
        <v>895</v>
      </c>
      <c r="F1188" t="s">
        <v>897</v>
      </c>
      <c r="G1188" t="s">
        <v>890</v>
      </c>
      <c r="H1188" s="6">
        <f>_xlfn.XLOOKUP(A1188,Orders[OrderID],Orders[OrderDate])</f>
        <v>43343</v>
      </c>
      <c r="I1188" t="str">
        <f>_xlfn.XLOOKUP(A1188,Orders[OrderID],Orders[CustomerName])</f>
        <v>Ashmeet</v>
      </c>
      <c r="J1188" t="str">
        <f>_xlfn.XLOOKUP(A1188,Orders[OrderID],Orders[State])</f>
        <v>West Bengal</v>
      </c>
      <c r="K1188" t="str">
        <f>_xlfn.XLOOKUP(A1188,Orders[OrderID],Orders[City])</f>
        <v>Kolkata</v>
      </c>
      <c r="L1188" s="3">
        <f>YEAR(Clean_Data[[#This Row],[OrderDate]])</f>
        <v>2018</v>
      </c>
      <c r="M1188" s="3">
        <f>MONTH(Clean_Data[[#This Row],[OrderDate]])</f>
        <v>8</v>
      </c>
      <c r="N1188" s="8" t="str">
        <f>TEXT(Clean_Data[[#This Row],[OrderDate]],"mmm")</f>
        <v>Aug</v>
      </c>
      <c r="O1188" s="8" t="str">
        <f>TEXT(Clean_Data[[#This Row],[OrderDate]], "yyyy-mm")</f>
        <v>2018-08</v>
      </c>
      <c r="P1188" s="7">
        <f>Clean_Data[[#This Row],[Profit]]/Clean_Data[[#This Row],[Revenue ]]</f>
        <v>-0.45833333333333331</v>
      </c>
      <c r="Q1188" t="str">
        <f>"Q"&amp;ROUNDUP(MONTH(Clean_Data[[#This Row],[OrderDate]])/3,0)</f>
        <v>Q3</v>
      </c>
      <c r="R1188" t="str">
        <f>TEXT(Clean_Data[[#This Row],[OrderDate]], "dddd")</f>
        <v>Friday</v>
      </c>
    </row>
    <row r="1189" spans="1:18" x14ac:dyDescent="0.25">
      <c r="A1189" t="s">
        <v>417</v>
      </c>
      <c r="B1189" s="4">
        <v>34</v>
      </c>
      <c r="C1189" s="4">
        <v>-12</v>
      </c>
      <c r="D1189" s="3">
        <v>5</v>
      </c>
      <c r="E1189" t="s">
        <v>895</v>
      </c>
      <c r="F1189" t="s">
        <v>904</v>
      </c>
      <c r="G1189" t="s">
        <v>887</v>
      </c>
      <c r="H1189" s="6">
        <f>_xlfn.XLOOKUP(A1189,Orders[OrderID],Orders[OrderDate])</f>
        <v>43118</v>
      </c>
      <c r="I1189" t="str">
        <f>_xlfn.XLOOKUP(A1189,Orders[OrderID],Orders[CustomerName])</f>
        <v>Surbhi</v>
      </c>
      <c r="J1189" t="str">
        <f>_xlfn.XLOOKUP(A1189,Orders[OrderID],Orders[State])</f>
        <v>Gujarat</v>
      </c>
      <c r="K1189" t="str">
        <f>_xlfn.XLOOKUP(A1189,Orders[OrderID],Orders[City])</f>
        <v>Ahmedabad</v>
      </c>
      <c r="L1189" s="3">
        <f>YEAR(Clean_Data[[#This Row],[OrderDate]])</f>
        <v>2018</v>
      </c>
      <c r="M1189" s="3">
        <f>MONTH(Clean_Data[[#This Row],[OrderDate]])</f>
        <v>1</v>
      </c>
      <c r="N1189" s="8" t="str">
        <f>TEXT(Clean_Data[[#This Row],[OrderDate]],"mmm")</f>
        <v>Jan</v>
      </c>
      <c r="O1189" s="8" t="str">
        <f>TEXT(Clean_Data[[#This Row],[OrderDate]], "yyyy-mm")</f>
        <v>2018-01</v>
      </c>
      <c r="P1189" s="7">
        <f>Clean_Data[[#This Row],[Profit]]/Clean_Data[[#This Row],[Revenue ]]</f>
        <v>-0.35294117647058826</v>
      </c>
      <c r="Q1189" t="str">
        <f>"Q"&amp;ROUNDUP(MONTH(Clean_Data[[#This Row],[OrderDate]])/3,0)</f>
        <v>Q1</v>
      </c>
      <c r="R1189" t="str">
        <f>TEXT(Clean_Data[[#This Row],[OrderDate]], "dddd")</f>
        <v>Thursday</v>
      </c>
    </row>
    <row r="1190" spans="1:18" x14ac:dyDescent="0.25">
      <c r="A1190" t="s">
        <v>12</v>
      </c>
      <c r="B1190" s="4">
        <v>484</v>
      </c>
      <c r="C1190" s="4">
        <v>28</v>
      </c>
      <c r="D1190" s="3">
        <v>3</v>
      </c>
      <c r="E1190" t="s">
        <v>885</v>
      </c>
      <c r="F1190" t="s">
        <v>892</v>
      </c>
      <c r="G1190" t="s">
        <v>907</v>
      </c>
      <c r="H1190" s="6">
        <f>_xlfn.XLOOKUP(A1190,Orders[OrderID],Orders[OrderDate])</f>
        <v>43461</v>
      </c>
      <c r="I1190" t="str">
        <f>_xlfn.XLOOKUP(A1190,Orders[OrderID],Orders[CustomerName])</f>
        <v>Gopal</v>
      </c>
      <c r="J1190" t="str">
        <f>_xlfn.XLOOKUP(A1190,Orders[OrderID],Orders[State])</f>
        <v>Maharashtra</v>
      </c>
      <c r="K1190" t="str">
        <f>_xlfn.XLOOKUP(A1190,Orders[OrderID],Orders[City])</f>
        <v>Mumbai</v>
      </c>
      <c r="L1190" s="3">
        <f>YEAR(Clean_Data[[#This Row],[OrderDate]])</f>
        <v>2018</v>
      </c>
      <c r="M1190" s="3">
        <f>MONTH(Clean_Data[[#This Row],[OrderDate]])</f>
        <v>12</v>
      </c>
      <c r="N1190" s="8" t="str">
        <f>TEXT(Clean_Data[[#This Row],[OrderDate]],"mmm")</f>
        <v>Dec</v>
      </c>
      <c r="O1190" s="8" t="str">
        <f>TEXT(Clean_Data[[#This Row],[OrderDate]], "yyyy-mm")</f>
        <v>2018-12</v>
      </c>
      <c r="P1190" s="7">
        <f>Clean_Data[[#This Row],[Profit]]/Clean_Data[[#This Row],[Revenue ]]</f>
        <v>5.7851239669421489E-2</v>
      </c>
      <c r="Q1190" t="str">
        <f>"Q"&amp;ROUNDUP(MONTH(Clean_Data[[#This Row],[OrderDate]])/3,0)</f>
        <v>Q4</v>
      </c>
      <c r="R1190" t="str">
        <f>TEXT(Clean_Data[[#This Row],[OrderDate]], "dddd")</f>
        <v>Thursday</v>
      </c>
    </row>
    <row r="1191" spans="1:18" x14ac:dyDescent="0.25">
      <c r="A1191" t="s">
        <v>557</v>
      </c>
      <c r="B1191" s="4">
        <v>47</v>
      </c>
      <c r="C1191" s="4">
        <v>-27</v>
      </c>
      <c r="D1191" s="3">
        <v>4</v>
      </c>
      <c r="E1191" t="s">
        <v>895</v>
      </c>
      <c r="F1191" t="s">
        <v>897</v>
      </c>
      <c r="G1191" t="s">
        <v>890</v>
      </c>
      <c r="H1191" s="6">
        <f>_xlfn.XLOOKUP(A1191,Orders[OrderID],Orders[OrderDate])</f>
        <v>43374</v>
      </c>
      <c r="I1191" t="str">
        <f>_xlfn.XLOOKUP(A1191,Orders[OrderID],Orders[CustomerName])</f>
        <v>Divyansh</v>
      </c>
      <c r="J1191" t="str">
        <f>_xlfn.XLOOKUP(A1191,Orders[OrderID],Orders[State])</f>
        <v>Gujarat</v>
      </c>
      <c r="K1191" t="str">
        <f>_xlfn.XLOOKUP(A1191,Orders[OrderID],Orders[City])</f>
        <v>Ahmedabad</v>
      </c>
      <c r="L1191" s="3">
        <f>YEAR(Clean_Data[[#This Row],[OrderDate]])</f>
        <v>2018</v>
      </c>
      <c r="M1191" s="3">
        <f>MONTH(Clean_Data[[#This Row],[OrderDate]])</f>
        <v>10</v>
      </c>
      <c r="N1191" s="8" t="str">
        <f>TEXT(Clean_Data[[#This Row],[OrderDate]],"mmm")</f>
        <v>Oct</v>
      </c>
      <c r="O1191" s="8" t="str">
        <f>TEXT(Clean_Data[[#This Row],[OrderDate]], "yyyy-mm")</f>
        <v>2018-10</v>
      </c>
      <c r="P1191" s="7">
        <f>Clean_Data[[#This Row],[Profit]]/Clean_Data[[#This Row],[Revenue ]]</f>
        <v>-0.57446808510638303</v>
      </c>
      <c r="Q1191" t="str">
        <f>"Q"&amp;ROUNDUP(MONTH(Clean_Data[[#This Row],[OrderDate]])/3,0)</f>
        <v>Q4</v>
      </c>
      <c r="R1191" t="str">
        <f>TEXT(Clean_Data[[#This Row],[OrderDate]], "dddd")</f>
        <v>Monday</v>
      </c>
    </row>
    <row r="1192" spans="1:18" x14ac:dyDescent="0.25">
      <c r="A1192" t="s">
        <v>23</v>
      </c>
      <c r="B1192" s="4">
        <v>45</v>
      </c>
      <c r="C1192" s="4">
        <v>8</v>
      </c>
      <c r="D1192" s="3">
        <v>4</v>
      </c>
      <c r="E1192" t="s">
        <v>895</v>
      </c>
      <c r="F1192" t="s">
        <v>901</v>
      </c>
      <c r="G1192" t="s">
        <v>890</v>
      </c>
      <c r="H1192" s="6">
        <f>_xlfn.XLOOKUP(A1192,Orders[OrderID],Orders[OrderDate])</f>
        <v>43116</v>
      </c>
      <c r="I1192" t="str">
        <f>_xlfn.XLOOKUP(A1192,Orders[OrderID],Orders[CustomerName])</f>
        <v>Shiva</v>
      </c>
      <c r="J1192" t="str">
        <f>_xlfn.XLOOKUP(A1192,Orders[OrderID],Orders[State])</f>
        <v>Maharashtra</v>
      </c>
      <c r="K1192" t="str">
        <f>_xlfn.XLOOKUP(A1192,Orders[OrderID],Orders[City])</f>
        <v>Pune</v>
      </c>
      <c r="L1192" s="3">
        <f>YEAR(Clean_Data[[#This Row],[OrderDate]])</f>
        <v>2018</v>
      </c>
      <c r="M1192" s="3">
        <f>MONTH(Clean_Data[[#This Row],[OrderDate]])</f>
        <v>1</v>
      </c>
      <c r="N1192" s="8" t="str">
        <f>TEXT(Clean_Data[[#This Row],[OrderDate]],"mmm")</f>
        <v>Jan</v>
      </c>
      <c r="O1192" s="8" t="str">
        <f>TEXT(Clean_Data[[#This Row],[OrderDate]], "yyyy-mm")</f>
        <v>2018-01</v>
      </c>
      <c r="P1192" s="7">
        <f>Clean_Data[[#This Row],[Profit]]/Clean_Data[[#This Row],[Revenue ]]</f>
        <v>0.17777777777777778</v>
      </c>
      <c r="Q1192" t="str">
        <f>"Q"&amp;ROUNDUP(MONTH(Clean_Data[[#This Row],[OrderDate]])/3,0)</f>
        <v>Q1</v>
      </c>
      <c r="R1192" t="str">
        <f>TEXT(Clean_Data[[#This Row],[OrderDate]], "dddd")</f>
        <v>Tuesday</v>
      </c>
    </row>
    <row r="1193" spans="1:18" x14ac:dyDescent="0.25">
      <c r="A1193" t="s">
        <v>663</v>
      </c>
      <c r="B1193" s="4">
        <v>128</v>
      </c>
      <c r="C1193" s="4">
        <v>55</v>
      </c>
      <c r="D1193" s="3">
        <v>1</v>
      </c>
      <c r="E1193" t="s">
        <v>895</v>
      </c>
      <c r="F1193" t="s">
        <v>897</v>
      </c>
      <c r="G1193" t="s">
        <v>887</v>
      </c>
      <c r="H1193" s="6">
        <f>_xlfn.XLOOKUP(A1193,Orders[OrderID],Orders[OrderDate])</f>
        <v>43145</v>
      </c>
      <c r="I1193" t="str">
        <f>_xlfn.XLOOKUP(A1193,Orders[OrderID],Orders[CustomerName])</f>
        <v>Kasheen</v>
      </c>
      <c r="J1193" t="str">
        <f>_xlfn.XLOOKUP(A1193,Orders[OrderID],Orders[State])</f>
        <v>West Bengal</v>
      </c>
      <c r="K1193" t="str">
        <f>_xlfn.XLOOKUP(A1193,Orders[OrderID],Orders[City])</f>
        <v>Kolkata</v>
      </c>
      <c r="L1193" s="3">
        <f>YEAR(Clean_Data[[#This Row],[OrderDate]])</f>
        <v>2018</v>
      </c>
      <c r="M1193" s="3">
        <f>MONTH(Clean_Data[[#This Row],[OrderDate]])</f>
        <v>2</v>
      </c>
      <c r="N1193" s="8" t="str">
        <f>TEXT(Clean_Data[[#This Row],[OrderDate]],"mmm")</f>
        <v>Feb</v>
      </c>
      <c r="O1193" s="8" t="str">
        <f>TEXT(Clean_Data[[#This Row],[OrderDate]], "yyyy-mm")</f>
        <v>2018-02</v>
      </c>
      <c r="P1193" s="7">
        <f>Clean_Data[[#This Row],[Profit]]/Clean_Data[[#This Row],[Revenue ]]</f>
        <v>0.4296875</v>
      </c>
      <c r="Q1193" t="str">
        <f>"Q"&amp;ROUNDUP(MONTH(Clean_Data[[#This Row],[OrderDate]])/3,0)</f>
        <v>Q1</v>
      </c>
      <c r="R1193" t="str">
        <f>TEXT(Clean_Data[[#This Row],[OrderDate]], "dddd")</f>
        <v>Wednesday</v>
      </c>
    </row>
    <row r="1194" spans="1:18" x14ac:dyDescent="0.25">
      <c r="A1194" t="s">
        <v>136</v>
      </c>
      <c r="B1194" s="4">
        <v>669</v>
      </c>
      <c r="C1194" s="4">
        <v>74</v>
      </c>
      <c r="D1194" s="3">
        <v>5</v>
      </c>
      <c r="E1194" t="s">
        <v>888</v>
      </c>
      <c r="F1194" t="s">
        <v>891</v>
      </c>
      <c r="G1194" t="s">
        <v>887</v>
      </c>
      <c r="H1194" s="6">
        <f>_xlfn.XLOOKUP(A1194,Orders[OrderID],Orders[OrderDate])</f>
        <v>43166</v>
      </c>
      <c r="I1194" t="str">
        <f>_xlfn.XLOOKUP(A1194,Orders[OrderID],Orders[CustomerName])</f>
        <v>Parishi</v>
      </c>
      <c r="J1194" t="str">
        <f>_xlfn.XLOOKUP(A1194,Orders[OrderID],Orders[State])</f>
        <v>West Bengal</v>
      </c>
      <c r="K1194" t="str">
        <f>_xlfn.XLOOKUP(A1194,Orders[OrderID],Orders[City])</f>
        <v>Kolkata</v>
      </c>
      <c r="L1194" s="3">
        <f>YEAR(Clean_Data[[#This Row],[OrderDate]])</f>
        <v>2018</v>
      </c>
      <c r="M1194" s="3">
        <f>MONTH(Clean_Data[[#This Row],[OrderDate]])</f>
        <v>3</v>
      </c>
      <c r="N1194" s="8" t="str">
        <f>TEXT(Clean_Data[[#This Row],[OrderDate]],"mmm")</f>
        <v>Mar</v>
      </c>
      <c r="O1194" s="8" t="str">
        <f>TEXT(Clean_Data[[#This Row],[OrderDate]], "yyyy-mm")</f>
        <v>2018-03</v>
      </c>
      <c r="P1194" s="7">
        <f>Clean_Data[[#This Row],[Profit]]/Clean_Data[[#This Row],[Revenue ]]</f>
        <v>0.11061285500747384</v>
      </c>
      <c r="Q1194" t="str">
        <f>"Q"&amp;ROUNDUP(MONTH(Clean_Data[[#This Row],[OrderDate]])/3,0)</f>
        <v>Q1</v>
      </c>
      <c r="R1194" t="str">
        <f>TEXT(Clean_Data[[#This Row],[OrderDate]], "dddd")</f>
        <v>Wednesday</v>
      </c>
    </row>
    <row r="1195" spans="1:18" x14ac:dyDescent="0.25">
      <c r="A1195" t="s">
        <v>822</v>
      </c>
      <c r="B1195" s="4">
        <v>34</v>
      </c>
      <c r="C1195" s="4">
        <v>13</v>
      </c>
      <c r="D1195" s="3">
        <v>2</v>
      </c>
      <c r="E1195" t="s">
        <v>895</v>
      </c>
      <c r="F1195" t="s">
        <v>897</v>
      </c>
      <c r="G1195" t="s">
        <v>887</v>
      </c>
      <c r="H1195" s="6">
        <f>_xlfn.XLOOKUP(A1195,Orders[OrderID],Orders[OrderDate])</f>
        <v>43391</v>
      </c>
      <c r="I1195" t="str">
        <f>_xlfn.XLOOKUP(A1195,Orders[OrderID],Orders[CustomerName])</f>
        <v>Tejas</v>
      </c>
      <c r="J1195" t="str">
        <f>_xlfn.XLOOKUP(A1195,Orders[OrderID],Orders[State])</f>
        <v>Karnataka</v>
      </c>
      <c r="K1195" t="str">
        <f>_xlfn.XLOOKUP(A1195,Orders[OrderID],Orders[City])</f>
        <v>Bangalore</v>
      </c>
      <c r="L1195" s="3">
        <f>YEAR(Clean_Data[[#This Row],[OrderDate]])</f>
        <v>2018</v>
      </c>
      <c r="M1195" s="3">
        <f>MONTH(Clean_Data[[#This Row],[OrderDate]])</f>
        <v>10</v>
      </c>
      <c r="N1195" s="8" t="str">
        <f>TEXT(Clean_Data[[#This Row],[OrderDate]],"mmm")</f>
        <v>Oct</v>
      </c>
      <c r="O1195" s="8" t="str">
        <f>TEXT(Clean_Data[[#This Row],[OrderDate]], "yyyy-mm")</f>
        <v>2018-10</v>
      </c>
      <c r="P1195" s="7">
        <f>Clean_Data[[#This Row],[Profit]]/Clean_Data[[#This Row],[Revenue ]]</f>
        <v>0.38235294117647056</v>
      </c>
      <c r="Q1195" t="str">
        <f>"Q"&amp;ROUNDUP(MONTH(Clean_Data[[#This Row],[OrderDate]])/3,0)</f>
        <v>Q4</v>
      </c>
      <c r="R1195" t="str">
        <f>TEXT(Clean_Data[[#This Row],[OrderDate]], "dddd")</f>
        <v>Thursday</v>
      </c>
    </row>
    <row r="1196" spans="1:18" x14ac:dyDescent="0.25">
      <c r="A1196" t="s">
        <v>467</v>
      </c>
      <c r="B1196" s="4">
        <v>44</v>
      </c>
      <c r="C1196" s="4">
        <v>14</v>
      </c>
      <c r="D1196" s="3">
        <v>3</v>
      </c>
      <c r="E1196" t="s">
        <v>895</v>
      </c>
      <c r="F1196" t="s">
        <v>899</v>
      </c>
      <c r="G1196" t="s">
        <v>893</v>
      </c>
      <c r="H1196" s="6">
        <f>_xlfn.XLOOKUP(A1196,Orders[OrderID],Orders[OrderDate])</f>
        <v>43132</v>
      </c>
      <c r="I1196" t="str">
        <f>_xlfn.XLOOKUP(A1196,Orders[OrderID],Orders[CustomerName])</f>
        <v>Anjali</v>
      </c>
      <c r="J1196" t="str">
        <f>_xlfn.XLOOKUP(A1196,Orders[OrderID],Orders[State])</f>
        <v>Delhi</v>
      </c>
      <c r="K1196" t="str">
        <f>_xlfn.XLOOKUP(A1196,Orders[OrderID],Orders[City])</f>
        <v>Delhi</v>
      </c>
      <c r="L1196" s="3">
        <f>YEAR(Clean_Data[[#This Row],[OrderDate]])</f>
        <v>2018</v>
      </c>
      <c r="M1196" s="3">
        <f>MONTH(Clean_Data[[#This Row],[OrderDate]])</f>
        <v>2</v>
      </c>
      <c r="N1196" s="8" t="str">
        <f>TEXT(Clean_Data[[#This Row],[OrderDate]],"mmm")</f>
        <v>Feb</v>
      </c>
      <c r="O1196" s="8" t="str">
        <f>TEXT(Clean_Data[[#This Row],[OrderDate]], "yyyy-mm")</f>
        <v>2018-02</v>
      </c>
      <c r="P1196" s="7">
        <f>Clean_Data[[#This Row],[Profit]]/Clean_Data[[#This Row],[Revenue ]]</f>
        <v>0.31818181818181818</v>
      </c>
      <c r="Q1196" t="str">
        <f>"Q"&amp;ROUNDUP(MONTH(Clean_Data[[#This Row],[OrderDate]])/3,0)</f>
        <v>Q1</v>
      </c>
      <c r="R1196" t="str">
        <f>TEXT(Clean_Data[[#This Row],[OrderDate]], "dddd")</f>
        <v>Thursday</v>
      </c>
    </row>
    <row r="1197" spans="1:18" x14ac:dyDescent="0.25">
      <c r="A1197" t="s">
        <v>89</v>
      </c>
      <c r="B1197" s="4">
        <v>33</v>
      </c>
      <c r="C1197" s="4">
        <v>1</v>
      </c>
      <c r="D1197" s="3">
        <v>2</v>
      </c>
      <c r="E1197" t="s">
        <v>895</v>
      </c>
      <c r="F1197" t="s">
        <v>909</v>
      </c>
      <c r="G1197" t="s">
        <v>887</v>
      </c>
      <c r="H1197" s="6">
        <f>_xlfn.XLOOKUP(A1197,Orders[OrderID],Orders[OrderDate])</f>
        <v>43448</v>
      </c>
      <c r="I1197" t="str">
        <f>_xlfn.XLOOKUP(A1197,Orders[OrderID],Orders[CustomerName])</f>
        <v>Jay</v>
      </c>
      <c r="J1197" t="str">
        <f>_xlfn.XLOOKUP(A1197,Orders[OrderID],Orders[State])</f>
        <v>Delhi</v>
      </c>
      <c r="K1197" t="str">
        <f>_xlfn.XLOOKUP(A1197,Orders[OrderID],Orders[City])</f>
        <v>Delhi</v>
      </c>
      <c r="L1197" s="3">
        <f>YEAR(Clean_Data[[#This Row],[OrderDate]])</f>
        <v>2018</v>
      </c>
      <c r="M1197" s="3">
        <f>MONTH(Clean_Data[[#This Row],[OrderDate]])</f>
        <v>12</v>
      </c>
      <c r="N1197" s="8" t="str">
        <f>TEXT(Clean_Data[[#This Row],[OrderDate]],"mmm")</f>
        <v>Dec</v>
      </c>
      <c r="O1197" s="8" t="str">
        <f>TEXT(Clean_Data[[#This Row],[OrderDate]], "yyyy-mm")</f>
        <v>2018-12</v>
      </c>
      <c r="P1197" s="7">
        <f>Clean_Data[[#This Row],[Profit]]/Clean_Data[[#This Row],[Revenue ]]</f>
        <v>3.0303030303030304E-2</v>
      </c>
      <c r="Q1197" t="str">
        <f>"Q"&amp;ROUNDUP(MONTH(Clean_Data[[#This Row],[OrderDate]])/3,0)</f>
        <v>Q4</v>
      </c>
      <c r="R1197" t="str">
        <f>TEXT(Clean_Data[[#This Row],[OrderDate]], "dddd")</f>
        <v>Friday</v>
      </c>
    </row>
    <row r="1198" spans="1:18" x14ac:dyDescent="0.25">
      <c r="A1198" t="s">
        <v>400</v>
      </c>
      <c r="B1198" s="4">
        <v>33</v>
      </c>
      <c r="C1198" s="4">
        <v>10</v>
      </c>
      <c r="D1198" s="3">
        <v>3</v>
      </c>
      <c r="E1198" t="s">
        <v>895</v>
      </c>
      <c r="F1198" t="s">
        <v>899</v>
      </c>
      <c r="G1198" t="s">
        <v>887</v>
      </c>
      <c r="H1198" s="6">
        <f>_xlfn.XLOOKUP(A1198,Orders[OrderID],Orders[OrderDate])</f>
        <v>43117</v>
      </c>
      <c r="I1198" t="str">
        <f>_xlfn.XLOOKUP(A1198,Orders[OrderID],Orders[CustomerName])</f>
        <v>Shreya</v>
      </c>
      <c r="J1198" t="str">
        <f>_xlfn.XLOOKUP(A1198,Orders[OrderID],Orders[State])</f>
        <v>Maharashtra</v>
      </c>
      <c r="K1198" t="str">
        <f>_xlfn.XLOOKUP(A1198,Orders[OrderID],Orders[City])</f>
        <v>Mumbai</v>
      </c>
      <c r="L1198" s="3">
        <f>YEAR(Clean_Data[[#This Row],[OrderDate]])</f>
        <v>2018</v>
      </c>
      <c r="M1198" s="3">
        <f>MONTH(Clean_Data[[#This Row],[OrderDate]])</f>
        <v>1</v>
      </c>
      <c r="N1198" s="8" t="str">
        <f>TEXT(Clean_Data[[#This Row],[OrderDate]],"mmm")</f>
        <v>Jan</v>
      </c>
      <c r="O1198" s="8" t="str">
        <f>TEXT(Clean_Data[[#This Row],[OrderDate]], "yyyy-mm")</f>
        <v>2018-01</v>
      </c>
      <c r="P1198" s="7">
        <f>Clean_Data[[#This Row],[Profit]]/Clean_Data[[#This Row],[Revenue ]]</f>
        <v>0.30303030303030304</v>
      </c>
      <c r="Q1198" t="str">
        <f>"Q"&amp;ROUNDUP(MONTH(Clean_Data[[#This Row],[OrderDate]])/3,0)</f>
        <v>Q1</v>
      </c>
      <c r="R1198" t="str">
        <f>TEXT(Clean_Data[[#This Row],[OrderDate]], "dddd")</f>
        <v>Wednesday</v>
      </c>
    </row>
    <row r="1199" spans="1:18" x14ac:dyDescent="0.25">
      <c r="A1199" t="s">
        <v>226</v>
      </c>
      <c r="B1199" s="4">
        <v>487</v>
      </c>
      <c r="C1199" s="4">
        <v>-23</v>
      </c>
      <c r="D1199" s="3">
        <v>3</v>
      </c>
      <c r="E1199" t="s">
        <v>885</v>
      </c>
      <c r="F1199" t="s">
        <v>892</v>
      </c>
      <c r="G1199" t="s">
        <v>907</v>
      </c>
      <c r="H1199" s="6">
        <f>_xlfn.XLOOKUP(A1199,Orders[OrderID],Orders[OrderDate])</f>
        <v>43131</v>
      </c>
      <c r="I1199" t="str">
        <f>_xlfn.XLOOKUP(A1199,Orders[OrderID],Orders[CustomerName])</f>
        <v>Shweta</v>
      </c>
      <c r="J1199" t="str">
        <f>_xlfn.XLOOKUP(A1199,Orders[OrderID],Orders[State])</f>
        <v>Rajasthan</v>
      </c>
      <c r="K1199" t="str">
        <f>_xlfn.XLOOKUP(A1199,Orders[OrderID],Orders[City])</f>
        <v>Udaipur</v>
      </c>
      <c r="L1199" s="3">
        <f>YEAR(Clean_Data[[#This Row],[OrderDate]])</f>
        <v>2018</v>
      </c>
      <c r="M1199" s="3">
        <f>MONTH(Clean_Data[[#This Row],[OrderDate]])</f>
        <v>1</v>
      </c>
      <c r="N1199" s="8" t="str">
        <f>TEXT(Clean_Data[[#This Row],[OrderDate]],"mmm")</f>
        <v>Jan</v>
      </c>
      <c r="O1199" s="8" t="str">
        <f>TEXT(Clean_Data[[#This Row],[OrderDate]], "yyyy-mm")</f>
        <v>2018-01</v>
      </c>
      <c r="P1199" s="7">
        <f>Clean_Data[[#This Row],[Profit]]/Clean_Data[[#This Row],[Revenue ]]</f>
        <v>-4.7227926078028747E-2</v>
      </c>
      <c r="Q1199" t="str">
        <f>"Q"&amp;ROUNDUP(MONTH(Clean_Data[[#This Row],[OrderDate]])/3,0)</f>
        <v>Q1</v>
      </c>
      <c r="R1199" t="str">
        <f>TEXT(Clean_Data[[#This Row],[OrderDate]], "dddd")</f>
        <v>Wednesday</v>
      </c>
    </row>
    <row r="1200" spans="1:18" x14ac:dyDescent="0.25">
      <c r="A1200" t="s">
        <v>390</v>
      </c>
      <c r="B1200" s="4">
        <v>497</v>
      </c>
      <c r="C1200" s="4">
        <v>179</v>
      </c>
      <c r="D1200" s="3">
        <v>3</v>
      </c>
      <c r="E1200" t="s">
        <v>888</v>
      </c>
      <c r="F1200" t="s">
        <v>889</v>
      </c>
      <c r="G1200" t="s">
        <v>907</v>
      </c>
      <c r="H1200" s="6">
        <f>_xlfn.XLOOKUP(A1200,Orders[OrderID],Orders[OrderDate])</f>
        <v>43188</v>
      </c>
      <c r="I1200" t="str">
        <f>_xlfn.XLOOKUP(A1200,Orders[OrderID],Orders[CustomerName])</f>
        <v>Pinky</v>
      </c>
      <c r="J1200" t="str">
        <f>_xlfn.XLOOKUP(A1200,Orders[OrderID],Orders[State])</f>
        <v>Jammu and Kashmir</v>
      </c>
      <c r="K1200" t="str">
        <f>_xlfn.XLOOKUP(A1200,Orders[OrderID],Orders[City])</f>
        <v>Kashmir</v>
      </c>
      <c r="L1200" s="3">
        <f>YEAR(Clean_Data[[#This Row],[OrderDate]])</f>
        <v>2018</v>
      </c>
      <c r="M1200" s="3">
        <f>MONTH(Clean_Data[[#This Row],[OrderDate]])</f>
        <v>3</v>
      </c>
      <c r="N1200" s="8" t="str">
        <f>TEXT(Clean_Data[[#This Row],[OrderDate]],"mmm")</f>
        <v>Mar</v>
      </c>
      <c r="O1200" s="8" t="str">
        <f>TEXT(Clean_Data[[#This Row],[OrderDate]], "yyyy-mm")</f>
        <v>2018-03</v>
      </c>
      <c r="P1200" s="7">
        <f>Clean_Data[[#This Row],[Profit]]/Clean_Data[[#This Row],[Revenue ]]</f>
        <v>0.36016096579476864</v>
      </c>
      <c r="Q1200" t="str">
        <f>"Q"&amp;ROUNDUP(MONTH(Clean_Data[[#This Row],[OrderDate]])/3,0)</f>
        <v>Q1</v>
      </c>
      <c r="R1200" t="str">
        <f>TEXT(Clean_Data[[#This Row],[OrderDate]], "dddd")</f>
        <v>Thursday</v>
      </c>
    </row>
    <row r="1201" spans="1:18" x14ac:dyDescent="0.25">
      <c r="A1201" t="s">
        <v>214</v>
      </c>
      <c r="B1201" s="4">
        <v>508</v>
      </c>
      <c r="C1201" s="4">
        <v>203</v>
      </c>
      <c r="D1201" s="3">
        <v>2</v>
      </c>
      <c r="E1201" t="s">
        <v>885</v>
      </c>
      <c r="F1201" t="s">
        <v>905</v>
      </c>
      <c r="G1201" t="s">
        <v>907</v>
      </c>
      <c r="H1201" s="6">
        <f>_xlfn.XLOOKUP(A1201,Orders[OrderID],Orders[OrderDate])</f>
        <v>43173</v>
      </c>
      <c r="I1201" t="str">
        <f>_xlfn.XLOOKUP(A1201,Orders[OrderID],Orders[CustomerName])</f>
        <v>Anurag</v>
      </c>
      <c r="J1201" t="str">
        <f>_xlfn.XLOOKUP(A1201,Orders[OrderID],Orders[State])</f>
        <v>Madhya Pradesh</v>
      </c>
      <c r="K1201" t="str">
        <f>_xlfn.XLOOKUP(A1201,Orders[OrderID],Orders[City])</f>
        <v>Indore</v>
      </c>
      <c r="L1201" s="3">
        <f>YEAR(Clean_Data[[#This Row],[OrderDate]])</f>
        <v>2018</v>
      </c>
      <c r="M1201" s="3">
        <f>MONTH(Clean_Data[[#This Row],[OrderDate]])</f>
        <v>3</v>
      </c>
      <c r="N1201" s="8" t="str">
        <f>TEXT(Clean_Data[[#This Row],[OrderDate]],"mmm")</f>
        <v>Mar</v>
      </c>
      <c r="O1201" s="8" t="str">
        <f>TEXT(Clean_Data[[#This Row],[OrderDate]], "yyyy-mm")</f>
        <v>2018-03</v>
      </c>
      <c r="P1201" s="7">
        <f>Clean_Data[[#This Row],[Profit]]/Clean_Data[[#This Row],[Revenue ]]</f>
        <v>0.39960629921259844</v>
      </c>
      <c r="Q1201" t="str">
        <f>"Q"&amp;ROUNDUP(MONTH(Clean_Data[[#This Row],[OrderDate]])/3,0)</f>
        <v>Q1</v>
      </c>
      <c r="R1201" t="str">
        <f>TEXT(Clean_Data[[#This Row],[OrderDate]], "dddd")</f>
        <v>Wednesday</v>
      </c>
    </row>
    <row r="1202" spans="1:18" x14ac:dyDescent="0.25">
      <c r="A1202" t="s">
        <v>235</v>
      </c>
      <c r="B1202" s="4">
        <v>524</v>
      </c>
      <c r="C1202" s="4">
        <v>-25</v>
      </c>
      <c r="D1202" s="3">
        <v>2</v>
      </c>
      <c r="E1202" t="s">
        <v>885</v>
      </c>
      <c r="F1202" t="s">
        <v>886</v>
      </c>
      <c r="G1202" t="s">
        <v>907</v>
      </c>
      <c r="H1202" s="6">
        <f>_xlfn.XLOOKUP(A1202,Orders[OrderID],Orders[OrderDate])</f>
        <v>43114</v>
      </c>
      <c r="I1202" t="str">
        <f>_xlfn.XLOOKUP(A1202,Orders[OrderID],Orders[CustomerName])</f>
        <v>Trupti</v>
      </c>
      <c r="J1202" t="str">
        <f>_xlfn.XLOOKUP(A1202,Orders[OrderID],Orders[State])</f>
        <v>Gujarat</v>
      </c>
      <c r="K1202" t="str">
        <f>_xlfn.XLOOKUP(A1202,Orders[OrderID],Orders[City])</f>
        <v>Ahmedabad</v>
      </c>
      <c r="L1202" s="3">
        <f>YEAR(Clean_Data[[#This Row],[OrderDate]])</f>
        <v>2018</v>
      </c>
      <c r="M1202" s="3">
        <f>MONTH(Clean_Data[[#This Row],[OrderDate]])</f>
        <v>1</v>
      </c>
      <c r="N1202" s="8" t="str">
        <f>TEXT(Clean_Data[[#This Row],[OrderDate]],"mmm")</f>
        <v>Jan</v>
      </c>
      <c r="O1202" s="8" t="str">
        <f>TEXT(Clean_Data[[#This Row],[OrderDate]], "yyyy-mm")</f>
        <v>2018-01</v>
      </c>
      <c r="P1202" s="7">
        <f>Clean_Data[[#This Row],[Profit]]/Clean_Data[[#This Row],[Revenue ]]</f>
        <v>-4.7709923664122141E-2</v>
      </c>
      <c r="Q1202" t="str">
        <f>"Q"&amp;ROUNDUP(MONTH(Clean_Data[[#This Row],[OrderDate]])/3,0)</f>
        <v>Q1</v>
      </c>
      <c r="R1202" t="str">
        <f>TEXT(Clean_Data[[#This Row],[OrderDate]], "dddd")</f>
        <v>Sunday</v>
      </c>
    </row>
    <row r="1203" spans="1:18" x14ac:dyDescent="0.25">
      <c r="A1203" t="s">
        <v>424</v>
      </c>
      <c r="B1203" s="4">
        <v>425</v>
      </c>
      <c r="C1203" s="4">
        <v>183</v>
      </c>
      <c r="D1203" s="3">
        <v>5</v>
      </c>
      <c r="E1203" t="s">
        <v>885</v>
      </c>
      <c r="F1203" t="s">
        <v>905</v>
      </c>
      <c r="G1203" t="s">
        <v>898</v>
      </c>
      <c r="H1203" s="6">
        <f>_xlfn.XLOOKUP(A1203,Orders[OrderID],Orders[OrderDate])</f>
        <v>43154</v>
      </c>
      <c r="I1203" t="str">
        <f>_xlfn.XLOOKUP(A1203,Orders[OrderID],Orders[CustomerName])</f>
        <v>Vini</v>
      </c>
      <c r="J1203" t="str">
        <f>_xlfn.XLOOKUP(A1203,Orders[OrderID],Orders[State])</f>
        <v>Karnataka</v>
      </c>
      <c r="K1203" t="str">
        <f>_xlfn.XLOOKUP(A1203,Orders[OrderID],Orders[City])</f>
        <v>Bangalore</v>
      </c>
      <c r="L1203" s="3">
        <f>YEAR(Clean_Data[[#This Row],[OrderDate]])</f>
        <v>2018</v>
      </c>
      <c r="M1203" s="3">
        <f>MONTH(Clean_Data[[#This Row],[OrderDate]])</f>
        <v>2</v>
      </c>
      <c r="N1203" s="8" t="str">
        <f>TEXT(Clean_Data[[#This Row],[OrderDate]],"mmm")</f>
        <v>Feb</v>
      </c>
      <c r="O1203" s="8" t="str">
        <f>TEXT(Clean_Data[[#This Row],[OrderDate]], "yyyy-mm")</f>
        <v>2018-02</v>
      </c>
      <c r="P1203" s="7">
        <f>Clean_Data[[#This Row],[Profit]]/Clean_Data[[#This Row],[Revenue ]]</f>
        <v>0.43058823529411766</v>
      </c>
      <c r="Q1203" t="str">
        <f>"Q"&amp;ROUNDUP(MONTH(Clean_Data[[#This Row],[OrderDate]])/3,0)</f>
        <v>Q1</v>
      </c>
      <c r="R1203" t="str">
        <f>TEXT(Clean_Data[[#This Row],[OrderDate]], "dddd")</f>
        <v>Friday</v>
      </c>
    </row>
    <row r="1204" spans="1:18" x14ac:dyDescent="0.25">
      <c r="A1204" t="s">
        <v>87</v>
      </c>
      <c r="B1204" s="4">
        <v>168</v>
      </c>
      <c r="C1204" s="4">
        <v>56</v>
      </c>
      <c r="D1204" s="3">
        <v>3</v>
      </c>
      <c r="E1204" t="s">
        <v>895</v>
      </c>
      <c r="F1204" t="s">
        <v>897</v>
      </c>
      <c r="G1204" t="s">
        <v>887</v>
      </c>
      <c r="H1204" s="6">
        <f>_xlfn.XLOOKUP(A1204,Orders[OrderID],Orders[OrderDate])</f>
        <v>43447</v>
      </c>
      <c r="I1204" t="str">
        <f>_xlfn.XLOOKUP(A1204,Orders[OrderID],Orders[CustomerName])</f>
        <v>Sujay</v>
      </c>
      <c r="J1204" t="str">
        <f>_xlfn.XLOOKUP(A1204,Orders[OrderID],Orders[State])</f>
        <v>Maharashtra</v>
      </c>
      <c r="K1204" t="str">
        <f>_xlfn.XLOOKUP(A1204,Orders[OrderID],Orders[City])</f>
        <v>Pune</v>
      </c>
      <c r="L1204" s="3">
        <f>YEAR(Clean_Data[[#This Row],[OrderDate]])</f>
        <v>2018</v>
      </c>
      <c r="M1204" s="3">
        <f>MONTH(Clean_Data[[#This Row],[OrderDate]])</f>
        <v>12</v>
      </c>
      <c r="N1204" s="8" t="str">
        <f>TEXT(Clean_Data[[#This Row],[OrderDate]],"mmm")</f>
        <v>Dec</v>
      </c>
      <c r="O1204" s="8" t="str">
        <f>TEXT(Clean_Data[[#This Row],[OrderDate]], "yyyy-mm")</f>
        <v>2018-12</v>
      </c>
      <c r="P1204" s="7">
        <f>Clean_Data[[#This Row],[Profit]]/Clean_Data[[#This Row],[Revenue ]]</f>
        <v>0.33333333333333331</v>
      </c>
      <c r="Q1204" t="str">
        <f>"Q"&amp;ROUNDUP(MONTH(Clean_Data[[#This Row],[OrderDate]])/3,0)</f>
        <v>Q4</v>
      </c>
      <c r="R1204" t="str">
        <f>TEXT(Clean_Data[[#This Row],[OrderDate]], "dddd")</f>
        <v>Thursday</v>
      </c>
    </row>
    <row r="1205" spans="1:18" x14ac:dyDescent="0.25">
      <c r="A1205" t="s">
        <v>644</v>
      </c>
      <c r="B1205" s="4">
        <v>141</v>
      </c>
      <c r="C1205" s="4">
        <v>28</v>
      </c>
      <c r="D1205" s="3">
        <v>7</v>
      </c>
      <c r="E1205" t="s">
        <v>888</v>
      </c>
      <c r="F1205" t="s">
        <v>908</v>
      </c>
      <c r="G1205" t="s">
        <v>898</v>
      </c>
      <c r="H1205" s="6">
        <f>_xlfn.XLOOKUP(A1205,Orders[OrderID],Orders[OrderDate])</f>
        <v>43268</v>
      </c>
      <c r="I1205" t="str">
        <f>_xlfn.XLOOKUP(A1205,Orders[OrderID],Orders[CustomerName])</f>
        <v>Rashmi</v>
      </c>
      <c r="J1205" t="str">
        <f>_xlfn.XLOOKUP(A1205,Orders[OrderID],Orders[State])</f>
        <v>Madhya Pradesh</v>
      </c>
      <c r="K1205" t="str">
        <f>_xlfn.XLOOKUP(A1205,Orders[OrderID],Orders[City])</f>
        <v>Indore</v>
      </c>
      <c r="L1205" s="3">
        <f>YEAR(Clean_Data[[#This Row],[OrderDate]])</f>
        <v>2018</v>
      </c>
      <c r="M1205" s="3">
        <f>MONTH(Clean_Data[[#This Row],[OrderDate]])</f>
        <v>6</v>
      </c>
      <c r="N1205" s="8" t="str">
        <f>TEXT(Clean_Data[[#This Row],[OrderDate]],"mmm")</f>
        <v>Jun</v>
      </c>
      <c r="O1205" s="8" t="str">
        <f>TEXT(Clean_Data[[#This Row],[OrderDate]], "yyyy-mm")</f>
        <v>2018-06</v>
      </c>
      <c r="P1205" s="7">
        <f>Clean_Data[[#This Row],[Profit]]/Clean_Data[[#This Row],[Revenue ]]</f>
        <v>0.19858156028368795</v>
      </c>
      <c r="Q1205" t="str">
        <f>"Q"&amp;ROUNDUP(MONTH(Clean_Data[[#This Row],[OrderDate]])/3,0)</f>
        <v>Q2</v>
      </c>
      <c r="R1205" t="str">
        <f>TEXT(Clean_Data[[#This Row],[OrderDate]], "dddd")</f>
        <v>Sunday</v>
      </c>
    </row>
    <row r="1206" spans="1:18" x14ac:dyDescent="0.25">
      <c r="A1206" t="s">
        <v>309</v>
      </c>
      <c r="B1206" s="4">
        <v>429</v>
      </c>
      <c r="C1206" s="4">
        <v>17</v>
      </c>
      <c r="D1206" s="3">
        <v>3</v>
      </c>
      <c r="E1206" t="s">
        <v>888</v>
      </c>
      <c r="F1206" t="s">
        <v>889</v>
      </c>
      <c r="G1206" t="s">
        <v>898</v>
      </c>
      <c r="H1206" s="6">
        <f>_xlfn.XLOOKUP(A1206,Orders[OrderID],Orders[OrderDate])</f>
        <v>43118</v>
      </c>
      <c r="I1206" t="str">
        <f>_xlfn.XLOOKUP(A1206,Orders[OrderID],Orders[CustomerName])</f>
        <v>Muskan</v>
      </c>
      <c r="J1206" t="str">
        <f>_xlfn.XLOOKUP(A1206,Orders[OrderID],Orders[State])</f>
        <v>Madhya Pradesh</v>
      </c>
      <c r="K1206" t="str">
        <f>_xlfn.XLOOKUP(A1206,Orders[OrderID],Orders[City])</f>
        <v>Indore</v>
      </c>
      <c r="L1206" s="3">
        <f>YEAR(Clean_Data[[#This Row],[OrderDate]])</f>
        <v>2018</v>
      </c>
      <c r="M1206" s="3">
        <f>MONTH(Clean_Data[[#This Row],[OrderDate]])</f>
        <v>1</v>
      </c>
      <c r="N1206" s="8" t="str">
        <f>TEXT(Clean_Data[[#This Row],[OrderDate]],"mmm")</f>
        <v>Jan</v>
      </c>
      <c r="O1206" s="8" t="str">
        <f>TEXT(Clean_Data[[#This Row],[OrderDate]], "yyyy-mm")</f>
        <v>2018-01</v>
      </c>
      <c r="P1206" s="7">
        <f>Clean_Data[[#This Row],[Profit]]/Clean_Data[[#This Row],[Revenue ]]</f>
        <v>3.9627039627039624E-2</v>
      </c>
      <c r="Q1206" t="str">
        <f>"Q"&amp;ROUNDUP(MONTH(Clean_Data[[#This Row],[OrderDate]])/3,0)</f>
        <v>Q1</v>
      </c>
      <c r="R1206" t="str">
        <f>TEXT(Clean_Data[[#This Row],[OrderDate]], "dddd")</f>
        <v>Thursday</v>
      </c>
    </row>
    <row r="1207" spans="1:18" x14ac:dyDescent="0.25">
      <c r="A1207" t="s">
        <v>315</v>
      </c>
      <c r="B1207" s="4">
        <v>44</v>
      </c>
      <c r="C1207" s="4">
        <v>-8</v>
      </c>
      <c r="D1207" s="3">
        <v>3</v>
      </c>
      <c r="E1207" t="s">
        <v>895</v>
      </c>
      <c r="F1207" t="s">
        <v>903</v>
      </c>
      <c r="G1207" t="s">
        <v>893</v>
      </c>
      <c r="H1207" s="6">
        <f>_xlfn.XLOOKUP(A1207,Orders[OrderID],Orders[OrderDate])</f>
        <v>43321</v>
      </c>
      <c r="I1207" t="str">
        <f>_xlfn.XLOOKUP(A1207,Orders[OrderID],Orders[CustomerName])</f>
        <v>Kartik</v>
      </c>
      <c r="J1207" t="str">
        <f>_xlfn.XLOOKUP(A1207,Orders[OrderID],Orders[State])</f>
        <v>Gujarat</v>
      </c>
      <c r="K1207" t="str">
        <f>_xlfn.XLOOKUP(A1207,Orders[OrderID],Orders[City])</f>
        <v>Ahmedabad</v>
      </c>
      <c r="L1207" s="3">
        <f>YEAR(Clean_Data[[#This Row],[OrderDate]])</f>
        <v>2018</v>
      </c>
      <c r="M1207" s="3">
        <f>MONTH(Clean_Data[[#This Row],[OrderDate]])</f>
        <v>8</v>
      </c>
      <c r="N1207" s="8" t="str">
        <f>TEXT(Clean_Data[[#This Row],[OrderDate]],"mmm")</f>
        <v>Aug</v>
      </c>
      <c r="O1207" s="8" t="str">
        <f>TEXT(Clean_Data[[#This Row],[OrderDate]], "yyyy-mm")</f>
        <v>2018-08</v>
      </c>
      <c r="P1207" s="7">
        <f>Clean_Data[[#This Row],[Profit]]/Clean_Data[[#This Row],[Revenue ]]</f>
        <v>-0.18181818181818182</v>
      </c>
      <c r="Q1207" t="str">
        <f>"Q"&amp;ROUNDUP(MONTH(Clean_Data[[#This Row],[OrderDate]])/3,0)</f>
        <v>Q3</v>
      </c>
      <c r="R1207" t="str">
        <f>TEXT(Clean_Data[[#This Row],[OrderDate]], "dddd")</f>
        <v>Thursday</v>
      </c>
    </row>
    <row r="1208" spans="1:18" x14ac:dyDescent="0.25">
      <c r="A1208" t="s">
        <v>401</v>
      </c>
      <c r="B1208" s="4">
        <v>149</v>
      </c>
      <c r="C1208" s="4">
        <v>136</v>
      </c>
      <c r="D1208" s="3">
        <v>3</v>
      </c>
      <c r="E1208" t="s">
        <v>895</v>
      </c>
      <c r="F1208" t="s">
        <v>903</v>
      </c>
      <c r="G1208" t="s">
        <v>898</v>
      </c>
      <c r="H1208" s="6">
        <f>_xlfn.XLOOKUP(A1208,Orders[OrderID],Orders[OrderDate])</f>
        <v>43265</v>
      </c>
      <c r="I1208" t="str">
        <f>_xlfn.XLOOKUP(A1208,Orders[OrderID],Orders[CustomerName])</f>
        <v>Bhaggyasree</v>
      </c>
      <c r="J1208" t="str">
        <f>_xlfn.XLOOKUP(A1208,Orders[OrderID],Orders[State])</f>
        <v>Maharashtra</v>
      </c>
      <c r="K1208" t="str">
        <f>_xlfn.XLOOKUP(A1208,Orders[OrderID],Orders[City])</f>
        <v>Mumbai</v>
      </c>
      <c r="L1208" s="3">
        <f>YEAR(Clean_Data[[#This Row],[OrderDate]])</f>
        <v>2018</v>
      </c>
      <c r="M1208" s="3">
        <f>MONTH(Clean_Data[[#This Row],[OrderDate]])</f>
        <v>6</v>
      </c>
      <c r="N1208" s="8" t="str">
        <f>TEXT(Clean_Data[[#This Row],[OrderDate]],"mmm")</f>
        <v>Jun</v>
      </c>
      <c r="O1208" s="8" t="str">
        <f>TEXT(Clean_Data[[#This Row],[OrderDate]], "yyyy-mm")</f>
        <v>2018-06</v>
      </c>
      <c r="P1208" s="7">
        <f>Clean_Data[[#This Row],[Profit]]/Clean_Data[[#This Row],[Revenue ]]</f>
        <v>0.91275167785234901</v>
      </c>
      <c r="Q1208" t="str">
        <f>"Q"&amp;ROUNDUP(MONTH(Clean_Data[[#This Row],[OrderDate]])/3,0)</f>
        <v>Q2</v>
      </c>
      <c r="R1208" t="str">
        <f>TEXT(Clean_Data[[#This Row],[OrderDate]], "dddd")</f>
        <v>Thursday</v>
      </c>
    </row>
    <row r="1209" spans="1:18" x14ac:dyDescent="0.25">
      <c r="A1209" t="s">
        <v>61</v>
      </c>
      <c r="B1209" s="4">
        <v>44</v>
      </c>
      <c r="C1209" s="4">
        <v>-34</v>
      </c>
      <c r="D1209" s="3">
        <v>3</v>
      </c>
      <c r="E1209" t="s">
        <v>895</v>
      </c>
      <c r="F1209" t="s">
        <v>903</v>
      </c>
      <c r="G1209" t="s">
        <v>893</v>
      </c>
      <c r="H1209" s="6">
        <f>_xlfn.XLOOKUP(A1209,Orders[OrderID],Orders[OrderDate])</f>
        <v>43362</v>
      </c>
      <c r="I1209" t="str">
        <f>_xlfn.XLOOKUP(A1209,Orders[OrderID],Orders[CustomerName])</f>
        <v>Madan Mohan</v>
      </c>
      <c r="J1209" t="str">
        <f>_xlfn.XLOOKUP(A1209,Orders[OrderID],Orders[State])</f>
        <v>Uttar Pradesh</v>
      </c>
      <c r="K1209" t="str">
        <f>_xlfn.XLOOKUP(A1209,Orders[OrderID],Orders[City])</f>
        <v>Mathura</v>
      </c>
      <c r="L1209" s="3">
        <f>YEAR(Clean_Data[[#This Row],[OrderDate]])</f>
        <v>2018</v>
      </c>
      <c r="M1209" s="3">
        <f>MONTH(Clean_Data[[#This Row],[OrderDate]])</f>
        <v>9</v>
      </c>
      <c r="N1209" s="8" t="str">
        <f>TEXT(Clean_Data[[#This Row],[OrderDate]],"mmm")</f>
        <v>Sep</v>
      </c>
      <c r="O1209" s="8" t="str">
        <f>TEXT(Clean_Data[[#This Row],[OrderDate]], "yyyy-mm")</f>
        <v>2018-09</v>
      </c>
      <c r="P1209" s="7">
        <f>Clean_Data[[#This Row],[Profit]]/Clean_Data[[#This Row],[Revenue ]]</f>
        <v>-0.77272727272727271</v>
      </c>
      <c r="Q1209" t="str">
        <f>"Q"&amp;ROUNDUP(MONTH(Clean_Data[[#This Row],[OrderDate]])/3,0)</f>
        <v>Q3</v>
      </c>
      <c r="R1209" t="str">
        <f>TEXT(Clean_Data[[#This Row],[OrderDate]], "dddd")</f>
        <v>Wednesday</v>
      </c>
    </row>
    <row r="1210" spans="1:18" x14ac:dyDescent="0.25">
      <c r="A1210" t="s">
        <v>294</v>
      </c>
      <c r="B1210" s="4">
        <v>33</v>
      </c>
      <c r="C1210" s="4">
        <v>10</v>
      </c>
      <c r="D1210" s="3">
        <v>3</v>
      </c>
      <c r="E1210" t="s">
        <v>895</v>
      </c>
      <c r="F1210" t="s">
        <v>899</v>
      </c>
      <c r="G1210" t="s">
        <v>887</v>
      </c>
      <c r="H1210" s="6">
        <f>_xlfn.XLOOKUP(A1210,Orders[OrderID],Orders[OrderDate])</f>
        <v>43440</v>
      </c>
      <c r="I1210" t="str">
        <f>_xlfn.XLOOKUP(A1210,Orders[OrderID],Orders[CustomerName])</f>
        <v>Rohan</v>
      </c>
      <c r="J1210" t="str">
        <f>_xlfn.XLOOKUP(A1210,Orders[OrderID],Orders[State])</f>
        <v>Madhya Pradesh</v>
      </c>
      <c r="K1210" t="str">
        <f>_xlfn.XLOOKUP(A1210,Orders[OrderID],Orders[City])</f>
        <v>Indore</v>
      </c>
      <c r="L1210" s="3">
        <f>YEAR(Clean_Data[[#This Row],[OrderDate]])</f>
        <v>2018</v>
      </c>
      <c r="M1210" s="3">
        <f>MONTH(Clean_Data[[#This Row],[OrderDate]])</f>
        <v>12</v>
      </c>
      <c r="N1210" s="8" t="str">
        <f>TEXT(Clean_Data[[#This Row],[OrderDate]],"mmm")</f>
        <v>Dec</v>
      </c>
      <c r="O1210" s="8" t="str">
        <f>TEXT(Clean_Data[[#This Row],[OrderDate]], "yyyy-mm")</f>
        <v>2018-12</v>
      </c>
      <c r="P1210" s="7">
        <f>Clean_Data[[#This Row],[Profit]]/Clean_Data[[#This Row],[Revenue ]]</f>
        <v>0.30303030303030304</v>
      </c>
      <c r="Q1210" t="str">
        <f>"Q"&amp;ROUNDUP(MONTH(Clean_Data[[#This Row],[OrderDate]])/3,0)</f>
        <v>Q4</v>
      </c>
      <c r="R1210" t="str">
        <f>TEXT(Clean_Data[[#This Row],[OrderDate]], "dddd")</f>
        <v>Thursday</v>
      </c>
    </row>
    <row r="1211" spans="1:18" x14ac:dyDescent="0.25">
      <c r="A1211" t="s">
        <v>425</v>
      </c>
      <c r="B1211" s="4">
        <v>33</v>
      </c>
      <c r="C1211" s="4">
        <v>9</v>
      </c>
      <c r="D1211" s="3">
        <v>2</v>
      </c>
      <c r="E1211" t="s">
        <v>895</v>
      </c>
      <c r="F1211" t="s">
        <v>899</v>
      </c>
      <c r="G1211" t="s">
        <v>887</v>
      </c>
      <c r="H1211" s="6">
        <f>_xlfn.XLOOKUP(A1211,Orders[OrderID],Orders[OrderDate])</f>
        <v>43169</v>
      </c>
      <c r="I1211" t="str">
        <f>_xlfn.XLOOKUP(A1211,Orders[OrderID],Orders[CustomerName])</f>
        <v>Sonal</v>
      </c>
      <c r="J1211" t="str">
        <f>_xlfn.XLOOKUP(A1211,Orders[OrderID],Orders[State])</f>
        <v>Bihar</v>
      </c>
      <c r="K1211" t="str">
        <f>_xlfn.XLOOKUP(A1211,Orders[OrderID],Orders[City])</f>
        <v>Patna</v>
      </c>
      <c r="L1211" s="3">
        <f>YEAR(Clean_Data[[#This Row],[OrderDate]])</f>
        <v>2018</v>
      </c>
      <c r="M1211" s="3">
        <f>MONTH(Clean_Data[[#This Row],[OrderDate]])</f>
        <v>3</v>
      </c>
      <c r="N1211" s="8" t="str">
        <f>TEXT(Clean_Data[[#This Row],[OrderDate]],"mmm")</f>
        <v>Mar</v>
      </c>
      <c r="O1211" s="8" t="str">
        <f>TEXT(Clean_Data[[#This Row],[OrderDate]], "yyyy-mm")</f>
        <v>2018-03</v>
      </c>
      <c r="P1211" s="7">
        <f>Clean_Data[[#This Row],[Profit]]/Clean_Data[[#This Row],[Revenue ]]</f>
        <v>0.27272727272727271</v>
      </c>
      <c r="Q1211" t="str">
        <f>"Q"&amp;ROUNDUP(MONTH(Clean_Data[[#This Row],[OrderDate]])/3,0)</f>
        <v>Q1</v>
      </c>
      <c r="R1211" t="str">
        <f>TEXT(Clean_Data[[#This Row],[OrderDate]], "dddd")</f>
        <v>Saturday</v>
      </c>
    </row>
    <row r="1212" spans="1:18" x14ac:dyDescent="0.25">
      <c r="A1212" t="s">
        <v>142</v>
      </c>
      <c r="B1212" s="4">
        <v>442</v>
      </c>
      <c r="C1212" s="4">
        <v>31</v>
      </c>
      <c r="D1212" s="3">
        <v>2</v>
      </c>
      <c r="E1212" t="s">
        <v>885</v>
      </c>
      <c r="F1212" t="s">
        <v>886</v>
      </c>
      <c r="G1212" t="s">
        <v>898</v>
      </c>
      <c r="H1212" s="6">
        <f>_xlfn.XLOOKUP(A1212,Orders[OrderID],Orders[OrderDate])</f>
        <v>43412</v>
      </c>
      <c r="I1212" t="str">
        <f>_xlfn.XLOOKUP(A1212,Orders[OrderID],Orders[CustomerName])</f>
        <v>Abhijeet</v>
      </c>
      <c r="J1212" t="str">
        <f>_xlfn.XLOOKUP(A1212,Orders[OrderID],Orders[State])</f>
        <v>Madhya Pradesh</v>
      </c>
      <c r="K1212" t="str">
        <f>_xlfn.XLOOKUP(A1212,Orders[OrderID],Orders[City])</f>
        <v>Bhopal</v>
      </c>
      <c r="L1212" s="3">
        <f>YEAR(Clean_Data[[#This Row],[OrderDate]])</f>
        <v>2018</v>
      </c>
      <c r="M1212" s="3">
        <f>MONTH(Clean_Data[[#This Row],[OrderDate]])</f>
        <v>11</v>
      </c>
      <c r="N1212" s="8" t="str">
        <f>TEXT(Clean_Data[[#This Row],[OrderDate]],"mmm")</f>
        <v>Nov</v>
      </c>
      <c r="O1212" s="8" t="str">
        <f>TEXT(Clean_Data[[#This Row],[OrderDate]], "yyyy-mm")</f>
        <v>2018-11</v>
      </c>
      <c r="P1212" s="7">
        <f>Clean_Data[[#This Row],[Profit]]/Clean_Data[[#This Row],[Revenue ]]</f>
        <v>7.0135746606334842E-2</v>
      </c>
      <c r="Q1212" t="str">
        <f>"Q"&amp;ROUNDUP(MONTH(Clean_Data[[#This Row],[OrderDate]])/3,0)</f>
        <v>Q4</v>
      </c>
      <c r="R1212" t="str">
        <f>TEXT(Clean_Data[[#This Row],[OrderDate]], "dddd")</f>
        <v>Thursday</v>
      </c>
    </row>
    <row r="1213" spans="1:18" x14ac:dyDescent="0.25">
      <c r="A1213" t="s">
        <v>209</v>
      </c>
      <c r="B1213" s="4">
        <v>41</v>
      </c>
      <c r="C1213" s="4">
        <v>6</v>
      </c>
      <c r="D1213" s="3">
        <v>5</v>
      </c>
      <c r="E1213" t="s">
        <v>895</v>
      </c>
      <c r="F1213" t="s">
        <v>901</v>
      </c>
      <c r="G1213" t="s">
        <v>893</v>
      </c>
      <c r="H1213" s="6">
        <f>_xlfn.XLOOKUP(A1213,Orders[OrderID],Orders[OrderDate])</f>
        <v>43243</v>
      </c>
      <c r="I1213" t="str">
        <f>_xlfn.XLOOKUP(A1213,Orders[OrderID],Orders[CustomerName])</f>
        <v>Anjali</v>
      </c>
      <c r="J1213" t="str">
        <f>_xlfn.XLOOKUP(A1213,Orders[OrderID],Orders[State])</f>
        <v>Haryana</v>
      </c>
      <c r="K1213" t="str">
        <f>_xlfn.XLOOKUP(A1213,Orders[OrderID],Orders[City])</f>
        <v>Chandigarh</v>
      </c>
      <c r="L1213" s="3">
        <f>YEAR(Clean_Data[[#This Row],[OrderDate]])</f>
        <v>2018</v>
      </c>
      <c r="M1213" s="3">
        <f>MONTH(Clean_Data[[#This Row],[OrderDate]])</f>
        <v>5</v>
      </c>
      <c r="N1213" s="8" t="str">
        <f>TEXT(Clean_Data[[#This Row],[OrderDate]],"mmm")</f>
        <v>May</v>
      </c>
      <c r="O1213" s="8" t="str">
        <f>TEXT(Clean_Data[[#This Row],[OrderDate]], "yyyy-mm")</f>
        <v>2018-05</v>
      </c>
      <c r="P1213" s="7">
        <f>Clean_Data[[#This Row],[Profit]]/Clean_Data[[#This Row],[Revenue ]]</f>
        <v>0.14634146341463414</v>
      </c>
      <c r="Q1213" t="str">
        <f>"Q"&amp;ROUNDUP(MONTH(Clean_Data[[#This Row],[OrderDate]])/3,0)</f>
        <v>Q2</v>
      </c>
      <c r="R1213" t="str">
        <f>TEXT(Clean_Data[[#This Row],[OrderDate]], "dddd")</f>
        <v>Wednesday</v>
      </c>
    </row>
    <row r="1214" spans="1:18" x14ac:dyDescent="0.25">
      <c r="A1214" t="s">
        <v>720</v>
      </c>
      <c r="B1214" s="4">
        <v>33</v>
      </c>
      <c r="C1214" s="4">
        <v>-12</v>
      </c>
      <c r="D1214" s="3">
        <v>5</v>
      </c>
      <c r="E1214" t="s">
        <v>895</v>
      </c>
      <c r="F1214" t="s">
        <v>899</v>
      </c>
      <c r="G1214" t="s">
        <v>887</v>
      </c>
      <c r="H1214" s="6">
        <f>_xlfn.XLOOKUP(A1214,Orders[OrderID],Orders[OrderDate])</f>
        <v>43277</v>
      </c>
      <c r="I1214" t="str">
        <f>_xlfn.XLOOKUP(A1214,Orders[OrderID],Orders[CustomerName])</f>
        <v>Maithilee</v>
      </c>
      <c r="J1214" t="str">
        <f>_xlfn.XLOOKUP(A1214,Orders[OrderID],Orders[State])</f>
        <v>Madhya Pradesh</v>
      </c>
      <c r="K1214" t="str">
        <f>_xlfn.XLOOKUP(A1214,Orders[OrderID],Orders[City])</f>
        <v>Indore</v>
      </c>
      <c r="L1214" s="3">
        <f>YEAR(Clean_Data[[#This Row],[OrderDate]])</f>
        <v>2018</v>
      </c>
      <c r="M1214" s="3">
        <f>MONTH(Clean_Data[[#This Row],[OrderDate]])</f>
        <v>6</v>
      </c>
      <c r="N1214" s="8" t="str">
        <f>TEXT(Clean_Data[[#This Row],[OrderDate]],"mmm")</f>
        <v>Jun</v>
      </c>
      <c r="O1214" s="8" t="str">
        <f>TEXT(Clean_Data[[#This Row],[OrderDate]], "yyyy-mm")</f>
        <v>2018-06</v>
      </c>
      <c r="P1214" s="7">
        <f>Clean_Data[[#This Row],[Profit]]/Clean_Data[[#This Row],[Revenue ]]</f>
        <v>-0.36363636363636365</v>
      </c>
      <c r="Q1214" t="str">
        <f>"Q"&amp;ROUNDUP(MONTH(Clean_Data[[#This Row],[OrderDate]])/3,0)</f>
        <v>Q2</v>
      </c>
      <c r="R1214" t="str">
        <f>TEXT(Clean_Data[[#This Row],[OrderDate]], "dddd")</f>
        <v>Tuesday</v>
      </c>
    </row>
    <row r="1215" spans="1:18" x14ac:dyDescent="0.25">
      <c r="A1215" t="s">
        <v>827</v>
      </c>
      <c r="B1215" s="4">
        <v>32</v>
      </c>
      <c r="C1215" s="4">
        <v>3</v>
      </c>
      <c r="D1215" s="3">
        <v>8</v>
      </c>
      <c r="E1215" t="s">
        <v>895</v>
      </c>
      <c r="F1215" t="s">
        <v>899</v>
      </c>
      <c r="G1215" t="s">
        <v>887</v>
      </c>
      <c r="H1215" s="6">
        <f>_xlfn.XLOOKUP(A1215,Orders[OrderID],Orders[OrderDate])</f>
        <v>43163</v>
      </c>
      <c r="I1215" t="str">
        <f>_xlfn.XLOOKUP(A1215,Orders[OrderID],Orders[CustomerName])</f>
        <v>Nishi</v>
      </c>
      <c r="J1215" t="str">
        <f>_xlfn.XLOOKUP(A1215,Orders[OrderID],Orders[State])</f>
        <v>Maharashtra</v>
      </c>
      <c r="K1215" t="str">
        <f>_xlfn.XLOOKUP(A1215,Orders[OrderID],Orders[City])</f>
        <v>Mumbai</v>
      </c>
      <c r="L1215" s="3">
        <f>YEAR(Clean_Data[[#This Row],[OrderDate]])</f>
        <v>2018</v>
      </c>
      <c r="M1215" s="3">
        <f>MONTH(Clean_Data[[#This Row],[OrderDate]])</f>
        <v>3</v>
      </c>
      <c r="N1215" s="8" t="str">
        <f>TEXT(Clean_Data[[#This Row],[OrderDate]],"mmm")</f>
        <v>Mar</v>
      </c>
      <c r="O1215" s="8" t="str">
        <f>TEXT(Clean_Data[[#This Row],[OrderDate]], "yyyy-mm")</f>
        <v>2018-03</v>
      </c>
      <c r="P1215" s="7">
        <f>Clean_Data[[#This Row],[Profit]]/Clean_Data[[#This Row],[Revenue ]]</f>
        <v>9.375E-2</v>
      </c>
      <c r="Q1215" t="str">
        <f>"Q"&amp;ROUNDUP(MONTH(Clean_Data[[#This Row],[OrderDate]])/3,0)</f>
        <v>Q1</v>
      </c>
      <c r="R1215" t="str">
        <f>TEXT(Clean_Data[[#This Row],[OrderDate]], "dddd")</f>
        <v>Sunday</v>
      </c>
    </row>
    <row r="1216" spans="1:18" x14ac:dyDescent="0.25">
      <c r="A1216" t="s">
        <v>166</v>
      </c>
      <c r="B1216" s="4">
        <v>32</v>
      </c>
      <c r="C1216" s="4">
        <v>6</v>
      </c>
      <c r="D1216" s="3">
        <v>3</v>
      </c>
      <c r="E1216" t="s">
        <v>895</v>
      </c>
      <c r="F1216" t="s">
        <v>909</v>
      </c>
      <c r="G1216" t="s">
        <v>887</v>
      </c>
      <c r="H1216" s="6">
        <f>_xlfn.XLOOKUP(A1216,Orders[OrderID],Orders[OrderDate])</f>
        <v>43252</v>
      </c>
      <c r="I1216" t="str">
        <f>_xlfn.XLOOKUP(A1216,Orders[OrderID],Orders[CustomerName])</f>
        <v>Chandni</v>
      </c>
      <c r="J1216" t="str">
        <f>_xlfn.XLOOKUP(A1216,Orders[OrderID],Orders[State])</f>
        <v>Rajasthan</v>
      </c>
      <c r="K1216" t="str">
        <f>_xlfn.XLOOKUP(A1216,Orders[OrderID],Orders[City])</f>
        <v>Jaipur</v>
      </c>
      <c r="L1216" s="3">
        <f>YEAR(Clean_Data[[#This Row],[OrderDate]])</f>
        <v>2018</v>
      </c>
      <c r="M1216" s="3">
        <f>MONTH(Clean_Data[[#This Row],[OrderDate]])</f>
        <v>6</v>
      </c>
      <c r="N1216" s="8" t="str">
        <f>TEXT(Clean_Data[[#This Row],[OrderDate]],"mmm")</f>
        <v>Jun</v>
      </c>
      <c r="O1216" s="8" t="str">
        <f>TEXT(Clean_Data[[#This Row],[OrderDate]], "yyyy-mm")</f>
        <v>2018-06</v>
      </c>
      <c r="P1216" s="7">
        <f>Clean_Data[[#This Row],[Profit]]/Clean_Data[[#This Row],[Revenue ]]</f>
        <v>0.1875</v>
      </c>
      <c r="Q1216" t="str">
        <f>"Q"&amp;ROUNDUP(MONTH(Clean_Data[[#This Row],[OrderDate]])/3,0)</f>
        <v>Q2</v>
      </c>
      <c r="R1216" t="str">
        <f>TEXT(Clean_Data[[#This Row],[OrderDate]], "dddd")</f>
        <v>Friday</v>
      </c>
    </row>
    <row r="1217" spans="1:18" x14ac:dyDescent="0.25">
      <c r="A1217" t="s">
        <v>449</v>
      </c>
      <c r="B1217" s="4">
        <v>179</v>
      </c>
      <c r="C1217" s="4">
        <v>77</v>
      </c>
      <c r="D1217" s="3">
        <v>1</v>
      </c>
      <c r="E1217" t="s">
        <v>895</v>
      </c>
      <c r="F1217" t="s">
        <v>897</v>
      </c>
      <c r="G1217" t="s">
        <v>898</v>
      </c>
      <c r="H1217" s="6">
        <f>_xlfn.XLOOKUP(A1217,Orders[OrderID],Orders[OrderDate])</f>
        <v>43162</v>
      </c>
      <c r="I1217" t="str">
        <f>_xlfn.XLOOKUP(A1217,Orders[OrderID],Orders[CustomerName])</f>
        <v>Nidhi</v>
      </c>
      <c r="J1217" t="str">
        <f>_xlfn.XLOOKUP(A1217,Orders[OrderID],Orders[State])</f>
        <v>Nagaland</v>
      </c>
      <c r="K1217" t="str">
        <f>_xlfn.XLOOKUP(A1217,Orders[OrderID],Orders[City])</f>
        <v>Kohima</v>
      </c>
      <c r="L1217" s="3">
        <f>YEAR(Clean_Data[[#This Row],[OrderDate]])</f>
        <v>2018</v>
      </c>
      <c r="M1217" s="3">
        <f>MONTH(Clean_Data[[#This Row],[OrderDate]])</f>
        <v>3</v>
      </c>
      <c r="N1217" s="8" t="str">
        <f>TEXT(Clean_Data[[#This Row],[OrderDate]],"mmm")</f>
        <v>Mar</v>
      </c>
      <c r="O1217" s="8" t="str">
        <f>TEXT(Clean_Data[[#This Row],[OrderDate]], "yyyy-mm")</f>
        <v>2018-03</v>
      </c>
      <c r="P1217" s="7">
        <f>Clean_Data[[#This Row],[Profit]]/Clean_Data[[#This Row],[Revenue ]]</f>
        <v>0.43016759776536312</v>
      </c>
      <c r="Q1217" t="str">
        <f>"Q"&amp;ROUNDUP(MONTH(Clean_Data[[#This Row],[OrderDate]])/3,0)</f>
        <v>Q1</v>
      </c>
      <c r="R1217" t="str">
        <f>TEXT(Clean_Data[[#This Row],[OrderDate]], "dddd")</f>
        <v>Saturday</v>
      </c>
    </row>
    <row r="1218" spans="1:18" x14ac:dyDescent="0.25">
      <c r="A1218" t="s">
        <v>684</v>
      </c>
      <c r="B1218" s="4">
        <v>31</v>
      </c>
      <c r="C1218" s="4">
        <v>10</v>
      </c>
      <c r="D1218" s="3">
        <v>1</v>
      </c>
      <c r="E1218" t="s">
        <v>895</v>
      </c>
      <c r="F1218" t="s">
        <v>900</v>
      </c>
      <c r="G1218" t="s">
        <v>887</v>
      </c>
      <c r="H1218" s="6">
        <f>_xlfn.XLOOKUP(A1218,Orders[OrderID],Orders[OrderDate])</f>
        <v>43437</v>
      </c>
      <c r="I1218" t="str">
        <f>_xlfn.XLOOKUP(A1218,Orders[OrderID],Orders[CustomerName])</f>
        <v>Abhishek</v>
      </c>
      <c r="J1218" t="str">
        <f>_xlfn.XLOOKUP(A1218,Orders[OrderID],Orders[State])</f>
        <v>Gujarat</v>
      </c>
      <c r="K1218" t="str">
        <f>_xlfn.XLOOKUP(A1218,Orders[OrderID],Orders[City])</f>
        <v>Surat</v>
      </c>
      <c r="L1218" s="3">
        <f>YEAR(Clean_Data[[#This Row],[OrderDate]])</f>
        <v>2018</v>
      </c>
      <c r="M1218" s="3">
        <f>MONTH(Clean_Data[[#This Row],[OrderDate]])</f>
        <v>12</v>
      </c>
      <c r="N1218" s="8" t="str">
        <f>TEXT(Clean_Data[[#This Row],[OrderDate]],"mmm")</f>
        <v>Dec</v>
      </c>
      <c r="O1218" s="8" t="str">
        <f>TEXT(Clean_Data[[#This Row],[OrderDate]], "yyyy-mm")</f>
        <v>2018-12</v>
      </c>
      <c r="P1218" s="7">
        <f>Clean_Data[[#This Row],[Profit]]/Clean_Data[[#This Row],[Revenue ]]</f>
        <v>0.32258064516129031</v>
      </c>
      <c r="Q1218" t="str">
        <f>"Q"&amp;ROUNDUP(MONTH(Clean_Data[[#This Row],[OrderDate]])/3,0)</f>
        <v>Q4</v>
      </c>
      <c r="R1218" t="str">
        <f>TEXT(Clean_Data[[#This Row],[OrderDate]], "dddd")</f>
        <v>Monday</v>
      </c>
    </row>
    <row r="1219" spans="1:18" x14ac:dyDescent="0.25">
      <c r="A1219" t="s">
        <v>550</v>
      </c>
      <c r="B1219" s="4">
        <v>140</v>
      </c>
      <c r="C1219" s="4">
        <v>68</v>
      </c>
      <c r="D1219" s="3">
        <v>5</v>
      </c>
      <c r="E1219" t="s">
        <v>895</v>
      </c>
      <c r="F1219" t="s">
        <v>906</v>
      </c>
      <c r="G1219" t="s">
        <v>887</v>
      </c>
      <c r="H1219" s="6">
        <f>_xlfn.XLOOKUP(A1219,Orders[OrderID],Orders[OrderDate])</f>
        <v>43443</v>
      </c>
      <c r="I1219" t="str">
        <f>_xlfn.XLOOKUP(A1219,Orders[OrderID],Orders[CustomerName])</f>
        <v>Anand</v>
      </c>
      <c r="J1219" t="str">
        <f>_xlfn.XLOOKUP(A1219,Orders[OrderID],Orders[State])</f>
        <v>Punjab</v>
      </c>
      <c r="K1219" t="str">
        <f>_xlfn.XLOOKUP(A1219,Orders[OrderID],Orders[City])</f>
        <v>Amritsar</v>
      </c>
      <c r="L1219" s="3">
        <f>YEAR(Clean_Data[[#This Row],[OrderDate]])</f>
        <v>2018</v>
      </c>
      <c r="M1219" s="3">
        <f>MONTH(Clean_Data[[#This Row],[OrderDate]])</f>
        <v>12</v>
      </c>
      <c r="N1219" s="8" t="str">
        <f>TEXT(Clean_Data[[#This Row],[OrderDate]],"mmm")</f>
        <v>Dec</v>
      </c>
      <c r="O1219" s="8" t="str">
        <f>TEXT(Clean_Data[[#This Row],[OrderDate]], "yyyy-mm")</f>
        <v>2018-12</v>
      </c>
      <c r="P1219" s="7">
        <f>Clean_Data[[#This Row],[Profit]]/Clean_Data[[#This Row],[Revenue ]]</f>
        <v>0.48571428571428571</v>
      </c>
      <c r="Q1219" t="str">
        <f>"Q"&amp;ROUNDUP(MONTH(Clean_Data[[#This Row],[OrderDate]])/3,0)</f>
        <v>Q4</v>
      </c>
      <c r="R1219" t="str">
        <f>TEXT(Clean_Data[[#This Row],[OrderDate]], "dddd")</f>
        <v>Sunday</v>
      </c>
    </row>
    <row r="1220" spans="1:18" x14ac:dyDescent="0.25">
      <c r="A1220" t="s">
        <v>375</v>
      </c>
      <c r="B1220" s="4">
        <v>529</v>
      </c>
      <c r="C1220" s="4">
        <v>137</v>
      </c>
      <c r="D1220" s="3">
        <v>3</v>
      </c>
      <c r="E1220" t="s">
        <v>885</v>
      </c>
      <c r="F1220" t="s">
        <v>894</v>
      </c>
      <c r="G1220" t="s">
        <v>907</v>
      </c>
      <c r="H1220" s="6">
        <f>_xlfn.XLOOKUP(A1220,Orders[OrderID],Orders[OrderDate])</f>
        <v>43261</v>
      </c>
      <c r="I1220" t="str">
        <f>_xlfn.XLOOKUP(A1220,Orders[OrderID],Orders[CustomerName])</f>
        <v>Sheetal</v>
      </c>
      <c r="J1220" t="str">
        <f>_xlfn.XLOOKUP(A1220,Orders[OrderID],Orders[State])</f>
        <v>Madhya Pradesh</v>
      </c>
      <c r="K1220" t="str">
        <f>_xlfn.XLOOKUP(A1220,Orders[OrderID],Orders[City])</f>
        <v>Indore</v>
      </c>
      <c r="L1220" s="3">
        <f>YEAR(Clean_Data[[#This Row],[OrderDate]])</f>
        <v>2018</v>
      </c>
      <c r="M1220" s="3">
        <f>MONTH(Clean_Data[[#This Row],[OrderDate]])</f>
        <v>6</v>
      </c>
      <c r="N1220" s="8" t="str">
        <f>TEXT(Clean_Data[[#This Row],[OrderDate]],"mmm")</f>
        <v>Jun</v>
      </c>
      <c r="O1220" s="8" t="str">
        <f>TEXT(Clean_Data[[#This Row],[OrderDate]], "yyyy-mm")</f>
        <v>2018-06</v>
      </c>
      <c r="P1220" s="7">
        <f>Clean_Data[[#This Row],[Profit]]/Clean_Data[[#This Row],[Revenue ]]</f>
        <v>0.25897920604914931</v>
      </c>
      <c r="Q1220" t="str">
        <f>"Q"&amp;ROUNDUP(MONTH(Clean_Data[[#This Row],[OrderDate]])/3,0)</f>
        <v>Q2</v>
      </c>
      <c r="R1220" t="str">
        <f>TEXT(Clean_Data[[#This Row],[OrderDate]], "dddd")</f>
        <v>Sunday</v>
      </c>
    </row>
    <row r="1221" spans="1:18" x14ac:dyDescent="0.25">
      <c r="A1221" t="s">
        <v>371</v>
      </c>
      <c r="B1221" s="4">
        <v>534</v>
      </c>
      <c r="C1221" s="4">
        <v>0</v>
      </c>
      <c r="D1221" s="3">
        <v>3</v>
      </c>
      <c r="E1221" t="s">
        <v>895</v>
      </c>
      <c r="F1221" t="s">
        <v>897</v>
      </c>
      <c r="G1221" t="s">
        <v>907</v>
      </c>
      <c r="H1221" s="6">
        <f>_xlfn.XLOOKUP(A1221,Orders[OrderID],Orders[OrderDate])</f>
        <v>43212</v>
      </c>
      <c r="I1221" t="str">
        <f>_xlfn.XLOOKUP(A1221,Orders[OrderID],Orders[CustomerName])</f>
        <v>Monisha</v>
      </c>
      <c r="J1221" t="str">
        <f>_xlfn.XLOOKUP(A1221,Orders[OrderID],Orders[State])</f>
        <v>Rajasthan</v>
      </c>
      <c r="K1221" t="str">
        <f>_xlfn.XLOOKUP(A1221,Orders[OrderID],Orders[City])</f>
        <v>Jaipur</v>
      </c>
      <c r="L1221" s="3">
        <f>YEAR(Clean_Data[[#This Row],[OrderDate]])</f>
        <v>2018</v>
      </c>
      <c r="M1221" s="3">
        <f>MONTH(Clean_Data[[#This Row],[OrderDate]])</f>
        <v>4</v>
      </c>
      <c r="N1221" s="8" t="str">
        <f>TEXT(Clean_Data[[#This Row],[OrderDate]],"mmm")</f>
        <v>Apr</v>
      </c>
      <c r="O1221" s="8" t="str">
        <f>TEXT(Clean_Data[[#This Row],[OrderDate]], "yyyy-mm")</f>
        <v>2018-04</v>
      </c>
      <c r="P1221" s="7">
        <f>Clean_Data[[#This Row],[Profit]]/Clean_Data[[#This Row],[Revenue ]]</f>
        <v>0</v>
      </c>
      <c r="Q1221" t="str">
        <f>"Q"&amp;ROUNDUP(MONTH(Clean_Data[[#This Row],[OrderDate]])/3,0)</f>
        <v>Q2</v>
      </c>
      <c r="R1221" t="str">
        <f>TEXT(Clean_Data[[#This Row],[OrderDate]], "dddd")</f>
        <v>Sunday</v>
      </c>
    </row>
    <row r="1222" spans="1:18" x14ac:dyDescent="0.25">
      <c r="A1222" t="s">
        <v>813</v>
      </c>
      <c r="B1222" s="4">
        <v>41</v>
      </c>
      <c r="C1222" s="4">
        <v>-6</v>
      </c>
      <c r="D1222" s="3">
        <v>1</v>
      </c>
      <c r="E1222" t="s">
        <v>888</v>
      </c>
      <c r="F1222" t="s">
        <v>889</v>
      </c>
      <c r="G1222" t="s">
        <v>893</v>
      </c>
      <c r="H1222" s="6">
        <f>_xlfn.XLOOKUP(A1222,Orders[OrderID],Orders[OrderDate])</f>
        <v>43282</v>
      </c>
      <c r="I1222" t="str">
        <f>_xlfn.XLOOKUP(A1222,Orders[OrderID],Orders[CustomerName])</f>
        <v>Aakanksha</v>
      </c>
      <c r="J1222" t="str">
        <f>_xlfn.XLOOKUP(A1222,Orders[OrderID],Orders[State])</f>
        <v>Madhya Pradesh</v>
      </c>
      <c r="K1222" t="str">
        <f>_xlfn.XLOOKUP(A1222,Orders[OrderID],Orders[City])</f>
        <v>Indore</v>
      </c>
      <c r="L1222" s="3">
        <f>YEAR(Clean_Data[[#This Row],[OrderDate]])</f>
        <v>2018</v>
      </c>
      <c r="M1222" s="3">
        <f>MONTH(Clean_Data[[#This Row],[OrderDate]])</f>
        <v>7</v>
      </c>
      <c r="N1222" s="8" t="str">
        <f>TEXT(Clean_Data[[#This Row],[OrderDate]],"mmm")</f>
        <v>Jul</v>
      </c>
      <c r="O1222" s="8" t="str">
        <f>TEXT(Clean_Data[[#This Row],[OrderDate]], "yyyy-mm")</f>
        <v>2018-07</v>
      </c>
      <c r="P1222" s="7">
        <f>Clean_Data[[#This Row],[Profit]]/Clean_Data[[#This Row],[Revenue ]]</f>
        <v>-0.14634146341463414</v>
      </c>
      <c r="Q1222" t="str">
        <f>"Q"&amp;ROUNDUP(MONTH(Clean_Data[[#This Row],[OrderDate]])/3,0)</f>
        <v>Q3</v>
      </c>
      <c r="R1222" t="str">
        <f>TEXT(Clean_Data[[#This Row],[OrderDate]], "dddd")</f>
        <v>Sunday</v>
      </c>
    </row>
    <row r="1223" spans="1:18" x14ac:dyDescent="0.25">
      <c r="A1223" t="s">
        <v>28</v>
      </c>
      <c r="B1223" s="4">
        <v>379</v>
      </c>
      <c r="C1223" s="4">
        <v>63</v>
      </c>
      <c r="D1223" s="3">
        <v>2</v>
      </c>
      <c r="E1223" t="s">
        <v>895</v>
      </c>
      <c r="F1223" t="s">
        <v>897</v>
      </c>
      <c r="G1223" t="s">
        <v>887</v>
      </c>
      <c r="H1223" s="6">
        <f>_xlfn.XLOOKUP(A1223,Orders[OrderID],Orders[OrderDate])</f>
        <v>43374</v>
      </c>
      <c r="I1223" t="str">
        <f>_xlfn.XLOOKUP(A1223,Orders[OrderID],Orders[CustomerName])</f>
        <v>Shishu</v>
      </c>
      <c r="J1223" t="str">
        <f>_xlfn.XLOOKUP(A1223,Orders[OrderID],Orders[State])</f>
        <v>Andhra Pradesh</v>
      </c>
      <c r="K1223" t="str">
        <f>_xlfn.XLOOKUP(A1223,Orders[OrderID],Orders[City])</f>
        <v>Hyderabad</v>
      </c>
      <c r="L1223" s="3">
        <f>YEAR(Clean_Data[[#This Row],[OrderDate]])</f>
        <v>2018</v>
      </c>
      <c r="M1223" s="3">
        <f>MONTH(Clean_Data[[#This Row],[OrderDate]])</f>
        <v>10</v>
      </c>
      <c r="N1223" s="8" t="str">
        <f>TEXT(Clean_Data[[#This Row],[OrderDate]],"mmm")</f>
        <v>Oct</v>
      </c>
      <c r="O1223" s="8" t="str">
        <f>TEXT(Clean_Data[[#This Row],[OrderDate]], "yyyy-mm")</f>
        <v>2018-10</v>
      </c>
      <c r="P1223" s="7">
        <f>Clean_Data[[#This Row],[Profit]]/Clean_Data[[#This Row],[Revenue ]]</f>
        <v>0.16622691292875991</v>
      </c>
      <c r="Q1223" t="str">
        <f>"Q"&amp;ROUNDUP(MONTH(Clean_Data[[#This Row],[OrderDate]])/3,0)</f>
        <v>Q4</v>
      </c>
      <c r="R1223" t="str">
        <f>TEXT(Clean_Data[[#This Row],[OrderDate]], "dddd")</f>
        <v>Monday</v>
      </c>
    </row>
    <row r="1224" spans="1:18" x14ac:dyDescent="0.25">
      <c r="A1224" t="s">
        <v>430</v>
      </c>
      <c r="B1224" s="4">
        <v>81</v>
      </c>
      <c r="C1224" s="4">
        <v>-44</v>
      </c>
      <c r="D1224" s="3">
        <v>3</v>
      </c>
      <c r="E1224" t="s">
        <v>895</v>
      </c>
      <c r="F1224" t="s">
        <v>903</v>
      </c>
      <c r="G1224" t="s">
        <v>887</v>
      </c>
      <c r="H1224" s="6">
        <f>_xlfn.XLOOKUP(A1224,Orders[OrderID],Orders[OrderDate])</f>
        <v>43104</v>
      </c>
      <c r="I1224" t="str">
        <f>_xlfn.XLOOKUP(A1224,Orders[OrderID],Orders[CustomerName])</f>
        <v>Shikhar</v>
      </c>
      <c r="J1224" t="str">
        <f>_xlfn.XLOOKUP(A1224,Orders[OrderID],Orders[State])</f>
        <v>Maharashtra</v>
      </c>
      <c r="K1224" t="str">
        <f>_xlfn.XLOOKUP(A1224,Orders[OrderID],Orders[City])</f>
        <v>Mumbai</v>
      </c>
      <c r="L1224" s="3">
        <f>YEAR(Clean_Data[[#This Row],[OrderDate]])</f>
        <v>2018</v>
      </c>
      <c r="M1224" s="3">
        <f>MONTH(Clean_Data[[#This Row],[OrderDate]])</f>
        <v>1</v>
      </c>
      <c r="N1224" s="8" t="str">
        <f>TEXT(Clean_Data[[#This Row],[OrderDate]],"mmm")</f>
        <v>Jan</v>
      </c>
      <c r="O1224" s="8" t="str">
        <f>TEXT(Clean_Data[[#This Row],[OrderDate]], "yyyy-mm")</f>
        <v>2018-01</v>
      </c>
      <c r="P1224" s="7">
        <f>Clean_Data[[#This Row],[Profit]]/Clean_Data[[#This Row],[Revenue ]]</f>
        <v>-0.54320987654320985</v>
      </c>
      <c r="Q1224" t="str">
        <f>"Q"&amp;ROUNDUP(MONTH(Clean_Data[[#This Row],[OrderDate]])/3,0)</f>
        <v>Q1</v>
      </c>
      <c r="R1224" t="str">
        <f>TEXT(Clean_Data[[#This Row],[OrderDate]], "dddd")</f>
        <v>Thursday</v>
      </c>
    </row>
    <row r="1225" spans="1:18" x14ac:dyDescent="0.25">
      <c r="A1225" t="s">
        <v>122</v>
      </c>
      <c r="B1225" s="4">
        <v>40</v>
      </c>
      <c r="C1225" s="4">
        <v>-33</v>
      </c>
      <c r="D1225" s="3">
        <v>5</v>
      </c>
      <c r="E1225" t="s">
        <v>895</v>
      </c>
      <c r="F1225" t="s">
        <v>899</v>
      </c>
      <c r="G1225" t="s">
        <v>893</v>
      </c>
      <c r="H1225" s="6">
        <f>_xlfn.XLOOKUP(A1225,Orders[OrderID],Orders[OrderDate])</f>
        <v>43367</v>
      </c>
      <c r="I1225" t="str">
        <f>_xlfn.XLOOKUP(A1225,Orders[OrderID],Orders[CustomerName])</f>
        <v>Siddharth</v>
      </c>
      <c r="J1225" t="str">
        <f>_xlfn.XLOOKUP(A1225,Orders[OrderID],Orders[State])</f>
        <v>Madhya Pradesh</v>
      </c>
      <c r="K1225" t="str">
        <f>_xlfn.XLOOKUP(A1225,Orders[OrderID],Orders[City])</f>
        <v>Indore</v>
      </c>
      <c r="L1225" s="3">
        <f>YEAR(Clean_Data[[#This Row],[OrderDate]])</f>
        <v>2018</v>
      </c>
      <c r="M1225" s="3">
        <f>MONTH(Clean_Data[[#This Row],[OrderDate]])</f>
        <v>9</v>
      </c>
      <c r="N1225" s="8" t="str">
        <f>TEXT(Clean_Data[[#This Row],[OrderDate]],"mmm")</f>
        <v>Sep</v>
      </c>
      <c r="O1225" s="8" t="str">
        <f>TEXT(Clean_Data[[#This Row],[OrderDate]], "yyyy-mm")</f>
        <v>2018-09</v>
      </c>
      <c r="P1225" s="7">
        <f>Clean_Data[[#This Row],[Profit]]/Clean_Data[[#This Row],[Revenue ]]</f>
        <v>-0.82499999999999996</v>
      </c>
      <c r="Q1225" t="str">
        <f>"Q"&amp;ROUNDUP(MONTH(Clean_Data[[#This Row],[OrderDate]])/3,0)</f>
        <v>Q3</v>
      </c>
      <c r="R1225" t="str">
        <f>TEXT(Clean_Data[[#This Row],[OrderDate]], "dddd")</f>
        <v>Monday</v>
      </c>
    </row>
    <row r="1226" spans="1:18" x14ac:dyDescent="0.25">
      <c r="A1226" t="s">
        <v>284</v>
      </c>
      <c r="B1226" s="4">
        <v>40</v>
      </c>
      <c r="C1226" s="4">
        <v>18</v>
      </c>
      <c r="D1226" s="3">
        <v>1</v>
      </c>
      <c r="E1226" t="s">
        <v>885</v>
      </c>
      <c r="F1226" t="s">
        <v>905</v>
      </c>
      <c r="G1226" t="s">
        <v>893</v>
      </c>
      <c r="H1226" s="6">
        <f>_xlfn.XLOOKUP(A1226,Orders[OrderID],Orders[OrderDate])</f>
        <v>43113</v>
      </c>
      <c r="I1226" t="str">
        <f>_xlfn.XLOOKUP(A1226,Orders[OrderID],Orders[CustomerName])</f>
        <v>Jesal</v>
      </c>
      <c r="J1226" t="str">
        <f>_xlfn.XLOOKUP(A1226,Orders[OrderID],Orders[State])</f>
        <v>West Bengal</v>
      </c>
      <c r="K1226" t="str">
        <f>_xlfn.XLOOKUP(A1226,Orders[OrderID],Orders[City])</f>
        <v>Kolkata</v>
      </c>
      <c r="L1226" s="3">
        <f>YEAR(Clean_Data[[#This Row],[OrderDate]])</f>
        <v>2018</v>
      </c>
      <c r="M1226" s="3">
        <f>MONTH(Clean_Data[[#This Row],[OrderDate]])</f>
        <v>1</v>
      </c>
      <c r="N1226" s="8" t="str">
        <f>TEXT(Clean_Data[[#This Row],[OrderDate]],"mmm")</f>
        <v>Jan</v>
      </c>
      <c r="O1226" s="8" t="str">
        <f>TEXT(Clean_Data[[#This Row],[OrderDate]], "yyyy-mm")</f>
        <v>2018-01</v>
      </c>
      <c r="P1226" s="7">
        <f>Clean_Data[[#This Row],[Profit]]/Clean_Data[[#This Row],[Revenue ]]</f>
        <v>0.45</v>
      </c>
      <c r="Q1226" t="str">
        <f>"Q"&amp;ROUNDUP(MONTH(Clean_Data[[#This Row],[OrderDate]])/3,0)</f>
        <v>Q1</v>
      </c>
      <c r="R1226" t="str">
        <f>TEXT(Clean_Data[[#This Row],[OrderDate]], "dddd")</f>
        <v>Saturday</v>
      </c>
    </row>
    <row r="1227" spans="1:18" x14ac:dyDescent="0.25">
      <c r="A1227" t="s">
        <v>124</v>
      </c>
      <c r="B1227" s="4">
        <v>534</v>
      </c>
      <c r="C1227" s="4">
        <v>0</v>
      </c>
      <c r="D1227" s="3">
        <v>3</v>
      </c>
      <c r="E1227" t="s">
        <v>895</v>
      </c>
      <c r="F1227" t="s">
        <v>897</v>
      </c>
      <c r="G1227" t="s">
        <v>907</v>
      </c>
      <c r="H1227" s="6">
        <f>_xlfn.XLOOKUP(A1227,Orders[OrderID],Orders[OrderDate])</f>
        <v>43231</v>
      </c>
      <c r="I1227" t="str">
        <f>_xlfn.XLOOKUP(A1227,Orders[OrderID],Orders[CustomerName])</f>
        <v>Priyanka</v>
      </c>
      <c r="J1227" t="str">
        <f>_xlfn.XLOOKUP(A1227,Orders[OrderID],Orders[State])</f>
        <v>Maharashtra</v>
      </c>
      <c r="K1227" t="str">
        <f>_xlfn.XLOOKUP(A1227,Orders[OrderID],Orders[City])</f>
        <v>Pune</v>
      </c>
      <c r="L1227" s="3">
        <f>YEAR(Clean_Data[[#This Row],[OrderDate]])</f>
        <v>2018</v>
      </c>
      <c r="M1227" s="3">
        <f>MONTH(Clean_Data[[#This Row],[OrderDate]])</f>
        <v>5</v>
      </c>
      <c r="N1227" s="8" t="str">
        <f>TEXT(Clean_Data[[#This Row],[OrderDate]],"mmm")</f>
        <v>May</v>
      </c>
      <c r="O1227" s="8" t="str">
        <f>TEXT(Clean_Data[[#This Row],[OrderDate]], "yyyy-mm")</f>
        <v>2018-05</v>
      </c>
      <c r="P1227" s="7">
        <f>Clean_Data[[#This Row],[Profit]]/Clean_Data[[#This Row],[Revenue ]]</f>
        <v>0</v>
      </c>
      <c r="Q1227" t="str">
        <f>"Q"&amp;ROUNDUP(MONTH(Clean_Data[[#This Row],[OrderDate]])/3,0)</f>
        <v>Q2</v>
      </c>
      <c r="R1227" t="str">
        <f>TEXT(Clean_Data[[#This Row],[OrderDate]], "dddd")</f>
        <v>Friday</v>
      </c>
    </row>
    <row r="1228" spans="1:18" x14ac:dyDescent="0.25">
      <c r="A1228" t="s">
        <v>425</v>
      </c>
      <c r="B1228" s="4">
        <v>31</v>
      </c>
      <c r="C1228" s="4">
        <v>9</v>
      </c>
      <c r="D1228" s="3">
        <v>2</v>
      </c>
      <c r="E1228" t="s">
        <v>895</v>
      </c>
      <c r="F1228" t="s">
        <v>899</v>
      </c>
      <c r="G1228" t="s">
        <v>887</v>
      </c>
      <c r="H1228" s="6">
        <f>_xlfn.XLOOKUP(A1228,Orders[OrderID],Orders[OrderDate])</f>
        <v>43169</v>
      </c>
      <c r="I1228" t="str">
        <f>_xlfn.XLOOKUP(A1228,Orders[OrderID],Orders[CustomerName])</f>
        <v>Sonal</v>
      </c>
      <c r="J1228" t="str">
        <f>_xlfn.XLOOKUP(A1228,Orders[OrderID],Orders[State])</f>
        <v>Bihar</v>
      </c>
      <c r="K1228" t="str">
        <f>_xlfn.XLOOKUP(A1228,Orders[OrderID],Orders[City])</f>
        <v>Patna</v>
      </c>
      <c r="L1228" s="3">
        <f>YEAR(Clean_Data[[#This Row],[OrderDate]])</f>
        <v>2018</v>
      </c>
      <c r="M1228" s="3">
        <f>MONTH(Clean_Data[[#This Row],[OrderDate]])</f>
        <v>3</v>
      </c>
      <c r="N1228" s="8" t="str">
        <f>TEXT(Clean_Data[[#This Row],[OrderDate]],"mmm")</f>
        <v>Mar</v>
      </c>
      <c r="O1228" s="8" t="str">
        <f>TEXT(Clean_Data[[#This Row],[OrderDate]], "yyyy-mm")</f>
        <v>2018-03</v>
      </c>
      <c r="P1228" s="7">
        <f>Clean_Data[[#This Row],[Profit]]/Clean_Data[[#This Row],[Revenue ]]</f>
        <v>0.29032258064516131</v>
      </c>
      <c r="Q1228" t="str">
        <f>"Q"&amp;ROUNDUP(MONTH(Clean_Data[[#This Row],[OrderDate]])/3,0)</f>
        <v>Q1</v>
      </c>
      <c r="R1228" t="str">
        <f>TEXT(Clean_Data[[#This Row],[OrderDate]], "dddd")</f>
        <v>Saturday</v>
      </c>
    </row>
    <row r="1229" spans="1:18" x14ac:dyDescent="0.25">
      <c r="A1229" t="s">
        <v>250</v>
      </c>
      <c r="B1229" s="4">
        <v>473</v>
      </c>
      <c r="C1229" s="4">
        <v>-113</v>
      </c>
      <c r="D1229" s="3">
        <v>9</v>
      </c>
      <c r="E1229" t="s">
        <v>895</v>
      </c>
      <c r="F1229" t="s">
        <v>899</v>
      </c>
      <c r="G1229" t="s">
        <v>898</v>
      </c>
      <c r="H1229" s="6">
        <f>_xlfn.XLOOKUP(A1229,Orders[OrderID],Orders[OrderDate])</f>
        <v>43424</v>
      </c>
      <c r="I1229" t="str">
        <f>_xlfn.XLOOKUP(A1229,Orders[OrderID],Orders[CustomerName])</f>
        <v>Pranav</v>
      </c>
      <c r="J1229" t="str">
        <f>_xlfn.XLOOKUP(A1229,Orders[OrderID],Orders[State])</f>
        <v>Andhra Pradesh</v>
      </c>
      <c r="K1229" t="str">
        <f>_xlfn.XLOOKUP(A1229,Orders[OrderID],Orders[City])</f>
        <v>Hyderabad</v>
      </c>
      <c r="L1229" s="3">
        <f>YEAR(Clean_Data[[#This Row],[OrderDate]])</f>
        <v>2018</v>
      </c>
      <c r="M1229" s="3">
        <f>MONTH(Clean_Data[[#This Row],[OrderDate]])</f>
        <v>11</v>
      </c>
      <c r="N1229" s="8" t="str">
        <f>TEXT(Clean_Data[[#This Row],[OrderDate]],"mmm")</f>
        <v>Nov</v>
      </c>
      <c r="O1229" s="8" t="str">
        <f>TEXT(Clean_Data[[#This Row],[OrderDate]], "yyyy-mm")</f>
        <v>2018-11</v>
      </c>
      <c r="P1229" s="7">
        <f>Clean_Data[[#This Row],[Profit]]/Clean_Data[[#This Row],[Revenue ]]</f>
        <v>-0.23890063424947147</v>
      </c>
      <c r="Q1229" t="str">
        <f>"Q"&amp;ROUNDUP(MONTH(Clean_Data[[#This Row],[OrderDate]])/3,0)</f>
        <v>Q4</v>
      </c>
      <c r="R1229" t="str">
        <f>TEXT(Clean_Data[[#This Row],[OrderDate]], "dddd")</f>
        <v>Tuesday</v>
      </c>
    </row>
    <row r="1230" spans="1:18" x14ac:dyDescent="0.25">
      <c r="A1230" t="s">
        <v>828</v>
      </c>
      <c r="B1230" s="4">
        <v>31</v>
      </c>
      <c r="C1230" s="4">
        <v>-10</v>
      </c>
      <c r="D1230" s="3">
        <v>3</v>
      </c>
      <c r="E1230" t="s">
        <v>895</v>
      </c>
      <c r="F1230" t="s">
        <v>901</v>
      </c>
      <c r="G1230" t="s">
        <v>887</v>
      </c>
      <c r="H1230" s="6">
        <f>_xlfn.XLOOKUP(A1230,Orders[OrderID],Orders[OrderDate])</f>
        <v>43266</v>
      </c>
      <c r="I1230" t="str">
        <f>_xlfn.XLOOKUP(A1230,Orders[OrderID],Orders[CustomerName])</f>
        <v>Gunjan</v>
      </c>
      <c r="J1230" t="str">
        <f>_xlfn.XLOOKUP(A1230,Orders[OrderID],Orders[State])</f>
        <v>Madhya Pradesh</v>
      </c>
      <c r="K1230" t="str">
        <f>_xlfn.XLOOKUP(A1230,Orders[OrderID],Orders[City])</f>
        <v>Indore</v>
      </c>
      <c r="L1230" s="3">
        <f>YEAR(Clean_Data[[#This Row],[OrderDate]])</f>
        <v>2018</v>
      </c>
      <c r="M1230" s="3">
        <f>MONTH(Clean_Data[[#This Row],[OrderDate]])</f>
        <v>6</v>
      </c>
      <c r="N1230" s="8" t="str">
        <f>TEXT(Clean_Data[[#This Row],[OrderDate]],"mmm")</f>
        <v>Jun</v>
      </c>
      <c r="O1230" s="8" t="str">
        <f>TEXT(Clean_Data[[#This Row],[OrderDate]], "yyyy-mm")</f>
        <v>2018-06</v>
      </c>
      <c r="P1230" s="7">
        <f>Clean_Data[[#This Row],[Profit]]/Clean_Data[[#This Row],[Revenue ]]</f>
        <v>-0.32258064516129031</v>
      </c>
      <c r="Q1230" t="str">
        <f>"Q"&amp;ROUNDUP(MONTH(Clean_Data[[#This Row],[OrderDate]])/3,0)</f>
        <v>Q2</v>
      </c>
      <c r="R1230" t="str">
        <f>TEXT(Clean_Data[[#This Row],[OrderDate]], "dddd")</f>
        <v>Friday</v>
      </c>
    </row>
    <row r="1231" spans="1:18" x14ac:dyDescent="0.25">
      <c r="A1231" t="s">
        <v>217</v>
      </c>
      <c r="B1231" s="4">
        <v>31</v>
      </c>
      <c r="C1231" s="4">
        <v>-3</v>
      </c>
      <c r="D1231" s="3">
        <v>4</v>
      </c>
      <c r="E1231" t="s">
        <v>895</v>
      </c>
      <c r="F1231" t="s">
        <v>897</v>
      </c>
      <c r="G1231" t="s">
        <v>887</v>
      </c>
      <c r="H1231" s="6">
        <f>_xlfn.XLOOKUP(A1231,Orders[OrderID],Orders[OrderDate])</f>
        <v>43278</v>
      </c>
      <c r="I1231" t="str">
        <f>_xlfn.XLOOKUP(A1231,Orders[OrderID],Orders[CustomerName])</f>
        <v>Shaily</v>
      </c>
      <c r="J1231" t="str">
        <f>_xlfn.XLOOKUP(A1231,Orders[OrderID],Orders[State])</f>
        <v>Maharashtra</v>
      </c>
      <c r="K1231" t="str">
        <f>_xlfn.XLOOKUP(A1231,Orders[OrderID],Orders[City])</f>
        <v>Mumbai</v>
      </c>
      <c r="L1231" s="3">
        <f>YEAR(Clean_Data[[#This Row],[OrderDate]])</f>
        <v>2018</v>
      </c>
      <c r="M1231" s="3">
        <f>MONTH(Clean_Data[[#This Row],[OrderDate]])</f>
        <v>6</v>
      </c>
      <c r="N1231" s="8" t="str">
        <f>TEXT(Clean_Data[[#This Row],[OrderDate]],"mmm")</f>
        <v>Jun</v>
      </c>
      <c r="O1231" s="8" t="str">
        <f>TEXT(Clean_Data[[#This Row],[OrderDate]], "yyyy-mm")</f>
        <v>2018-06</v>
      </c>
      <c r="P1231" s="7">
        <f>Clean_Data[[#This Row],[Profit]]/Clean_Data[[#This Row],[Revenue ]]</f>
        <v>-9.6774193548387094E-2</v>
      </c>
      <c r="Q1231" t="str">
        <f>"Q"&amp;ROUNDUP(MONTH(Clean_Data[[#This Row],[OrderDate]])/3,0)</f>
        <v>Q2</v>
      </c>
      <c r="R1231" t="str">
        <f>TEXT(Clean_Data[[#This Row],[OrderDate]], "dddd")</f>
        <v>Wednesday</v>
      </c>
    </row>
    <row r="1232" spans="1:18" x14ac:dyDescent="0.25">
      <c r="A1232" t="s">
        <v>130</v>
      </c>
      <c r="B1232" s="4">
        <v>91</v>
      </c>
      <c r="C1232" s="4">
        <v>15</v>
      </c>
      <c r="D1232" s="3">
        <v>6</v>
      </c>
      <c r="E1232" t="s">
        <v>895</v>
      </c>
      <c r="F1232" t="s">
        <v>906</v>
      </c>
      <c r="G1232" t="s">
        <v>898</v>
      </c>
      <c r="H1232" s="6">
        <f>_xlfn.XLOOKUP(A1232,Orders[OrderID],Orders[OrderDate])</f>
        <v>43326</v>
      </c>
      <c r="I1232" t="str">
        <f>_xlfn.XLOOKUP(A1232,Orders[OrderID],Orders[CustomerName])</f>
        <v>Vaibhav</v>
      </c>
      <c r="J1232" t="str">
        <f>_xlfn.XLOOKUP(A1232,Orders[OrderID],Orders[State])</f>
        <v>Madhya Pradesh</v>
      </c>
      <c r="K1232" t="str">
        <f>_xlfn.XLOOKUP(A1232,Orders[OrderID],Orders[City])</f>
        <v>Indore</v>
      </c>
      <c r="L1232" s="3">
        <f>YEAR(Clean_Data[[#This Row],[OrderDate]])</f>
        <v>2018</v>
      </c>
      <c r="M1232" s="3">
        <f>MONTH(Clean_Data[[#This Row],[OrderDate]])</f>
        <v>8</v>
      </c>
      <c r="N1232" s="8" t="str">
        <f>TEXT(Clean_Data[[#This Row],[OrderDate]],"mmm")</f>
        <v>Aug</v>
      </c>
      <c r="O1232" s="8" t="str">
        <f>TEXT(Clean_Data[[#This Row],[OrderDate]], "yyyy-mm")</f>
        <v>2018-08</v>
      </c>
      <c r="P1232" s="7">
        <f>Clean_Data[[#This Row],[Profit]]/Clean_Data[[#This Row],[Revenue ]]</f>
        <v>0.16483516483516483</v>
      </c>
      <c r="Q1232" t="str">
        <f>"Q"&amp;ROUNDUP(MONTH(Clean_Data[[#This Row],[OrderDate]])/3,0)</f>
        <v>Q3</v>
      </c>
      <c r="R1232" t="str">
        <f>TEXT(Clean_Data[[#This Row],[OrderDate]], "dddd")</f>
        <v>Tuesday</v>
      </c>
    </row>
    <row r="1233" spans="1:18" x14ac:dyDescent="0.25">
      <c r="A1233" t="s">
        <v>271</v>
      </c>
      <c r="B1233" s="4">
        <v>30</v>
      </c>
      <c r="C1233" s="4">
        <v>-25</v>
      </c>
      <c r="D1233" s="3">
        <v>2</v>
      </c>
      <c r="E1233" t="s">
        <v>895</v>
      </c>
      <c r="F1233" t="s">
        <v>906</v>
      </c>
      <c r="G1233" t="s">
        <v>887</v>
      </c>
      <c r="H1233" s="6">
        <f>_xlfn.XLOOKUP(A1233,Orders[OrderID],Orders[OrderDate])</f>
        <v>43357</v>
      </c>
      <c r="I1233" t="str">
        <f>_xlfn.XLOOKUP(A1233,Orders[OrderID],Orders[CustomerName])</f>
        <v>Rutuja</v>
      </c>
      <c r="J1233" t="str">
        <f>_xlfn.XLOOKUP(A1233,Orders[OrderID],Orders[State])</f>
        <v>Gujarat</v>
      </c>
      <c r="K1233" t="str">
        <f>_xlfn.XLOOKUP(A1233,Orders[OrderID],Orders[City])</f>
        <v>Ahmedabad</v>
      </c>
      <c r="L1233" s="3">
        <f>YEAR(Clean_Data[[#This Row],[OrderDate]])</f>
        <v>2018</v>
      </c>
      <c r="M1233" s="3">
        <f>MONTH(Clean_Data[[#This Row],[OrderDate]])</f>
        <v>9</v>
      </c>
      <c r="N1233" s="8" t="str">
        <f>TEXT(Clean_Data[[#This Row],[OrderDate]],"mmm")</f>
        <v>Sep</v>
      </c>
      <c r="O1233" s="8" t="str">
        <f>TEXT(Clean_Data[[#This Row],[OrderDate]], "yyyy-mm")</f>
        <v>2018-09</v>
      </c>
      <c r="P1233" s="7">
        <f>Clean_Data[[#This Row],[Profit]]/Clean_Data[[#This Row],[Revenue ]]</f>
        <v>-0.83333333333333337</v>
      </c>
      <c r="Q1233" t="str">
        <f>"Q"&amp;ROUNDUP(MONTH(Clean_Data[[#This Row],[OrderDate]])/3,0)</f>
        <v>Q3</v>
      </c>
      <c r="R1233" t="str">
        <f>TEXT(Clean_Data[[#This Row],[OrderDate]], "dddd")</f>
        <v>Friday</v>
      </c>
    </row>
    <row r="1234" spans="1:18" x14ac:dyDescent="0.25">
      <c r="A1234" t="s">
        <v>660</v>
      </c>
      <c r="B1234" s="4">
        <v>30</v>
      </c>
      <c r="C1234" s="4">
        <v>6</v>
      </c>
      <c r="D1234" s="3">
        <v>1</v>
      </c>
      <c r="E1234" t="s">
        <v>895</v>
      </c>
      <c r="F1234" t="s">
        <v>906</v>
      </c>
      <c r="G1234" t="s">
        <v>887</v>
      </c>
      <c r="H1234" s="6">
        <f>_xlfn.XLOOKUP(A1234,Orders[OrderID],Orders[OrderDate])</f>
        <v>43155</v>
      </c>
      <c r="I1234" t="str">
        <f>_xlfn.XLOOKUP(A1234,Orders[OrderID],Orders[CustomerName])</f>
        <v>Pooja</v>
      </c>
      <c r="J1234" t="str">
        <f>_xlfn.XLOOKUP(A1234,Orders[OrderID],Orders[State])</f>
        <v>Bihar</v>
      </c>
      <c r="K1234" t="str">
        <f>_xlfn.XLOOKUP(A1234,Orders[OrderID],Orders[City])</f>
        <v>Patna</v>
      </c>
      <c r="L1234" s="3">
        <f>YEAR(Clean_Data[[#This Row],[OrderDate]])</f>
        <v>2018</v>
      </c>
      <c r="M1234" s="3">
        <f>MONTH(Clean_Data[[#This Row],[OrderDate]])</f>
        <v>2</v>
      </c>
      <c r="N1234" s="8" t="str">
        <f>TEXT(Clean_Data[[#This Row],[OrderDate]],"mmm")</f>
        <v>Feb</v>
      </c>
      <c r="O1234" s="8" t="str">
        <f>TEXT(Clean_Data[[#This Row],[OrderDate]], "yyyy-mm")</f>
        <v>2018-02</v>
      </c>
      <c r="P1234" s="7">
        <f>Clean_Data[[#This Row],[Profit]]/Clean_Data[[#This Row],[Revenue ]]</f>
        <v>0.2</v>
      </c>
      <c r="Q1234" t="str">
        <f>"Q"&amp;ROUNDUP(MONTH(Clean_Data[[#This Row],[OrderDate]])/3,0)</f>
        <v>Q1</v>
      </c>
      <c r="R1234" t="str">
        <f>TEXT(Clean_Data[[#This Row],[OrderDate]], "dddd")</f>
        <v>Saturday</v>
      </c>
    </row>
    <row r="1235" spans="1:18" x14ac:dyDescent="0.25">
      <c r="A1235" t="s">
        <v>46</v>
      </c>
      <c r="B1235" s="4">
        <v>40</v>
      </c>
      <c r="C1235" s="4">
        <v>0</v>
      </c>
      <c r="D1235" s="3">
        <v>3</v>
      </c>
      <c r="E1235" t="s">
        <v>895</v>
      </c>
      <c r="F1235" t="s">
        <v>897</v>
      </c>
      <c r="G1235" t="s">
        <v>893</v>
      </c>
      <c r="H1235" s="6">
        <f>_xlfn.XLOOKUP(A1235,Orders[OrderID],Orders[OrderDate])</f>
        <v>43337</v>
      </c>
      <c r="I1235" t="str">
        <f>_xlfn.XLOOKUP(A1235,Orders[OrderID],Orders[CustomerName])</f>
        <v>Madhav</v>
      </c>
      <c r="J1235" t="str">
        <f>_xlfn.XLOOKUP(A1235,Orders[OrderID],Orders[State])</f>
        <v>Uttar Pradesh</v>
      </c>
      <c r="K1235" t="str">
        <f>_xlfn.XLOOKUP(A1235,Orders[OrderID],Orders[City])</f>
        <v>Mathura</v>
      </c>
      <c r="L1235" s="3">
        <f>YEAR(Clean_Data[[#This Row],[OrderDate]])</f>
        <v>2018</v>
      </c>
      <c r="M1235" s="3">
        <f>MONTH(Clean_Data[[#This Row],[OrderDate]])</f>
        <v>8</v>
      </c>
      <c r="N1235" s="8" t="str">
        <f>TEXT(Clean_Data[[#This Row],[OrderDate]],"mmm")</f>
        <v>Aug</v>
      </c>
      <c r="O1235" s="8" t="str">
        <f>TEXT(Clean_Data[[#This Row],[OrderDate]], "yyyy-mm")</f>
        <v>2018-08</v>
      </c>
      <c r="P1235" s="7">
        <f>Clean_Data[[#This Row],[Profit]]/Clean_Data[[#This Row],[Revenue ]]</f>
        <v>0</v>
      </c>
      <c r="Q1235" t="str">
        <f>"Q"&amp;ROUNDUP(MONTH(Clean_Data[[#This Row],[OrderDate]])/3,0)</f>
        <v>Q3</v>
      </c>
      <c r="R1235" t="str">
        <f>TEXT(Clean_Data[[#This Row],[OrderDate]], "dddd")</f>
        <v>Saturday</v>
      </c>
    </row>
    <row r="1236" spans="1:18" x14ac:dyDescent="0.25">
      <c r="A1236" t="s">
        <v>373</v>
      </c>
      <c r="B1236" s="4">
        <v>534</v>
      </c>
      <c r="C1236" s="4">
        <v>5</v>
      </c>
      <c r="D1236" s="3">
        <v>2</v>
      </c>
      <c r="E1236" t="s">
        <v>885</v>
      </c>
      <c r="F1236" t="s">
        <v>886</v>
      </c>
      <c r="G1236" t="s">
        <v>907</v>
      </c>
      <c r="H1236" s="6">
        <f>_xlfn.XLOOKUP(A1236,Orders[OrderID],Orders[OrderDate])</f>
        <v>43326</v>
      </c>
      <c r="I1236" t="str">
        <f>_xlfn.XLOOKUP(A1236,Orders[OrderID],Orders[CustomerName])</f>
        <v>Nishant</v>
      </c>
      <c r="J1236" t="str">
        <f>_xlfn.XLOOKUP(A1236,Orders[OrderID],Orders[State])</f>
        <v>Maharashtra</v>
      </c>
      <c r="K1236" t="str">
        <f>_xlfn.XLOOKUP(A1236,Orders[OrderID],Orders[City])</f>
        <v>Mumbai</v>
      </c>
      <c r="L1236" s="3">
        <f>YEAR(Clean_Data[[#This Row],[OrderDate]])</f>
        <v>2018</v>
      </c>
      <c r="M1236" s="3">
        <f>MONTH(Clean_Data[[#This Row],[OrderDate]])</f>
        <v>8</v>
      </c>
      <c r="N1236" s="8" t="str">
        <f>TEXT(Clean_Data[[#This Row],[OrderDate]],"mmm")</f>
        <v>Aug</v>
      </c>
      <c r="O1236" s="8" t="str">
        <f>TEXT(Clean_Data[[#This Row],[OrderDate]], "yyyy-mm")</f>
        <v>2018-08</v>
      </c>
      <c r="P1236" s="7">
        <f>Clean_Data[[#This Row],[Profit]]/Clean_Data[[#This Row],[Revenue ]]</f>
        <v>9.3632958801498131E-3</v>
      </c>
      <c r="Q1236" t="str">
        <f>"Q"&amp;ROUNDUP(MONTH(Clean_Data[[#This Row],[OrderDate]])/3,0)</f>
        <v>Q3</v>
      </c>
      <c r="R1236" t="str">
        <f>TEXT(Clean_Data[[#This Row],[OrderDate]], "dddd")</f>
        <v>Tuesday</v>
      </c>
    </row>
    <row r="1237" spans="1:18" x14ac:dyDescent="0.25">
      <c r="A1237" t="s">
        <v>367</v>
      </c>
      <c r="B1237" s="4">
        <v>539</v>
      </c>
      <c r="C1237" s="4">
        <v>-146</v>
      </c>
      <c r="D1237" s="3">
        <v>7</v>
      </c>
      <c r="E1237" t="s">
        <v>888</v>
      </c>
      <c r="F1237" t="s">
        <v>908</v>
      </c>
      <c r="G1237" t="s">
        <v>907</v>
      </c>
      <c r="H1237" s="6">
        <f>_xlfn.XLOOKUP(A1237,Orders[OrderID],Orders[OrderDate])</f>
        <v>43326</v>
      </c>
      <c r="I1237" t="str">
        <f>_xlfn.XLOOKUP(A1237,Orders[OrderID],Orders[CustomerName])</f>
        <v>Priyanshu</v>
      </c>
      <c r="J1237" t="str">
        <f>_xlfn.XLOOKUP(A1237,Orders[OrderID],Orders[State])</f>
        <v>Madhya Pradesh</v>
      </c>
      <c r="K1237" t="str">
        <f>_xlfn.XLOOKUP(A1237,Orders[OrderID],Orders[City])</f>
        <v>Indore</v>
      </c>
      <c r="L1237" s="3">
        <f>YEAR(Clean_Data[[#This Row],[OrderDate]])</f>
        <v>2018</v>
      </c>
      <c r="M1237" s="3">
        <f>MONTH(Clean_Data[[#This Row],[OrderDate]])</f>
        <v>8</v>
      </c>
      <c r="N1237" s="8" t="str">
        <f>TEXT(Clean_Data[[#This Row],[OrderDate]],"mmm")</f>
        <v>Aug</v>
      </c>
      <c r="O1237" s="8" t="str">
        <f>TEXT(Clean_Data[[#This Row],[OrderDate]], "yyyy-mm")</f>
        <v>2018-08</v>
      </c>
      <c r="P1237" s="7">
        <f>Clean_Data[[#This Row],[Profit]]/Clean_Data[[#This Row],[Revenue ]]</f>
        <v>-0.27087198515769945</v>
      </c>
      <c r="Q1237" t="str">
        <f>"Q"&amp;ROUNDUP(MONTH(Clean_Data[[#This Row],[OrderDate]])/3,0)</f>
        <v>Q3</v>
      </c>
      <c r="R1237" t="str">
        <f>TEXT(Clean_Data[[#This Row],[OrderDate]], "dddd")</f>
        <v>Tuesday</v>
      </c>
    </row>
    <row r="1238" spans="1:18" x14ac:dyDescent="0.25">
      <c r="A1238" t="s">
        <v>393</v>
      </c>
      <c r="B1238" s="4">
        <v>490</v>
      </c>
      <c r="C1238" s="4">
        <v>-128</v>
      </c>
      <c r="D1238" s="3">
        <v>8</v>
      </c>
      <c r="E1238" t="s">
        <v>888</v>
      </c>
      <c r="F1238" t="s">
        <v>891</v>
      </c>
      <c r="G1238" t="s">
        <v>898</v>
      </c>
      <c r="H1238" s="6">
        <f>_xlfn.XLOOKUP(A1238,Orders[OrderID],Orders[OrderDate])</f>
        <v>43302</v>
      </c>
      <c r="I1238" t="str">
        <f>_xlfn.XLOOKUP(A1238,Orders[OrderID],Orders[CustomerName])</f>
        <v>Kiran</v>
      </c>
      <c r="J1238" t="str">
        <f>_xlfn.XLOOKUP(A1238,Orders[OrderID],Orders[State])</f>
        <v>Maharashtra</v>
      </c>
      <c r="K1238" t="str">
        <f>_xlfn.XLOOKUP(A1238,Orders[OrderID],Orders[City])</f>
        <v>Mumbai</v>
      </c>
      <c r="L1238" s="3">
        <f>YEAR(Clean_Data[[#This Row],[OrderDate]])</f>
        <v>2018</v>
      </c>
      <c r="M1238" s="3">
        <f>MONTH(Clean_Data[[#This Row],[OrderDate]])</f>
        <v>7</v>
      </c>
      <c r="N1238" s="8" t="str">
        <f>TEXT(Clean_Data[[#This Row],[OrderDate]],"mmm")</f>
        <v>Jul</v>
      </c>
      <c r="O1238" s="8" t="str">
        <f>TEXT(Clean_Data[[#This Row],[OrderDate]], "yyyy-mm")</f>
        <v>2018-07</v>
      </c>
      <c r="P1238" s="7">
        <f>Clean_Data[[#This Row],[Profit]]/Clean_Data[[#This Row],[Revenue ]]</f>
        <v>-0.26122448979591839</v>
      </c>
      <c r="Q1238" t="str">
        <f>"Q"&amp;ROUNDUP(MONTH(Clean_Data[[#This Row],[OrderDate]])/3,0)</f>
        <v>Q3</v>
      </c>
      <c r="R1238" t="str">
        <f>TEXT(Clean_Data[[#This Row],[OrderDate]], "dddd")</f>
        <v>Saturday</v>
      </c>
    </row>
    <row r="1239" spans="1:18" x14ac:dyDescent="0.25">
      <c r="A1239" t="s">
        <v>120</v>
      </c>
      <c r="B1239" s="4">
        <v>163</v>
      </c>
      <c r="C1239" s="4">
        <v>81</v>
      </c>
      <c r="D1239" s="3">
        <v>2</v>
      </c>
      <c r="E1239" t="s">
        <v>885</v>
      </c>
      <c r="F1239" t="s">
        <v>905</v>
      </c>
      <c r="G1239" t="s">
        <v>887</v>
      </c>
      <c r="H1239" s="6">
        <f>_xlfn.XLOOKUP(A1239,Orders[OrderID],Orders[OrderDate])</f>
        <v>43163</v>
      </c>
      <c r="I1239" t="str">
        <f>_xlfn.XLOOKUP(A1239,Orders[OrderID],Orders[CustomerName])</f>
        <v>Parth</v>
      </c>
      <c r="J1239" t="str">
        <f>_xlfn.XLOOKUP(A1239,Orders[OrderID],Orders[State])</f>
        <v>Maharashtra</v>
      </c>
      <c r="K1239" t="str">
        <f>_xlfn.XLOOKUP(A1239,Orders[OrderID],Orders[City])</f>
        <v>Pune</v>
      </c>
      <c r="L1239" s="3">
        <f>YEAR(Clean_Data[[#This Row],[OrderDate]])</f>
        <v>2018</v>
      </c>
      <c r="M1239" s="3">
        <f>MONTH(Clean_Data[[#This Row],[OrderDate]])</f>
        <v>3</v>
      </c>
      <c r="N1239" s="8" t="str">
        <f>TEXT(Clean_Data[[#This Row],[OrderDate]],"mmm")</f>
        <v>Mar</v>
      </c>
      <c r="O1239" s="8" t="str">
        <f>TEXT(Clean_Data[[#This Row],[OrderDate]], "yyyy-mm")</f>
        <v>2018-03</v>
      </c>
      <c r="P1239" s="7">
        <f>Clean_Data[[#This Row],[Profit]]/Clean_Data[[#This Row],[Revenue ]]</f>
        <v>0.49693251533742333</v>
      </c>
      <c r="Q1239" t="str">
        <f>"Q"&amp;ROUNDUP(MONTH(Clean_Data[[#This Row],[OrderDate]])/3,0)</f>
        <v>Q1</v>
      </c>
      <c r="R1239" t="str">
        <f>TEXT(Clean_Data[[#This Row],[OrderDate]], "dddd")</f>
        <v>Sunday</v>
      </c>
    </row>
    <row r="1240" spans="1:18" x14ac:dyDescent="0.25">
      <c r="A1240" t="s">
        <v>136</v>
      </c>
      <c r="B1240" s="4">
        <v>184</v>
      </c>
      <c r="C1240" s="4">
        <v>85</v>
      </c>
      <c r="D1240" s="3">
        <v>6</v>
      </c>
      <c r="E1240" t="s">
        <v>895</v>
      </c>
      <c r="F1240" t="s">
        <v>906</v>
      </c>
      <c r="G1240" t="s">
        <v>898</v>
      </c>
      <c r="H1240" s="6">
        <f>_xlfn.XLOOKUP(A1240,Orders[OrderID],Orders[OrderDate])</f>
        <v>43166</v>
      </c>
      <c r="I1240" t="str">
        <f>_xlfn.XLOOKUP(A1240,Orders[OrderID],Orders[CustomerName])</f>
        <v>Parishi</v>
      </c>
      <c r="J1240" t="str">
        <f>_xlfn.XLOOKUP(A1240,Orders[OrderID],Orders[State])</f>
        <v>West Bengal</v>
      </c>
      <c r="K1240" t="str">
        <f>_xlfn.XLOOKUP(A1240,Orders[OrderID],Orders[City])</f>
        <v>Kolkata</v>
      </c>
      <c r="L1240" s="3">
        <f>YEAR(Clean_Data[[#This Row],[OrderDate]])</f>
        <v>2018</v>
      </c>
      <c r="M1240" s="3">
        <f>MONTH(Clean_Data[[#This Row],[OrderDate]])</f>
        <v>3</v>
      </c>
      <c r="N1240" s="8" t="str">
        <f>TEXT(Clean_Data[[#This Row],[OrderDate]],"mmm")</f>
        <v>Mar</v>
      </c>
      <c r="O1240" s="8" t="str">
        <f>TEXT(Clean_Data[[#This Row],[OrderDate]], "yyyy-mm")</f>
        <v>2018-03</v>
      </c>
      <c r="P1240" s="7">
        <f>Clean_Data[[#This Row],[Profit]]/Clean_Data[[#This Row],[Revenue ]]</f>
        <v>0.46195652173913043</v>
      </c>
      <c r="Q1240" t="str">
        <f>"Q"&amp;ROUNDUP(MONTH(Clean_Data[[#This Row],[OrderDate]])/3,0)</f>
        <v>Q1</v>
      </c>
      <c r="R1240" t="str">
        <f>TEXT(Clean_Data[[#This Row],[OrderDate]], "dddd")</f>
        <v>Wednesday</v>
      </c>
    </row>
    <row r="1241" spans="1:18" x14ac:dyDescent="0.25">
      <c r="A1241" t="s">
        <v>391</v>
      </c>
      <c r="B1241" s="4">
        <v>494</v>
      </c>
      <c r="C1241" s="4">
        <v>54</v>
      </c>
      <c r="D1241" s="3">
        <v>4</v>
      </c>
      <c r="E1241" t="s">
        <v>888</v>
      </c>
      <c r="F1241" t="s">
        <v>891</v>
      </c>
      <c r="G1241" t="s">
        <v>887</v>
      </c>
      <c r="H1241" s="6">
        <f>_xlfn.XLOOKUP(A1241,Orders[OrderID],Orders[OrderDate])</f>
        <v>43203</v>
      </c>
      <c r="I1241" t="str">
        <f>_xlfn.XLOOKUP(A1241,Orders[OrderID],Orders[CustomerName])</f>
        <v>Vandana</v>
      </c>
      <c r="J1241" t="str">
        <f>_xlfn.XLOOKUP(A1241,Orders[OrderID],Orders[State])</f>
        <v>Himachal Pradesh</v>
      </c>
      <c r="K1241" t="str">
        <f>_xlfn.XLOOKUP(A1241,Orders[OrderID],Orders[City])</f>
        <v>Simla</v>
      </c>
      <c r="L1241" s="3">
        <f>YEAR(Clean_Data[[#This Row],[OrderDate]])</f>
        <v>2018</v>
      </c>
      <c r="M1241" s="3">
        <f>MONTH(Clean_Data[[#This Row],[OrderDate]])</f>
        <v>4</v>
      </c>
      <c r="N1241" s="8" t="str">
        <f>TEXT(Clean_Data[[#This Row],[OrderDate]],"mmm")</f>
        <v>Apr</v>
      </c>
      <c r="O1241" s="8" t="str">
        <f>TEXT(Clean_Data[[#This Row],[OrderDate]], "yyyy-mm")</f>
        <v>2018-04</v>
      </c>
      <c r="P1241" s="7">
        <f>Clean_Data[[#This Row],[Profit]]/Clean_Data[[#This Row],[Revenue ]]</f>
        <v>0.10931174089068826</v>
      </c>
      <c r="Q1241" t="str">
        <f>"Q"&amp;ROUNDUP(MONTH(Clean_Data[[#This Row],[OrderDate]])/3,0)</f>
        <v>Q2</v>
      </c>
      <c r="R1241" t="str">
        <f>TEXT(Clean_Data[[#This Row],[OrderDate]], "dddd")</f>
        <v>Friday</v>
      </c>
    </row>
    <row r="1242" spans="1:18" x14ac:dyDescent="0.25">
      <c r="A1242" t="s">
        <v>836</v>
      </c>
      <c r="B1242" s="4">
        <v>30</v>
      </c>
      <c r="C1242" s="4">
        <v>11</v>
      </c>
      <c r="D1242" s="3">
        <v>5</v>
      </c>
      <c r="E1242" t="s">
        <v>895</v>
      </c>
      <c r="F1242" t="s">
        <v>899</v>
      </c>
      <c r="G1242" t="s">
        <v>887</v>
      </c>
      <c r="H1242" s="6">
        <f>_xlfn.XLOOKUP(A1242,Orders[OrderID],Orders[OrderDate])</f>
        <v>43445</v>
      </c>
      <c r="I1242" t="str">
        <f>_xlfn.XLOOKUP(A1242,Orders[OrderID],Orders[CustomerName])</f>
        <v>Jaydeep</v>
      </c>
      <c r="J1242" t="str">
        <f>_xlfn.XLOOKUP(A1242,Orders[OrderID],Orders[State])</f>
        <v>Madhya Pradesh</v>
      </c>
      <c r="K1242" t="str">
        <f>_xlfn.XLOOKUP(A1242,Orders[OrderID],Orders[City])</f>
        <v>Bhopal</v>
      </c>
      <c r="L1242" s="3">
        <f>YEAR(Clean_Data[[#This Row],[OrderDate]])</f>
        <v>2018</v>
      </c>
      <c r="M1242" s="3">
        <f>MONTH(Clean_Data[[#This Row],[OrderDate]])</f>
        <v>12</v>
      </c>
      <c r="N1242" s="8" t="str">
        <f>TEXT(Clean_Data[[#This Row],[OrderDate]],"mmm")</f>
        <v>Dec</v>
      </c>
      <c r="O1242" s="8" t="str">
        <f>TEXT(Clean_Data[[#This Row],[OrderDate]], "yyyy-mm")</f>
        <v>2018-12</v>
      </c>
      <c r="P1242" s="7">
        <f>Clean_Data[[#This Row],[Profit]]/Clean_Data[[#This Row],[Revenue ]]</f>
        <v>0.36666666666666664</v>
      </c>
      <c r="Q1242" t="str">
        <f>"Q"&amp;ROUNDUP(MONTH(Clean_Data[[#This Row],[OrderDate]])/3,0)</f>
        <v>Q4</v>
      </c>
      <c r="R1242" t="str">
        <f>TEXT(Clean_Data[[#This Row],[OrderDate]], "dddd")</f>
        <v>Tuesday</v>
      </c>
    </row>
    <row r="1243" spans="1:18" x14ac:dyDescent="0.25">
      <c r="A1243" t="s">
        <v>490</v>
      </c>
      <c r="B1243" s="4">
        <v>30</v>
      </c>
      <c r="C1243" s="4">
        <v>0</v>
      </c>
      <c r="D1243" s="3">
        <v>1</v>
      </c>
      <c r="E1243" t="s">
        <v>895</v>
      </c>
      <c r="F1243" t="s">
        <v>900</v>
      </c>
      <c r="G1243" t="s">
        <v>887</v>
      </c>
      <c r="H1243" s="6">
        <f>_xlfn.XLOOKUP(A1243,Orders[OrderID],Orders[OrderDate])</f>
        <v>43365</v>
      </c>
      <c r="I1243" t="str">
        <f>_xlfn.XLOOKUP(A1243,Orders[OrderID],Orders[CustomerName])</f>
        <v>Akshay</v>
      </c>
      <c r="J1243" t="str">
        <f>_xlfn.XLOOKUP(A1243,Orders[OrderID],Orders[State])</f>
        <v>Uttar Pradesh</v>
      </c>
      <c r="K1243" t="str">
        <f>_xlfn.XLOOKUP(A1243,Orders[OrderID],Orders[City])</f>
        <v>Lucknow</v>
      </c>
      <c r="L1243" s="3">
        <f>YEAR(Clean_Data[[#This Row],[OrderDate]])</f>
        <v>2018</v>
      </c>
      <c r="M1243" s="3">
        <f>MONTH(Clean_Data[[#This Row],[OrderDate]])</f>
        <v>9</v>
      </c>
      <c r="N1243" s="8" t="str">
        <f>TEXT(Clean_Data[[#This Row],[OrderDate]],"mmm")</f>
        <v>Sep</v>
      </c>
      <c r="O1243" s="8" t="str">
        <f>TEXT(Clean_Data[[#This Row],[OrderDate]], "yyyy-mm")</f>
        <v>2018-09</v>
      </c>
      <c r="P1243" s="7">
        <f>Clean_Data[[#This Row],[Profit]]/Clean_Data[[#This Row],[Revenue ]]</f>
        <v>0</v>
      </c>
      <c r="Q1243" t="str">
        <f>"Q"&amp;ROUNDUP(MONTH(Clean_Data[[#This Row],[OrderDate]])/3,0)</f>
        <v>Q3</v>
      </c>
      <c r="R1243" t="str">
        <f>TEXT(Clean_Data[[#This Row],[OrderDate]], "dddd")</f>
        <v>Saturday</v>
      </c>
    </row>
    <row r="1244" spans="1:18" x14ac:dyDescent="0.25">
      <c r="A1244" t="s">
        <v>313</v>
      </c>
      <c r="B1244" s="4">
        <v>39</v>
      </c>
      <c r="C1244" s="4">
        <v>-18</v>
      </c>
      <c r="D1244" s="3">
        <v>2</v>
      </c>
      <c r="E1244" t="s">
        <v>895</v>
      </c>
      <c r="F1244" t="s">
        <v>904</v>
      </c>
      <c r="G1244" t="s">
        <v>893</v>
      </c>
      <c r="H1244" s="6">
        <f>_xlfn.XLOOKUP(A1244,Orders[OrderID],Orders[OrderDate])</f>
        <v>43187</v>
      </c>
      <c r="I1244" t="str">
        <f>_xlfn.XLOOKUP(A1244,Orders[OrderID],Orders[CustomerName])</f>
        <v>Vini</v>
      </c>
      <c r="J1244" t="str">
        <f>_xlfn.XLOOKUP(A1244,Orders[OrderID],Orders[State])</f>
        <v>Karnataka</v>
      </c>
      <c r="K1244" t="str">
        <f>_xlfn.XLOOKUP(A1244,Orders[OrderID],Orders[City])</f>
        <v>Bangalore</v>
      </c>
      <c r="L1244" s="3">
        <f>YEAR(Clean_Data[[#This Row],[OrderDate]])</f>
        <v>2018</v>
      </c>
      <c r="M1244" s="3">
        <f>MONTH(Clean_Data[[#This Row],[OrderDate]])</f>
        <v>3</v>
      </c>
      <c r="N1244" s="8" t="str">
        <f>TEXT(Clean_Data[[#This Row],[OrderDate]],"mmm")</f>
        <v>Mar</v>
      </c>
      <c r="O1244" s="8" t="str">
        <f>TEXT(Clean_Data[[#This Row],[OrderDate]], "yyyy-mm")</f>
        <v>2018-03</v>
      </c>
      <c r="P1244" s="7">
        <f>Clean_Data[[#This Row],[Profit]]/Clean_Data[[#This Row],[Revenue ]]</f>
        <v>-0.46153846153846156</v>
      </c>
      <c r="Q1244" t="str">
        <f>"Q"&amp;ROUNDUP(MONTH(Clean_Data[[#This Row],[OrderDate]])/3,0)</f>
        <v>Q1</v>
      </c>
      <c r="R1244" t="str">
        <f>TEXT(Clean_Data[[#This Row],[OrderDate]], "dddd")</f>
        <v>Wednesday</v>
      </c>
    </row>
    <row r="1245" spans="1:18" x14ac:dyDescent="0.25">
      <c r="A1245" t="s">
        <v>75</v>
      </c>
      <c r="B1245" s="4">
        <v>1700</v>
      </c>
      <c r="C1245" s="4">
        <v>85</v>
      </c>
      <c r="D1245" s="3">
        <v>3</v>
      </c>
      <c r="E1245" t="s">
        <v>895</v>
      </c>
      <c r="F1245" t="s">
        <v>896</v>
      </c>
      <c r="G1245" t="s">
        <v>887</v>
      </c>
      <c r="H1245" s="6">
        <f>_xlfn.XLOOKUP(A1245,Orders[OrderID],Orders[OrderDate])</f>
        <v>43444</v>
      </c>
      <c r="I1245" t="str">
        <f>_xlfn.XLOOKUP(A1245,Orders[OrderID],Orders[CustomerName])</f>
        <v>Ishpreet</v>
      </c>
      <c r="J1245" t="str">
        <f>_xlfn.XLOOKUP(A1245,Orders[OrderID],Orders[State])</f>
        <v>Maharashtra</v>
      </c>
      <c r="K1245" t="str">
        <f>_xlfn.XLOOKUP(A1245,Orders[OrderID],Orders[City])</f>
        <v>Mumbai</v>
      </c>
      <c r="L1245" s="3">
        <f>YEAR(Clean_Data[[#This Row],[OrderDate]])</f>
        <v>2018</v>
      </c>
      <c r="M1245" s="3">
        <f>MONTH(Clean_Data[[#This Row],[OrderDate]])</f>
        <v>12</v>
      </c>
      <c r="N1245" s="8" t="str">
        <f>TEXT(Clean_Data[[#This Row],[OrderDate]],"mmm")</f>
        <v>Dec</v>
      </c>
      <c r="O1245" s="8" t="str">
        <f>TEXT(Clean_Data[[#This Row],[OrderDate]], "yyyy-mm")</f>
        <v>2018-12</v>
      </c>
      <c r="P1245" s="7">
        <f>Clean_Data[[#This Row],[Profit]]/Clean_Data[[#This Row],[Revenue ]]</f>
        <v>0.05</v>
      </c>
      <c r="Q1245" t="str">
        <f>"Q"&amp;ROUNDUP(MONTH(Clean_Data[[#This Row],[OrderDate]])/3,0)</f>
        <v>Q4</v>
      </c>
      <c r="R1245" t="str">
        <f>TEXT(Clean_Data[[#This Row],[OrderDate]], "dddd")</f>
        <v>Monday</v>
      </c>
    </row>
    <row r="1246" spans="1:18" x14ac:dyDescent="0.25">
      <c r="A1246" t="s">
        <v>211</v>
      </c>
      <c r="B1246" s="4">
        <v>332</v>
      </c>
      <c r="C1246" s="4">
        <v>-43</v>
      </c>
      <c r="D1246" s="3">
        <v>6</v>
      </c>
      <c r="E1246" t="s">
        <v>885</v>
      </c>
      <c r="F1246" t="s">
        <v>894</v>
      </c>
      <c r="G1246" t="s">
        <v>898</v>
      </c>
      <c r="H1246" s="6">
        <f>_xlfn.XLOOKUP(A1246,Orders[OrderID],Orders[OrderDate])</f>
        <v>43233</v>
      </c>
      <c r="I1246" t="str">
        <f>_xlfn.XLOOKUP(A1246,Orders[OrderID],Orders[CustomerName])</f>
        <v>Tulika</v>
      </c>
      <c r="J1246" t="str">
        <f>_xlfn.XLOOKUP(A1246,Orders[OrderID],Orders[State])</f>
        <v>Madhya Pradesh</v>
      </c>
      <c r="K1246" t="str">
        <f>_xlfn.XLOOKUP(A1246,Orders[OrderID],Orders[City])</f>
        <v>Bhopal</v>
      </c>
      <c r="L1246" s="3">
        <f>YEAR(Clean_Data[[#This Row],[OrderDate]])</f>
        <v>2018</v>
      </c>
      <c r="M1246" s="3">
        <f>MONTH(Clean_Data[[#This Row],[OrderDate]])</f>
        <v>5</v>
      </c>
      <c r="N1246" s="8" t="str">
        <f>TEXT(Clean_Data[[#This Row],[OrderDate]],"mmm")</f>
        <v>May</v>
      </c>
      <c r="O1246" s="8" t="str">
        <f>TEXT(Clean_Data[[#This Row],[OrderDate]], "yyyy-mm")</f>
        <v>2018-05</v>
      </c>
      <c r="P1246" s="7">
        <f>Clean_Data[[#This Row],[Profit]]/Clean_Data[[#This Row],[Revenue ]]</f>
        <v>-0.12951807228915663</v>
      </c>
      <c r="Q1246" t="str">
        <f>"Q"&amp;ROUNDUP(MONTH(Clean_Data[[#This Row],[OrderDate]])/3,0)</f>
        <v>Q2</v>
      </c>
      <c r="R1246" t="str">
        <f>TEXT(Clean_Data[[#This Row],[OrderDate]], "dddd")</f>
        <v>Sunday</v>
      </c>
    </row>
    <row r="1247" spans="1:18" x14ac:dyDescent="0.25">
      <c r="A1247" t="s">
        <v>419</v>
      </c>
      <c r="B1247" s="4">
        <v>436</v>
      </c>
      <c r="C1247" s="4">
        <v>131</v>
      </c>
      <c r="D1247" s="3">
        <v>9</v>
      </c>
      <c r="E1247" t="s">
        <v>895</v>
      </c>
      <c r="F1247" t="s">
        <v>899</v>
      </c>
      <c r="G1247" t="s">
        <v>898</v>
      </c>
      <c r="H1247" s="6">
        <f>_xlfn.XLOOKUP(A1247,Orders[OrderID],Orders[OrderDate])</f>
        <v>43412</v>
      </c>
      <c r="I1247" t="str">
        <f>_xlfn.XLOOKUP(A1247,Orders[OrderID],Orders[CustomerName])</f>
        <v>Shubham</v>
      </c>
      <c r="J1247" t="str">
        <f>_xlfn.XLOOKUP(A1247,Orders[OrderID],Orders[State])</f>
        <v>Maharashtra</v>
      </c>
      <c r="K1247" t="str">
        <f>_xlfn.XLOOKUP(A1247,Orders[OrderID],Orders[City])</f>
        <v>Pune</v>
      </c>
      <c r="L1247" s="3">
        <f>YEAR(Clean_Data[[#This Row],[OrderDate]])</f>
        <v>2018</v>
      </c>
      <c r="M1247" s="3">
        <f>MONTH(Clean_Data[[#This Row],[OrderDate]])</f>
        <v>11</v>
      </c>
      <c r="N1247" s="8" t="str">
        <f>TEXT(Clean_Data[[#This Row],[OrderDate]],"mmm")</f>
        <v>Nov</v>
      </c>
      <c r="O1247" s="8" t="str">
        <f>TEXT(Clean_Data[[#This Row],[OrderDate]], "yyyy-mm")</f>
        <v>2018-11</v>
      </c>
      <c r="P1247" s="7">
        <f>Clean_Data[[#This Row],[Profit]]/Clean_Data[[#This Row],[Revenue ]]</f>
        <v>0.30045871559633025</v>
      </c>
      <c r="Q1247" t="str">
        <f>"Q"&amp;ROUNDUP(MONTH(Clean_Data[[#This Row],[OrderDate]])/3,0)</f>
        <v>Q4</v>
      </c>
      <c r="R1247" t="str">
        <f>TEXT(Clean_Data[[#This Row],[OrderDate]], "dddd")</f>
        <v>Thursday</v>
      </c>
    </row>
    <row r="1248" spans="1:18" x14ac:dyDescent="0.25">
      <c r="A1248" t="s">
        <v>197</v>
      </c>
      <c r="B1248" s="4">
        <v>30</v>
      </c>
      <c r="C1248" s="4">
        <v>-5</v>
      </c>
      <c r="D1248" s="3">
        <v>2</v>
      </c>
      <c r="E1248" t="s">
        <v>888</v>
      </c>
      <c r="F1248" t="s">
        <v>908</v>
      </c>
      <c r="G1248" t="s">
        <v>887</v>
      </c>
      <c r="H1248" s="6">
        <f>_xlfn.XLOOKUP(A1248,Orders[OrderID],Orders[OrderDate])</f>
        <v>43199</v>
      </c>
      <c r="I1248" t="str">
        <f>_xlfn.XLOOKUP(A1248,Orders[OrderID],Orders[CustomerName])</f>
        <v>Yogesh</v>
      </c>
      <c r="J1248" t="str">
        <f>_xlfn.XLOOKUP(A1248,Orders[OrderID],Orders[State])</f>
        <v>Bihar</v>
      </c>
      <c r="K1248" t="str">
        <f>_xlfn.XLOOKUP(A1248,Orders[OrderID],Orders[City])</f>
        <v>Patna</v>
      </c>
      <c r="L1248" s="3">
        <f>YEAR(Clean_Data[[#This Row],[OrderDate]])</f>
        <v>2018</v>
      </c>
      <c r="M1248" s="3">
        <f>MONTH(Clean_Data[[#This Row],[OrderDate]])</f>
        <v>4</v>
      </c>
      <c r="N1248" s="8" t="str">
        <f>TEXT(Clean_Data[[#This Row],[OrderDate]],"mmm")</f>
        <v>Apr</v>
      </c>
      <c r="O1248" s="8" t="str">
        <f>TEXT(Clean_Data[[#This Row],[OrderDate]], "yyyy-mm")</f>
        <v>2018-04</v>
      </c>
      <c r="P1248" s="7">
        <f>Clean_Data[[#This Row],[Profit]]/Clean_Data[[#This Row],[Revenue ]]</f>
        <v>-0.16666666666666666</v>
      </c>
      <c r="Q1248" t="str">
        <f>"Q"&amp;ROUNDUP(MONTH(Clean_Data[[#This Row],[OrderDate]])/3,0)</f>
        <v>Q2</v>
      </c>
      <c r="R1248" t="str">
        <f>TEXT(Clean_Data[[#This Row],[OrderDate]], "dddd")</f>
        <v>Monday</v>
      </c>
    </row>
    <row r="1249" spans="1:18" x14ac:dyDescent="0.25">
      <c r="A1249" t="s">
        <v>808</v>
      </c>
      <c r="B1249" s="4">
        <v>30</v>
      </c>
      <c r="C1249" s="4">
        <v>-10</v>
      </c>
      <c r="D1249" s="3">
        <v>2</v>
      </c>
      <c r="E1249" t="s">
        <v>895</v>
      </c>
      <c r="F1249" t="s">
        <v>903</v>
      </c>
      <c r="G1249" t="s">
        <v>887</v>
      </c>
      <c r="H1249" s="6">
        <f>_xlfn.XLOOKUP(A1249,Orders[OrderID],Orders[OrderDate])</f>
        <v>43309</v>
      </c>
      <c r="I1249" t="str">
        <f>_xlfn.XLOOKUP(A1249,Orders[OrderID],Orders[CustomerName])</f>
        <v>Dhirajendu</v>
      </c>
      <c r="J1249" t="str">
        <f>_xlfn.XLOOKUP(A1249,Orders[OrderID],Orders[State])</f>
        <v>Maharashtra</v>
      </c>
      <c r="K1249" t="str">
        <f>_xlfn.XLOOKUP(A1249,Orders[OrderID],Orders[City])</f>
        <v>Mumbai</v>
      </c>
      <c r="L1249" s="3">
        <f>YEAR(Clean_Data[[#This Row],[OrderDate]])</f>
        <v>2018</v>
      </c>
      <c r="M1249" s="3">
        <f>MONTH(Clean_Data[[#This Row],[OrderDate]])</f>
        <v>7</v>
      </c>
      <c r="N1249" s="8" t="str">
        <f>TEXT(Clean_Data[[#This Row],[OrderDate]],"mmm")</f>
        <v>Jul</v>
      </c>
      <c r="O1249" s="8" t="str">
        <f>TEXT(Clean_Data[[#This Row],[OrderDate]], "yyyy-mm")</f>
        <v>2018-07</v>
      </c>
      <c r="P1249" s="7">
        <f>Clean_Data[[#This Row],[Profit]]/Clean_Data[[#This Row],[Revenue ]]</f>
        <v>-0.33333333333333331</v>
      </c>
      <c r="Q1249" t="str">
        <f>"Q"&amp;ROUNDUP(MONTH(Clean_Data[[#This Row],[OrderDate]])/3,0)</f>
        <v>Q3</v>
      </c>
      <c r="R1249" t="str">
        <f>TEXT(Clean_Data[[#This Row],[OrderDate]], "dddd")</f>
        <v>Saturday</v>
      </c>
    </row>
    <row r="1250" spans="1:18" x14ac:dyDescent="0.25">
      <c r="A1250" t="s">
        <v>28</v>
      </c>
      <c r="B1250" s="4">
        <v>38</v>
      </c>
      <c r="C1250" s="4">
        <v>-13</v>
      </c>
      <c r="D1250" s="3">
        <v>3</v>
      </c>
      <c r="E1250" t="s">
        <v>895</v>
      </c>
      <c r="F1250" t="s">
        <v>903</v>
      </c>
      <c r="G1250" t="s">
        <v>893</v>
      </c>
      <c r="H1250" s="6">
        <f>_xlfn.XLOOKUP(A1250,Orders[OrderID],Orders[OrderDate])</f>
        <v>43374</v>
      </c>
      <c r="I1250" t="str">
        <f>_xlfn.XLOOKUP(A1250,Orders[OrderID],Orders[CustomerName])</f>
        <v>Shishu</v>
      </c>
      <c r="J1250" t="str">
        <f>_xlfn.XLOOKUP(A1250,Orders[OrderID],Orders[State])</f>
        <v>Andhra Pradesh</v>
      </c>
      <c r="K1250" t="str">
        <f>_xlfn.XLOOKUP(A1250,Orders[OrderID],Orders[City])</f>
        <v>Hyderabad</v>
      </c>
      <c r="L1250" s="3">
        <f>YEAR(Clean_Data[[#This Row],[OrderDate]])</f>
        <v>2018</v>
      </c>
      <c r="M1250" s="3">
        <f>MONTH(Clean_Data[[#This Row],[OrderDate]])</f>
        <v>10</v>
      </c>
      <c r="N1250" s="8" t="str">
        <f>TEXT(Clean_Data[[#This Row],[OrderDate]],"mmm")</f>
        <v>Oct</v>
      </c>
      <c r="O1250" s="8" t="str">
        <f>TEXT(Clean_Data[[#This Row],[OrderDate]], "yyyy-mm")</f>
        <v>2018-10</v>
      </c>
      <c r="P1250" s="7">
        <f>Clean_Data[[#This Row],[Profit]]/Clean_Data[[#This Row],[Revenue ]]</f>
        <v>-0.34210526315789475</v>
      </c>
      <c r="Q1250" t="str">
        <f>"Q"&amp;ROUNDUP(MONTH(Clean_Data[[#This Row],[OrderDate]])/3,0)</f>
        <v>Q4</v>
      </c>
      <c r="R1250" t="str">
        <f>TEXT(Clean_Data[[#This Row],[OrderDate]], "dddd")</f>
        <v>Monday</v>
      </c>
    </row>
    <row r="1251" spans="1:18" x14ac:dyDescent="0.25">
      <c r="A1251" t="s">
        <v>275</v>
      </c>
      <c r="B1251" s="4">
        <v>511</v>
      </c>
      <c r="C1251" s="4">
        <v>194</v>
      </c>
      <c r="D1251" s="3">
        <v>3</v>
      </c>
      <c r="E1251" t="s">
        <v>888</v>
      </c>
      <c r="F1251" t="s">
        <v>889</v>
      </c>
      <c r="G1251" t="s">
        <v>898</v>
      </c>
      <c r="H1251" s="6">
        <f>_xlfn.XLOOKUP(A1251,Orders[OrderID],Orders[OrderDate])</f>
        <v>43378</v>
      </c>
      <c r="I1251" t="str">
        <f>_xlfn.XLOOKUP(A1251,Orders[OrderID],Orders[CustomerName])</f>
        <v>Shivanshu</v>
      </c>
      <c r="J1251" t="str">
        <f>_xlfn.XLOOKUP(A1251,Orders[OrderID],Orders[State])</f>
        <v>Madhya Pradesh</v>
      </c>
      <c r="K1251" t="str">
        <f>_xlfn.XLOOKUP(A1251,Orders[OrderID],Orders[City])</f>
        <v>Indore</v>
      </c>
      <c r="L1251" s="3">
        <f>YEAR(Clean_Data[[#This Row],[OrderDate]])</f>
        <v>2018</v>
      </c>
      <c r="M1251" s="3">
        <f>MONTH(Clean_Data[[#This Row],[OrderDate]])</f>
        <v>10</v>
      </c>
      <c r="N1251" s="8" t="str">
        <f>TEXT(Clean_Data[[#This Row],[OrderDate]],"mmm")</f>
        <v>Oct</v>
      </c>
      <c r="O1251" s="8" t="str">
        <f>TEXT(Clean_Data[[#This Row],[OrderDate]], "yyyy-mm")</f>
        <v>2018-10</v>
      </c>
      <c r="P1251" s="7">
        <f>Clean_Data[[#This Row],[Profit]]/Clean_Data[[#This Row],[Revenue ]]</f>
        <v>0.37964774951076319</v>
      </c>
      <c r="Q1251" t="str">
        <f>"Q"&amp;ROUNDUP(MONTH(Clean_Data[[#This Row],[OrderDate]])/3,0)</f>
        <v>Q4</v>
      </c>
      <c r="R1251" t="str">
        <f>TEXT(Clean_Data[[#This Row],[OrderDate]], "dddd")</f>
        <v>Friday</v>
      </c>
    </row>
    <row r="1252" spans="1:18" x14ac:dyDescent="0.25">
      <c r="A1252" t="s">
        <v>71</v>
      </c>
      <c r="B1252" s="4">
        <v>37</v>
      </c>
      <c r="C1252" s="4">
        <v>-53</v>
      </c>
      <c r="D1252" s="3">
        <v>3</v>
      </c>
      <c r="E1252" t="s">
        <v>895</v>
      </c>
      <c r="F1252" t="s">
        <v>897</v>
      </c>
      <c r="G1252" t="s">
        <v>893</v>
      </c>
      <c r="H1252" s="6">
        <f>_xlfn.XLOOKUP(A1252,Orders[OrderID],Orders[OrderDate])</f>
        <v>43331</v>
      </c>
      <c r="I1252" t="str">
        <f>_xlfn.XLOOKUP(A1252,Orders[OrderID],Orders[CustomerName])</f>
        <v>Shourya</v>
      </c>
      <c r="J1252" t="str">
        <f>_xlfn.XLOOKUP(A1252,Orders[OrderID],Orders[State])</f>
        <v xml:space="preserve">Kerala </v>
      </c>
      <c r="K1252" t="str">
        <f>_xlfn.XLOOKUP(A1252,Orders[OrderID],Orders[City])</f>
        <v>Thiruvananthapuram</v>
      </c>
      <c r="L1252" s="3">
        <f>YEAR(Clean_Data[[#This Row],[OrderDate]])</f>
        <v>2018</v>
      </c>
      <c r="M1252" s="3">
        <f>MONTH(Clean_Data[[#This Row],[OrderDate]])</f>
        <v>8</v>
      </c>
      <c r="N1252" s="8" t="str">
        <f>TEXT(Clean_Data[[#This Row],[OrderDate]],"mmm")</f>
        <v>Aug</v>
      </c>
      <c r="O1252" s="8" t="str">
        <f>TEXT(Clean_Data[[#This Row],[OrderDate]], "yyyy-mm")</f>
        <v>2018-08</v>
      </c>
      <c r="P1252" s="7">
        <f>Clean_Data[[#This Row],[Profit]]/Clean_Data[[#This Row],[Revenue ]]</f>
        <v>-1.4324324324324325</v>
      </c>
      <c r="Q1252" t="str">
        <f>"Q"&amp;ROUNDUP(MONTH(Clean_Data[[#This Row],[OrderDate]])/3,0)</f>
        <v>Q3</v>
      </c>
      <c r="R1252" t="str">
        <f>TEXT(Clean_Data[[#This Row],[OrderDate]], "dddd")</f>
        <v>Sunday</v>
      </c>
    </row>
    <row r="1253" spans="1:18" x14ac:dyDescent="0.25">
      <c r="A1253" t="s">
        <v>228</v>
      </c>
      <c r="B1253" s="4">
        <v>513</v>
      </c>
      <c r="C1253" s="4">
        <v>215</v>
      </c>
      <c r="D1253" s="3">
        <v>2</v>
      </c>
      <c r="E1253" t="s">
        <v>885</v>
      </c>
      <c r="F1253" t="s">
        <v>905</v>
      </c>
      <c r="G1253" t="s">
        <v>887</v>
      </c>
      <c r="H1253" s="6">
        <f>_xlfn.XLOOKUP(A1253,Orders[OrderID],Orders[OrderDate])</f>
        <v>43409</v>
      </c>
      <c r="I1253" t="str">
        <f>_xlfn.XLOOKUP(A1253,Orders[OrderID],Orders[CustomerName])</f>
        <v>Abhishek</v>
      </c>
      <c r="J1253" t="str">
        <f>_xlfn.XLOOKUP(A1253,Orders[OrderID],Orders[State])</f>
        <v>Goa</v>
      </c>
      <c r="K1253" t="str">
        <f>_xlfn.XLOOKUP(A1253,Orders[OrderID],Orders[City])</f>
        <v>Goa</v>
      </c>
      <c r="L1253" s="3">
        <f>YEAR(Clean_Data[[#This Row],[OrderDate]])</f>
        <v>2018</v>
      </c>
      <c r="M1253" s="3">
        <f>MONTH(Clean_Data[[#This Row],[OrderDate]])</f>
        <v>11</v>
      </c>
      <c r="N1253" s="8" t="str">
        <f>TEXT(Clean_Data[[#This Row],[OrderDate]],"mmm")</f>
        <v>Nov</v>
      </c>
      <c r="O1253" s="8" t="str">
        <f>TEXT(Clean_Data[[#This Row],[OrderDate]], "yyyy-mm")</f>
        <v>2018-11</v>
      </c>
      <c r="P1253" s="7">
        <f>Clean_Data[[#This Row],[Profit]]/Clean_Data[[#This Row],[Revenue ]]</f>
        <v>0.41910331384015592</v>
      </c>
      <c r="Q1253" t="str">
        <f>"Q"&amp;ROUNDUP(MONTH(Clean_Data[[#This Row],[OrderDate]])/3,0)</f>
        <v>Q4</v>
      </c>
      <c r="R1253" t="str">
        <f>TEXT(Clean_Data[[#This Row],[OrderDate]], "dddd")</f>
        <v>Monday</v>
      </c>
    </row>
    <row r="1254" spans="1:18" x14ac:dyDescent="0.25">
      <c r="A1254" t="s">
        <v>209</v>
      </c>
      <c r="B1254" s="4">
        <v>516</v>
      </c>
      <c r="C1254" s="4">
        <v>69</v>
      </c>
      <c r="D1254" s="3">
        <v>4</v>
      </c>
      <c r="E1254" t="s">
        <v>888</v>
      </c>
      <c r="F1254" t="s">
        <v>891</v>
      </c>
      <c r="G1254" t="s">
        <v>898</v>
      </c>
      <c r="H1254" s="6">
        <f>_xlfn.XLOOKUP(A1254,Orders[OrderID],Orders[OrderDate])</f>
        <v>43243</v>
      </c>
      <c r="I1254" t="str">
        <f>_xlfn.XLOOKUP(A1254,Orders[OrderID],Orders[CustomerName])</f>
        <v>Anjali</v>
      </c>
      <c r="J1254" t="str">
        <f>_xlfn.XLOOKUP(A1254,Orders[OrderID],Orders[State])</f>
        <v>Haryana</v>
      </c>
      <c r="K1254" t="str">
        <f>_xlfn.XLOOKUP(A1254,Orders[OrderID],Orders[City])</f>
        <v>Chandigarh</v>
      </c>
      <c r="L1254" s="3">
        <f>YEAR(Clean_Data[[#This Row],[OrderDate]])</f>
        <v>2018</v>
      </c>
      <c r="M1254" s="3">
        <f>MONTH(Clean_Data[[#This Row],[OrderDate]])</f>
        <v>5</v>
      </c>
      <c r="N1254" s="8" t="str">
        <f>TEXT(Clean_Data[[#This Row],[OrderDate]],"mmm")</f>
        <v>May</v>
      </c>
      <c r="O1254" s="8" t="str">
        <f>TEXT(Clean_Data[[#This Row],[OrderDate]], "yyyy-mm")</f>
        <v>2018-05</v>
      </c>
      <c r="P1254" s="7">
        <f>Clean_Data[[#This Row],[Profit]]/Clean_Data[[#This Row],[Revenue ]]</f>
        <v>0.13372093023255813</v>
      </c>
      <c r="Q1254" t="str">
        <f>"Q"&amp;ROUNDUP(MONTH(Clean_Data[[#This Row],[OrderDate]])/3,0)</f>
        <v>Q2</v>
      </c>
      <c r="R1254" t="str">
        <f>TEXT(Clean_Data[[#This Row],[OrderDate]], "dddd")</f>
        <v>Wednesday</v>
      </c>
    </row>
    <row r="1255" spans="1:18" x14ac:dyDescent="0.25">
      <c r="A1255" t="s">
        <v>337</v>
      </c>
      <c r="B1255" s="4">
        <v>559</v>
      </c>
      <c r="C1255" s="4">
        <v>-19</v>
      </c>
      <c r="D1255" s="3">
        <v>2</v>
      </c>
      <c r="E1255" t="s">
        <v>895</v>
      </c>
      <c r="F1255" t="s">
        <v>896</v>
      </c>
      <c r="G1255" t="s">
        <v>907</v>
      </c>
      <c r="H1255" s="6">
        <f>_xlfn.XLOOKUP(A1255,Orders[OrderID],Orders[OrderDate])</f>
        <v>43367</v>
      </c>
      <c r="I1255" t="str">
        <f>_xlfn.XLOOKUP(A1255,Orders[OrderID],Orders[CustomerName])</f>
        <v>Sukrith</v>
      </c>
      <c r="J1255" t="str">
        <f>_xlfn.XLOOKUP(A1255,Orders[OrderID],Orders[State])</f>
        <v>Maharashtra</v>
      </c>
      <c r="K1255" t="str">
        <f>_xlfn.XLOOKUP(A1255,Orders[OrderID],Orders[City])</f>
        <v>Mumbai</v>
      </c>
      <c r="L1255" s="3">
        <f>YEAR(Clean_Data[[#This Row],[OrderDate]])</f>
        <v>2018</v>
      </c>
      <c r="M1255" s="3">
        <f>MONTH(Clean_Data[[#This Row],[OrderDate]])</f>
        <v>9</v>
      </c>
      <c r="N1255" s="8" t="str">
        <f>TEXT(Clean_Data[[#This Row],[OrderDate]],"mmm")</f>
        <v>Sep</v>
      </c>
      <c r="O1255" s="8" t="str">
        <f>TEXT(Clean_Data[[#This Row],[OrderDate]], "yyyy-mm")</f>
        <v>2018-09</v>
      </c>
      <c r="P1255" s="7">
        <f>Clean_Data[[#This Row],[Profit]]/Clean_Data[[#This Row],[Revenue ]]</f>
        <v>-3.3989266547406083E-2</v>
      </c>
      <c r="Q1255" t="str">
        <f>"Q"&amp;ROUNDUP(MONTH(Clean_Data[[#This Row],[OrderDate]])/3,0)</f>
        <v>Q3</v>
      </c>
      <c r="R1255" t="str">
        <f>TEXT(Clean_Data[[#This Row],[OrderDate]], "dddd")</f>
        <v>Monday</v>
      </c>
    </row>
    <row r="1256" spans="1:18" x14ac:dyDescent="0.25">
      <c r="A1256" t="s">
        <v>839</v>
      </c>
      <c r="B1256" s="4">
        <v>29</v>
      </c>
      <c r="C1256" s="4">
        <v>-10</v>
      </c>
      <c r="D1256" s="3">
        <v>3</v>
      </c>
      <c r="E1256" t="s">
        <v>895</v>
      </c>
      <c r="F1256" t="s">
        <v>901</v>
      </c>
      <c r="G1256" t="s">
        <v>887</v>
      </c>
      <c r="H1256" s="6">
        <f>_xlfn.XLOOKUP(A1256,Orders[OrderID],Orders[OrderDate])</f>
        <v>43144</v>
      </c>
      <c r="I1256" t="str">
        <f>_xlfn.XLOOKUP(A1256,Orders[OrderID],Orders[CustomerName])</f>
        <v>Jahan</v>
      </c>
      <c r="J1256" t="str">
        <f>_xlfn.XLOOKUP(A1256,Orders[OrderID],Orders[State])</f>
        <v>Madhya Pradesh</v>
      </c>
      <c r="K1256" t="str">
        <f>_xlfn.XLOOKUP(A1256,Orders[OrderID],Orders[City])</f>
        <v>Bhopal</v>
      </c>
      <c r="L1256" s="3">
        <f>YEAR(Clean_Data[[#This Row],[OrderDate]])</f>
        <v>2018</v>
      </c>
      <c r="M1256" s="3">
        <f>MONTH(Clean_Data[[#This Row],[OrderDate]])</f>
        <v>2</v>
      </c>
      <c r="N1256" s="8" t="str">
        <f>TEXT(Clean_Data[[#This Row],[OrderDate]],"mmm")</f>
        <v>Feb</v>
      </c>
      <c r="O1256" s="8" t="str">
        <f>TEXT(Clean_Data[[#This Row],[OrderDate]], "yyyy-mm")</f>
        <v>2018-02</v>
      </c>
      <c r="P1256" s="7">
        <f>Clean_Data[[#This Row],[Profit]]/Clean_Data[[#This Row],[Revenue ]]</f>
        <v>-0.34482758620689657</v>
      </c>
      <c r="Q1256" t="str">
        <f>"Q"&amp;ROUNDUP(MONTH(Clean_Data[[#This Row],[OrderDate]])/3,0)</f>
        <v>Q1</v>
      </c>
      <c r="R1256" t="str">
        <f>TEXT(Clean_Data[[#This Row],[OrderDate]], "dddd")</f>
        <v>Tuesday</v>
      </c>
    </row>
    <row r="1257" spans="1:18" x14ac:dyDescent="0.25">
      <c r="A1257" t="s">
        <v>421</v>
      </c>
      <c r="B1257" s="4">
        <v>148</v>
      </c>
      <c r="C1257" s="4">
        <v>52</v>
      </c>
      <c r="D1257" s="3">
        <v>5</v>
      </c>
      <c r="E1257" t="s">
        <v>895</v>
      </c>
      <c r="F1257" t="s">
        <v>903</v>
      </c>
      <c r="G1257" t="s">
        <v>898</v>
      </c>
      <c r="H1257" s="6">
        <f>_xlfn.XLOOKUP(A1257,Orders[OrderID],Orders[OrderDate])</f>
        <v>43259</v>
      </c>
      <c r="I1257" t="str">
        <f>_xlfn.XLOOKUP(A1257,Orders[OrderID],Orders[CustomerName])</f>
        <v>Shreya</v>
      </c>
      <c r="J1257" t="str">
        <f>_xlfn.XLOOKUP(A1257,Orders[OrderID],Orders[State])</f>
        <v xml:space="preserve">Kerala </v>
      </c>
      <c r="K1257" t="str">
        <f>_xlfn.XLOOKUP(A1257,Orders[OrderID],Orders[City])</f>
        <v>Thiruvananthapuram</v>
      </c>
      <c r="L1257" s="3">
        <f>YEAR(Clean_Data[[#This Row],[OrderDate]])</f>
        <v>2018</v>
      </c>
      <c r="M1257" s="3">
        <f>MONTH(Clean_Data[[#This Row],[OrderDate]])</f>
        <v>6</v>
      </c>
      <c r="N1257" s="8" t="str">
        <f>TEXT(Clean_Data[[#This Row],[OrderDate]],"mmm")</f>
        <v>Jun</v>
      </c>
      <c r="O1257" s="8" t="str">
        <f>TEXT(Clean_Data[[#This Row],[OrderDate]], "yyyy-mm")</f>
        <v>2018-06</v>
      </c>
      <c r="P1257" s="7">
        <f>Clean_Data[[#This Row],[Profit]]/Clean_Data[[#This Row],[Revenue ]]</f>
        <v>0.35135135135135137</v>
      </c>
      <c r="Q1257" t="str">
        <f>"Q"&amp;ROUNDUP(MONTH(Clean_Data[[#This Row],[OrderDate]])/3,0)</f>
        <v>Q2</v>
      </c>
      <c r="R1257" t="str">
        <f>TEXT(Clean_Data[[#This Row],[OrderDate]], "dddd")</f>
        <v>Friday</v>
      </c>
    </row>
    <row r="1258" spans="1:18" x14ac:dyDescent="0.25">
      <c r="A1258" t="s">
        <v>358</v>
      </c>
      <c r="B1258" s="4">
        <v>559</v>
      </c>
      <c r="C1258" s="4">
        <v>-174</v>
      </c>
      <c r="D1258" s="3">
        <v>2</v>
      </c>
      <c r="E1258" t="s">
        <v>885</v>
      </c>
      <c r="F1258" t="s">
        <v>886</v>
      </c>
      <c r="G1258" t="s">
        <v>907</v>
      </c>
      <c r="H1258" s="6">
        <f>_xlfn.XLOOKUP(A1258,Orders[OrderID],Orders[OrderDate])</f>
        <v>43169</v>
      </c>
      <c r="I1258" t="str">
        <f>_xlfn.XLOOKUP(A1258,Orders[OrderID],Orders[CustomerName])</f>
        <v>Mayank</v>
      </c>
      <c r="J1258" t="str">
        <f>_xlfn.XLOOKUP(A1258,Orders[OrderID],Orders[State])</f>
        <v>Maharashtra</v>
      </c>
      <c r="K1258" t="str">
        <f>_xlfn.XLOOKUP(A1258,Orders[OrderID],Orders[City])</f>
        <v>Mumbai</v>
      </c>
      <c r="L1258" s="3">
        <f>YEAR(Clean_Data[[#This Row],[OrderDate]])</f>
        <v>2018</v>
      </c>
      <c r="M1258" s="3">
        <f>MONTH(Clean_Data[[#This Row],[OrderDate]])</f>
        <v>3</v>
      </c>
      <c r="N1258" s="8" t="str">
        <f>TEXT(Clean_Data[[#This Row],[OrderDate]],"mmm")</f>
        <v>Mar</v>
      </c>
      <c r="O1258" s="8" t="str">
        <f>TEXT(Clean_Data[[#This Row],[OrderDate]], "yyyy-mm")</f>
        <v>2018-03</v>
      </c>
      <c r="P1258" s="7">
        <f>Clean_Data[[#This Row],[Profit]]/Clean_Data[[#This Row],[Revenue ]]</f>
        <v>-0.31127012522361358</v>
      </c>
      <c r="Q1258" t="str">
        <f>"Q"&amp;ROUNDUP(MONTH(Clean_Data[[#This Row],[OrderDate]])/3,0)</f>
        <v>Q1</v>
      </c>
      <c r="R1258" t="str">
        <f>TEXT(Clean_Data[[#This Row],[OrderDate]], "dddd")</f>
        <v>Saturday</v>
      </c>
    </row>
    <row r="1259" spans="1:18" x14ac:dyDescent="0.25">
      <c r="A1259" t="s">
        <v>376</v>
      </c>
      <c r="B1259" s="4">
        <v>527</v>
      </c>
      <c r="C1259" s="4">
        <v>26</v>
      </c>
      <c r="D1259" s="3">
        <v>3</v>
      </c>
      <c r="E1259" t="s">
        <v>885</v>
      </c>
      <c r="F1259" t="s">
        <v>886</v>
      </c>
      <c r="G1259" t="s">
        <v>887</v>
      </c>
      <c r="H1259" s="6">
        <f>_xlfn.XLOOKUP(A1259,Orders[OrderID],Orders[OrderDate])</f>
        <v>43142</v>
      </c>
      <c r="I1259" t="str">
        <f>_xlfn.XLOOKUP(A1259,Orders[OrderID],Orders[CustomerName])</f>
        <v>Kartikay</v>
      </c>
      <c r="J1259" t="str">
        <f>_xlfn.XLOOKUP(A1259,Orders[OrderID],Orders[State])</f>
        <v>Bihar</v>
      </c>
      <c r="K1259" t="str">
        <f>_xlfn.XLOOKUP(A1259,Orders[OrderID],Orders[City])</f>
        <v>Patna</v>
      </c>
      <c r="L1259" s="3">
        <f>YEAR(Clean_Data[[#This Row],[OrderDate]])</f>
        <v>2018</v>
      </c>
      <c r="M1259" s="3">
        <f>MONTH(Clean_Data[[#This Row],[OrderDate]])</f>
        <v>2</v>
      </c>
      <c r="N1259" s="8" t="str">
        <f>TEXT(Clean_Data[[#This Row],[OrderDate]],"mmm")</f>
        <v>Feb</v>
      </c>
      <c r="O1259" s="8" t="str">
        <f>TEXT(Clean_Data[[#This Row],[OrderDate]], "yyyy-mm")</f>
        <v>2018-02</v>
      </c>
      <c r="P1259" s="7">
        <f>Clean_Data[[#This Row],[Profit]]/Clean_Data[[#This Row],[Revenue ]]</f>
        <v>4.9335863377609111E-2</v>
      </c>
      <c r="Q1259" t="str">
        <f>"Q"&amp;ROUNDUP(MONTH(Clean_Data[[#This Row],[OrderDate]])/3,0)</f>
        <v>Q1</v>
      </c>
      <c r="R1259" t="str">
        <f>TEXT(Clean_Data[[#This Row],[OrderDate]], "dddd")</f>
        <v>Sunday</v>
      </c>
    </row>
    <row r="1260" spans="1:18" x14ac:dyDescent="0.25">
      <c r="A1260" t="s">
        <v>356</v>
      </c>
      <c r="B1260" s="4">
        <v>560</v>
      </c>
      <c r="C1260" s="4">
        <v>44</v>
      </c>
      <c r="D1260" s="3">
        <v>3</v>
      </c>
      <c r="E1260" t="s">
        <v>895</v>
      </c>
      <c r="F1260" t="s">
        <v>897</v>
      </c>
      <c r="G1260" t="s">
        <v>907</v>
      </c>
      <c r="H1260" s="6">
        <f>_xlfn.XLOOKUP(A1260,Orders[OrderID],Orders[OrderDate])</f>
        <v>43127</v>
      </c>
      <c r="I1260" t="str">
        <f>_xlfn.XLOOKUP(A1260,Orders[OrderID],Orders[CustomerName])</f>
        <v>Shivangi</v>
      </c>
      <c r="J1260" t="str">
        <f>_xlfn.XLOOKUP(A1260,Orders[OrderID],Orders[State])</f>
        <v>Madhya Pradesh</v>
      </c>
      <c r="K1260" t="str">
        <f>_xlfn.XLOOKUP(A1260,Orders[OrderID],Orders[City])</f>
        <v>Indore</v>
      </c>
      <c r="L1260" s="3">
        <f>YEAR(Clean_Data[[#This Row],[OrderDate]])</f>
        <v>2018</v>
      </c>
      <c r="M1260" s="3">
        <f>MONTH(Clean_Data[[#This Row],[OrderDate]])</f>
        <v>1</v>
      </c>
      <c r="N1260" s="8" t="str">
        <f>TEXT(Clean_Data[[#This Row],[OrderDate]],"mmm")</f>
        <v>Jan</v>
      </c>
      <c r="O1260" s="8" t="str">
        <f>TEXT(Clean_Data[[#This Row],[OrderDate]], "yyyy-mm")</f>
        <v>2018-01</v>
      </c>
      <c r="P1260" s="7">
        <f>Clean_Data[[#This Row],[Profit]]/Clean_Data[[#This Row],[Revenue ]]</f>
        <v>7.857142857142857E-2</v>
      </c>
      <c r="Q1260" t="str">
        <f>"Q"&amp;ROUNDUP(MONTH(Clean_Data[[#This Row],[OrderDate]])/3,0)</f>
        <v>Q1</v>
      </c>
      <c r="R1260" t="str">
        <f>TEXT(Clean_Data[[#This Row],[OrderDate]], "dddd")</f>
        <v>Saturday</v>
      </c>
    </row>
    <row r="1261" spans="1:18" x14ac:dyDescent="0.25">
      <c r="A1261" t="s">
        <v>10</v>
      </c>
      <c r="B1261" s="4">
        <v>571</v>
      </c>
      <c r="C1261" s="4">
        <v>108</v>
      </c>
      <c r="D1261" s="3">
        <v>12</v>
      </c>
      <c r="E1261" t="s">
        <v>895</v>
      </c>
      <c r="F1261" t="s">
        <v>903</v>
      </c>
      <c r="G1261" t="s">
        <v>907</v>
      </c>
      <c r="H1261" s="6">
        <f>_xlfn.XLOOKUP(A1261,Orders[OrderID],Orders[OrderDate])</f>
        <v>43124</v>
      </c>
      <c r="I1261" t="str">
        <f>_xlfn.XLOOKUP(A1261,Orders[OrderID],Orders[CustomerName])</f>
        <v>Madan Mohan</v>
      </c>
      <c r="J1261" t="str">
        <f>_xlfn.XLOOKUP(A1261,Orders[OrderID],Orders[State])</f>
        <v>Uttar Pradesh</v>
      </c>
      <c r="K1261" t="str">
        <f>_xlfn.XLOOKUP(A1261,Orders[OrderID],Orders[City])</f>
        <v>Mathura</v>
      </c>
      <c r="L1261" s="3">
        <f>YEAR(Clean_Data[[#This Row],[OrderDate]])</f>
        <v>2018</v>
      </c>
      <c r="M1261" s="3">
        <f>MONTH(Clean_Data[[#This Row],[OrderDate]])</f>
        <v>1</v>
      </c>
      <c r="N1261" s="8" t="str">
        <f>TEXT(Clean_Data[[#This Row],[OrderDate]],"mmm")</f>
        <v>Jan</v>
      </c>
      <c r="O1261" s="8" t="str">
        <f>TEXT(Clean_Data[[#This Row],[OrderDate]], "yyyy-mm")</f>
        <v>2018-01</v>
      </c>
      <c r="P1261" s="7">
        <f>Clean_Data[[#This Row],[Profit]]/Clean_Data[[#This Row],[Revenue ]]</f>
        <v>0.18914185639229422</v>
      </c>
      <c r="Q1261" t="str">
        <f>"Q"&amp;ROUNDUP(MONTH(Clean_Data[[#This Row],[OrderDate]])/3,0)</f>
        <v>Q1</v>
      </c>
      <c r="R1261" t="str">
        <f>TEXT(Clean_Data[[#This Row],[OrderDate]], "dddd")</f>
        <v>Wednesday</v>
      </c>
    </row>
    <row r="1262" spans="1:18" x14ac:dyDescent="0.25">
      <c r="A1262" t="s">
        <v>389</v>
      </c>
      <c r="B1262" s="4">
        <v>29</v>
      </c>
      <c r="C1262" s="4">
        <v>2</v>
      </c>
      <c r="D1262" s="3">
        <v>3</v>
      </c>
      <c r="E1262" t="s">
        <v>895</v>
      </c>
      <c r="F1262" t="s">
        <v>901</v>
      </c>
      <c r="G1262" t="s">
        <v>887</v>
      </c>
      <c r="H1262" s="6">
        <f>_xlfn.XLOOKUP(A1262,Orders[OrderID],Orders[OrderDate])</f>
        <v>43125</v>
      </c>
      <c r="I1262" t="str">
        <f>_xlfn.XLOOKUP(A1262,Orders[OrderID],Orders[CustomerName])</f>
        <v>Priyanka</v>
      </c>
      <c r="J1262" t="str">
        <f>_xlfn.XLOOKUP(A1262,Orders[OrderID],Orders[State])</f>
        <v>Uttar Pradesh</v>
      </c>
      <c r="K1262" t="str">
        <f>_xlfn.XLOOKUP(A1262,Orders[OrderID],Orders[City])</f>
        <v>Prayagraj</v>
      </c>
      <c r="L1262" s="3">
        <f>YEAR(Clean_Data[[#This Row],[OrderDate]])</f>
        <v>2018</v>
      </c>
      <c r="M1262" s="3">
        <f>MONTH(Clean_Data[[#This Row],[OrderDate]])</f>
        <v>1</v>
      </c>
      <c r="N1262" s="8" t="str">
        <f>TEXT(Clean_Data[[#This Row],[OrderDate]],"mmm")</f>
        <v>Jan</v>
      </c>
      <c r="O1262" s="8" t="str">
        <f>TEXT(Clean_Data[[#This Row],[OrderDate]], "yyyy-mm")</f>
        <v>2018-01</v>
      </c>
      <c r="P1262" s="7">
        <f>Clean_Data[[#This Row],[Profit]]/Clean_Data[[#This Row],[Revenue ]]</f>
        <v>6.8965517241379309E-2</v>
      </c>
      <c r="Q1262" t="str">
        <f>"Q"&amp;ROUNDUP(MONTH(Clean_Data[[#This Row],[OrderDate]])/3,0)</f>
        <v>Q1</v>
      </c>
      <c r="R1262" t="str">
        <f>TEXT(Clean_Data[[#This Row],[OrderDate]], "dddd")</f>
        <v>Thursday</v>
      </c>
    </row>
    <row r="1263" spans="1:18" x14ac:dyDescent="0.25">
      <c r="A1263" t="s">
        <v>376</v>
      </c>
      <c r="B1263" s="4">
        <v>29</v>
      </c>
      <c r="C1263" s="4">
        <v>3</v>
      </c>
      <c r="D1263" s="3">
        <v>2</v>
      </c>
      <c r="E1263" t="s">
        <v>895</v>
      </c>
      <c r="F1263" t="s">
        <v>903</v>
      </c>
      <c r="G1263" t="s">
        <v>887</v>
      </c>
      <c r="H1263" s="6">
        <f>_xlfn.XLOOKUP(A1263,Orders[OrderID],Orders[OrderDate])</f>
        <v>43142</v>
      </c>
      <c r="I1263" t="str">
        <f>_xlfn.XLOOKUP(A1263,Orders[OrderID],Orders[CustomerName])</f>
        <v>Kartikay</v>
      </c>
      <c r="J1263" t="str">
        <f>_xlfn.XLOOKUP(A1263,Orders[OrderID],Orders[State])</f>
        <v>Bihar</v>
      </c>
      <c r="K1263" t="str">
        <f>_xlfn.XLOOKUP(A1263,Orders[OrderID],Orders[City])</f>
        <v>Patna</v>
      </c>
      <c r="L1263" s="3">
        <f>YEAR(Clean_Data[[#This Row],[OrderDate]])</f>
        <v>2018</v>
      </c>
      <c r="M1263" s="3">
        <f>MONTH(Clean_Data[[#This Row],[OrderDate]])</f>
        <v>2</v>
      </c>
      <c r="N1263" s="8" t="str">
        <f>TEXT(Clean_Data[[#This Row],[OrderDate]],"mmm")</f>
        <v>Feb</v>
      </c>
      <c r="O1263" s="8" t="str">
        <f>TEXT(Clean_Data[[#This Row],[OrderDate]], "yyyy-mm")</f>
        <v>2018-02</v>
      </c>
      <c r="P1263" s="7">
        <f>Clean_Data[[#This Row],[Profit]]/Clean_Data[[#This Row],[Revenue ]]</f>
        <v>0.10344827586206896</v>
      </c>
      <c r="Q1263" t="str">
        <f>"Q"&amp;ROUNDUP(MONTH(Clean_Data[[#This Row],[OrderDate]])/3,0)</f>
        <v>Q1</v>
      </c>
      <c r="R1263" t="str">
        <f>TEXT(Clean_Data[[#This Row],[OrderDate]], "dddd")</f>
        <v>Sunday</v>
      </c>
    </row>
    <row r="1264" spans="1:18" x14ac:dyDescent="0.25">
      <c r="A1264" t="s">
        <v>497</v>
      </c>
      <c r="B1264" s="4">
        <v>29</v>
      </c>
      <c r="C1264" s="4">
        <v>-3</v>
      </c>
      <c r="D1264" s="3">
        <v>3</v>
      </c>
      <c r="E1264" t="s">
        <v>895</v>
      </c>
      <c r="F1264" t="s">
        <v>897</v>
      </c>
      <c r="G1264" t="s">
        <v>887</v>
      </c>
      <c r="H1264" s="6">
        <f>_xlfn.XLOOKUP(A1264,Orders[OrderID],Orders[OrderDate])</f>
        <v>43343</v>
      </c>
      <c r="I1264" t="str">
        <f>_xlfn.XLOOKUP(A1264,Orders[OrderID],Orders[CustomerName])</f>
        <v>Ashmeet</v>
      </c>
      <c r="J1264" t="str">
        <f>_xlfn.XLOOKUP(A1264,Orders[OrderID],Orders[State])</f>
        <v>West Bengal</v>
      </c>
      <c r="K1264" t="str">
        <f>_xlfn.XLOOKUP(A1264,Orders[OrderID],Orders[City])</f>
        <v>Kolkata</v>
      </c>
      <c r="L1264" s="3">
        <f>YEAR(Clean_Data[[#This Row],[OrderDate]])</f>
        <v>2018</v>
      </c>
      <c r="M1264" s="3">
        <f>MONTH(Clean_Data[[#This Row],[OrderDate]])</f>
        <v>8</v>
      </c>
      <c r="N1264" s="8" t="str">
        <f>TEXT(Clean_Data[[#This Row],[OrderDate]],"mmm")</f>
        <v>Aug</v>
      </c>
      <c r="O1264" s="8" t="str">
        <f>TEXT(Clean_Data[[#This Row],[OrderDate]], "yyyy-mm")</f>
        <v>2018-08</v>
      </c>
      <c r="P1264" s="7">
        <f>Clean_Data[[#This Row],[Profit]]/Clean_Data[[#This Row],[Revenue ]]</f>
        <v>-0.10344827586206896</v>
      </c>
      <c r="Q1264" t="str">
        <f>"Q"&amp;ROUNDUP(MONTH(Clean_Data[[#This Row],[OrderDate]])/3,0)</f>
        <v>Q3</v>
      </c>
      <c r="R1264" t="str">
        <f>TEXT(Clean_Data[[#This Row],[OrderDate]], "dddd")</f>
        <v>Friday</v>
      </c>
    </row>
    <row r="1265" spans="1:18" x14ac:dyDescent="0.25">
      <c r="A1265" t="s">
        <v>821</v>
      </c>
      <c r="B1265" s="4">
        <v>35</v>
      </c>
      <c r="C1265" s="4">
        <v>14</v>
      </c>
      <c r="D1265" s="3">
        <v>2</v>
      </c>
      <c r="E1265" t="s">
        <v>895</v>
      </c>
      <c r="F1265" t="s">
        <v>903</v>
      </c>
      <c r="G1265" t="s">
        <v>893</v>
      </c>
      <c r="H1265" s="6">
        <f>_xlfn.XLOOKUP(A1265,Orders[OrderID],Orders[OrderDate])</f>
        <v>43383</v>
      </c>
      <c r="I1265" t="str">
        <f>_xlfn.XLOOKUP(A1265,Orders[OrderID],Orders[CustomerName])</f>
        <v>Harsh</v>
      </c>
      <c r="J1265" t="str">
        <f>_xlfn.XLOOKUP(A1265,Orders[OrderID],Orders[State])</f>
        <v>Nagaland</v>
      </c>
      <c r="K1265" t="str">
        <f>_xlfn.XLOOKUP(A1265,Orders[OrderID],Orders[City])</f>
        <v>Kohima</v>
      </c>
      <c r="L1265" s="3">
        <f>YEAR(Clean_Data[[#This Row],[OrderDate]])</f>
        <v>2018</v>
      </c>
      <c r="M1265" s="3">
        <f>MONTH(Clean_Data[[#This Row],[OrderDate]])</f>
        <v>10</v>
      </c>
      <c r="N1265" s="8" t="str">
        <f>TEXT(Clean_Data[[#This Row],[OrderDate]],"mmm")</f>
        <v>Oct</v>
      </c>
      <c r="O1265" s="8" t="str">
        <f>TEXT(Clean_Data[[#This Row],[OrderDate]], "yyyy-mm")</f>
        <v>2018-10</v>
      </c>
      <c r="P1265" s="7">
        <f>Clean_Data[[#This Row],[Profit]]/Clean_Data[[#This Row],[Revenue ]]</f>
        <v>0.4</v>
      </c>
      <c r="Q1265" t="str">
        <f>"Q"&amp;ROUNDUP(MONTH(Clean_Data[[#This Row],[OrderDate]])/3,0)</f>
        <v>Q4</v>
      </c>
      <c r="R1265" t="str">
        <f>TEXT(Clean_Data[[#This Row],[OrderDate]], "dddd")</f>
        <v>Wednesday</v>
      </c>
    </row>
    <row r="1266" spans="1:18" x14ac:dyDescent="0.25">
      <c r="A1266" t="s">
        <v>50</v>
      </c>
      <c r="B1266" s="4">
        <v>579</v>
      </c>
      <c r="C1266" s="4">
        <v>139</v>
      </c>
      <c r="D1266" s="3">
        <v>3</v>
      </c>
      <c r="E1266" t="s">
        <v>885</v>
      </c>
      <c r="F1266" t="s">
        <v>892</v>
      </c>
      <c r="G1266" t="s">
        <v>907</v>
      </c>
      <c r="H1266" s="6">
        <f>_xlfn.XLOOKUP(A1266,Orders[OrderID],Orders[OrderDate])</f>
        <v>43412</v>
      </c>
      <c r="I1266" t="str">
        <f>_xlfn.XLOOKUP(A1266,Orders[OrderID],Orders[CustomerName])</f>
        <v>Gaurav</v>
      </c>
      <c r="J1266" t="str">
        <f>_xlfn.XLOOKUP(A1266,Orders[OrderID],Orders[State])</f>
        <v>Gujarat</v>
      </c>
      <c r="K1266" t="str">
        <f>_xlfn.XLOOKUP(A1266,Orders[OrderID],Orders[City])</f>
        <v>Ahmedabad</v>
      </c>
      <c r="L1266" s="3">
        <f>YEAR(Clean_Data[[#This Row],[OrderDate]])</f>
        <v>2018</v>
      </c>
      <c r="M1266" s="3">
        <f>MONTH(Clean_Data[[#This Row],[OrderDate]])</f>
        <v>11</v>
      </c>
      <c r="N1266" s="8" t="str">
        <f>TEXT(Clean_Data[[#This Row],[OrderDate]],"mmm")</f>
        <v>Nov</v>
      </c>
      <c r="O1266" s="8" t="str">
        <f>TEXT(Clean_Data[[#This Row],[OrderDate]], "yyyy-mm")</f>
        <v>2018-11</v>
      </c>
      <c r="P1266" s="7">
        <f>Clean_Data[[#This Row],[Profit]]/Clean_Data[[#This Row],[Revenue ]]</f>
        <v>0.24006908462867013</v>
      </c>
      <c r="Q1266" t="str">
        <f>"Q"&amp;ROUNDUP(MONTH(Clean_Data[[#This Row],[OrderDate]])/3,0)</f>
        <v>Q4</v>
      </c>
      <c r="R1266" t="str">
        <f>TEXT(Clean_Data[[#This Row],[OrderDate]], "dddd")</f>
        <v>Thursday</v>
      </c>
    </row>
    <row r="1267" spans="1:18" x14ac:dyDescent="0.25">
      <c r="A1267" t="s">
        <v>295</v>
      </c>
      <c r="B1267" s="4">
        <v>29</v>
      </c>
      <c r="C1267" s="4">
        <v>-24</v>
      </c>
      <c r="D1267" s="3">
        <v>4</v>
      </c>
      <c r="E1267" t="s">
        <v>895</v>
      </c>
      <c r="F1267" t="s">
        <v>904</v>
      </c>
      <c r="G1267" t="s">
        <v>887</v>
      </c>
      <c r="H1267" s="6">
        <f>_xlfn.XLOOKUP(A1267,Orders[OrderID],Orders[OrderDate])</f>
        <v>43332</v>
      </c>
      <c r="I1267" t="str">
        <f>_xlfn.XLOOKUP(A1267,Orders[OrderID],Orders[CustomerName])</f>
        <v>Mohan</v>
      </c>
      <c r="J1267" t="str">
        <f>_xlfn.XLOOKUP(A1267,Orders[OrderID],Orders[State])</f>
        <v>Maharashtra</v>
      </c>
      <c r="K1267" t="str">
        <f>_xlfn.XLOOKUP(A1267,Orders[OrderID],Orders[City])</f>
        <v>Mumbai</v>
      </c>
      <c r="L1267" s="3">
        <f>YEAR(Clean_Data[[#This Row],[OrderDate]])</f>
        <v>2018</v>
      </c>
      <c r="M1267" s="3">
        <f>MONTH(Clean_Data[[#This Row],[OrderDate]])</f>
        <v>8</v>
      </c>
      <c r="N1267" s="8" t="str">
        <f>TEXT(Clean_Data[[#This Row],[OrderDate]],"mmm")</f>
        <v>Aug</v>
      </c>
      <c r="O1267" s="8" t="str">
        <f>TEXT(Clean_Data[[#This Row],[OrderDate]], "yyyy-mm")</f>
        <v>2018-08</v>
      </c>
      <c r="P1267" s="7">
        <f>Clean_Data[[#This Row],[Profit]]/Clean_Data[[#This Row],[Revenue ]]</f>
        <v>-0.82758620689655171</v>
      </c>
      <c r="Q1267" t="str">
        <f>"Q"&amp;ROUNDUP(MONTH(Clean_Data[[#This Row],[OrderDate]])/3,0)</f>
        <v>Q3</v>
      </c>
      <c r="R1267" t="str">
        <f>TEXT(Clean_Data[[#This Row],[OrderDate]], "dddd")</f>
        <v>Monday</v>
      </c>
    </row>
    <row r="1268" spans="1:18" x14ac:dyDescent="0.25">
      <c r="A1268" t="s">
        <v>71</v>
      </c>
      <c r="B1268" s="4">
        <v>593</v>
      </c>
      <c r="C1268" s="4">
        <v>213</v>
      </c>
      <c r="D1268" s="3">
        <v>4</v>
      </c>
      <c r="E1268" t="s">
        <v>888</v>
      </c>
      <c r="F1268" t="s">
        <v>891</v>
      </c>
      <c r="G1268" t="s">
        <v>907</v>
      </c>
      <c r="H1268" s="6">
        <f>_xlfn.XLOOKUP(A1268,Orders[OrderID],Orders[OrderDate])</f>
        <v>43331</v>
      </c>
      <c r="I1268" t="str">
        <f>_xlfn.XLOOKUP(A1268,Orders[OrderID],Orders[CustomerName])</f>
        <v>Shourya</v>
      </c>
      <c r="J1268" t="str">
        <f>_xlfn.XLOOKUP(A1268,Orders[OrderID],Orders[State])</f>
        <v xml:space="preserve">Kerala </v>
      </c>
      <c r="K1268" t="str">
        <f>_xlfn.XLOOKUP(A1268,Orders[OrderID],Orders[City])</f>
        <v>Thiruvananthapuram</v>
      </c>
      <c r="L1268" s="3">
        <f>YEAR(Clean_Data[[#This Row],[OrderDate]])</f>
        <v>2018</v>
      </c>
      <c r="M1268" s="3">
        <f>MONTH(Clean_Data[[#This Row],[OrderDate]])</f>
        <v>8</v>
      </c>
      <c r="N1268" s="8" t="str">
        <f>TEXT(Clean_Data[[#This Row],[OrderDate]],"mmm")</f>
        <v>Aug</v>
      </c>
      <c r="O1268" s="8" t="str">
        <f>TEXT(Clean_Data[[#This Row],[OrderDate]], "yyyy-mm")</f>
        <v>2018-08</v>
      </c>
      <c r="P1268" s="7">
        <f>Clean_Data[[#This Row],[Profit]]/Clean_Data[[#This Row],[Revenue ]]</f>
        <v>0.35919055649241149</v>
      </c>
      <c r="Q1268" t="str">
        <f>"Q"&amp;ROUNDUP(MONTH(Clean_Data[[#This Row],[OrderDate]])/3,0)</f>
        <v>Q3</v>
      </c>
      <c r="R1268" t="str">
        <f>TEXT(Clean_Data[[#This Row],[OrderDate]], "dddd")</f>
        <v>Sunday</v>
      </c>
    </row>
    <row r="1269" spans="1:18" x14ac:dyDescent="0.25">
      <c r="A1269" t="s">
        <v>476</v>
      </c>
      <c r="B1269" s="4">
        <v>217</v>
      </c>
      <c r="C1269" s="4">
        <v>72</v>
      </c>
      <c r="D1269" s="3">
        <v>2</v>
      </c>
      <c r="E1269" t="s">
        <v>888</v>
      </c>
      <c r="F1269" t="s">
        <v>908</v>
      </c>
      <c r="G1269" t="s">
        <v>887</v>
      </c>
      <c r="H1269" s="6">
        <f>_xlfn.XLOOKUP(A1269,Orders[OrderID],Orders[OrderDate])</f>
        <v>43135</v>
      </c>
      <c r="I1269" t="str">
        <f>_xlfn.XLOOKUP(A1269,Orders[OrderID],Orders[CustomerName])</f>
        <v>Prashant</v>
      </c>
      <c r="J1269" t="str">
        <f>_xlfn.XLOOKUP(A1269,Orders[OrderID],Orders[State])</f>
        <v>Delhi</v>
      </c>
      <c r="K1269" t="str">
        <f>_xlfn.XLOOKUP(A1269,Orders[OrderID],Orders[City])</f>
        <v>Delhi</v>
      </c>
      <c r="L1269" s="3">
        <f>YEAR(Clean_Data[[#This Row],[OrderDate]])</f>
        <v>2018</v>
      </c>
      <c r="M1269" s="3">
        <f>MONTH(Clean_Data[[#This Row],[OrderDate]])</f>
        <v>2</v>
      </c>
      <c r="N1269" s="8" t="str">
        <f>TEXT(Clean_Data[[#This Row],[OrderDate]],"mmm")</f>
        <v>Feb</v>
      </c>
      <c r="O1269" s="8" t="str">
        <f>TEXT(Clean_Data[[#This Row],[OrderDate]], "yyyy-mm")</f>
        <v>2018-02</v>
      </c>
      <c r="P1269" s="7">
        <f>Clean_Data[[#This Row],[Profit]]/Clean_Data[[#This Row],[Revenue ]]</f>
        <v>0.33179723502304148</v>
      </c>
      <c r="Q1269" t="str">
        <f>"Q"&amp;ROUNDUP(MONTH(Clean_Data[[#This Row],[OrderDate]])/3,0)</f>
        <v>Q1</v>
      </c>
      <c r="R1269" t="str">
        <f>TEXT(Clean_Data[[#This Row],[OrderDate]], "dddd")</f>
        <v>Sunday</v>
      </c>
    </row>
    <row r="1270" spans="1:18" x14ac:dyDescent="0.25">
      <c r="A1270" t="s">
        <v>458</v>
      </c>
      <c r="B1270" s="4">
        <v>353</v>
      </c>
      <c r="C1270" s="4">
        <v>90</v>
      </c>
      <c r="D1270" s="3">
        <v>8</v>
      </c>
      <c r="E1270" t="s">
        <v>895</v>
      </c>
      <c r="F1270" t="s">
        <v>897</v>
      </c>
      <c r="G1270" t="s">
        <v>887</v>
      </c>
      <c r="H1270" s="6">
        <f>_xlfn.XLOOKUP(A1270,Orders[OrderID],Orders[OrderDate])</f>
        <v>43208</v>
      </c>
      <c r="I1270" t="str">
        <f>_xlfn.XLOOKUP(A1270,Orders[OrderID],Orders[CustomerName])</f>
        <v>Ramesh</v>
      </c>
      <c r="J1270" t="str">
        <f>_xlfn.XLOOKUP(A1270,Orders[OrderID],Orders[State])</f>
        <v>Gujarat</v>
      </c>
      <c r="K1270" t="str">
        <f>_xlfn.XLOOKUP(A1270,Orders[OrderID],Orders[City])</f>
        <v>Ahmedabad</v>
      </c>
      <c r="L1270" s="3">
        <f>YEAR(Clean_Data[[#This Row],[OrderDate]])</f>
        <v>2018</v>
      </c>
      <c r="M1270" s="3">
        <f>MONTH(Clean_Data[[#This Row],[OrderDate]])</f>
        <v>4</v>
      </c>
      <c r="N1270" s="8" t="str">
        <f>TEXT(Clean_Data[[#This Row],[OrderDate]],"mmm")</f>
        <v>Apr</v>
      </c>
      <c r="O1270" s="8" t="str">
        <f>TEXT(Clean_Data[[#This Row],[OrderDate]], "yyyy-mm")</f>
        <v>2018-04</v>
      </c>
      <c r="P1270" s="7">
        <f>Clean_Data[[#This Row],[Profit]]/Clean_Data[[#This Row],[Revenue ]]</f>
        <v>0.25495750708215298</v>
      </c>
      <c r="Q1270" t="str">
        <f>"Q"&amp;ROUNDUP(MONTH(Clean_Data[[#This Row],[OrderDate]])/3,0)</f>
        <v>Q2</v>
      </c>
      <c r="R1270" t="str">
        <f>TEXT(Clean_Data[[#This Row],[OrderDate]], "dddd")</f>
        <v>Wednesday</v>
      </c>
    </row>
    <row r="1271" spans="1:18" x14ac:dyDescent="0.25">
      <c r="A1271" t="s">
        <v>395</v>
      </c>
      <c r="B1271" s="4">
        <v>382</v>
      </c>
      <c r="C1271" s="4">
        <v>92</v>
      </c>
      <c r="D1271" s="3">
        <v>2</v>
      </c>
      <c r="E1271" t="s">
        <v>885</v>
      </c>
      <c r="F1271" t="s">
        <v>892</v>
      </c>
      <c r="G1271" t="s">
        <v>887</v>
      </c>
      <c r="H1271" s="6">
        <f>_xlfn.XLOOKUP(A1271,Orders[OrderID],Orders[OrderDate])</f>
        <v>43165</v>
      </c>
      <c r="I1271" t="str">
        <f>_xlfn.XLOOKUP(A1271,Orders[OrderID],Orders[CustomerName])</f>
        <v>Paridhi</v>
      </c>
      <c r="J1271" t="str">
        <f>_xlfn.XLOOKUP(A1271,Orders[OrderID],Orders[State])</f>
        <v>Rajasthan</v>
      </c>
      <c r="K1271" t="str">
        <f>_xlfn.XLOOKUP(A1271,Orders[OrderID],Orders[City])</f>
        <v>Jaipur</v>
      </c>
      <c r="L1271" s="3">
        <f>YEAR(Clean_Data[[#This Row],[OrderDate]])</f>
        <v>2018</v>
      </c>
      <c r="M1271" s="3">
        <f>MONTH(Clean_Data[[#This Row],[OrderDate]])</f>
        <v>3</v>
      </c>
      <c r="N1271" s="8" t="str">
        <f>TEXT(Clean_Data[[#This Row],[OrderDate]],"mmm")</f>
        <v>Mar</v>
      </c>
      <c r="O1271" s="8" t="str">
        <f>TEXT(Clean_Data[[#This Row],[OrderDate]], "yyyy-mm")</f>
        <v>2018-03</v>
      </c>
      <c r="P1271" s="7">
        <f>Clean_Data[[#This Row],[Profit]]/Clean_Data[[#This Row],[Revenue ]]</f>
        <v>0.24083769633507854</v>
      </c>
      <c r="Q1271" t="str">
        <f>"Q"&amp;ROUNDUP(MONTH(Clean_Data[[#This Row],[OrderDate]])/3,0)</f>
        <v>Q1</v>
      </c>
      <c r="R1271" t="str">
        <f>TEXT(Clean_Data[[#This Row],[OrderDate]], "dddd")</f>
        <v>Tuesday</v>
      </c>
    </row>
    <row r="1272" spans="1:18" x14ac:dyDescent="0.25">
      <c r="A1272" t="s">
        <v>311</v>
      </c>
      <c r="B1272" s="4">
        <v>597</v>
      </c>
      <c r="C1272" s="4">
        <v>93</v>
      </c>
      <c r="D1272" s="3">
        <v>4</v>
      </c>
      <c r="E1272" t="s">
        <v>888</v>
      </c>
      <c r="F1272" t="s">
        <v>889</v>
      </c>
      <c r="G1272" t="s">
        <v>907</v>
      </c>
      <c r="H1272" s="6">
        <f>_xlfn.XLOOKUP(A1272,Orders[OrderID],Orders[OrderDate])</f>
        <v>43137</v>
      </c>
      <c r="I1272" t="str">
        <f>_xlfn.XLOOKUP(A1272,Orders[OrderID],Orders[CustomerName])</f>
        <v>Shubham</v>
      </c>
      <c r="J1272" t="str">
        <f>_xlfn.XLOOKUP(A1272,Orders[OrderID],Orders[State])</f>
        <v>Delhi</v>
      </c>
      <c r="K1272" t="str">
        <f>_xlfn.XLOOKUP(A1272,Orders[OrderID],Orders[City])</f>
        <v>Delhi</v>
      </c>
      <c r="L1272" s="3">
        <f>YEAR(Clean_Data[[#This Row],[OrderDate]])</f>
        <v>2018</v>
      </c>
      <c r="M1272" s="3">
        <f>MONTH(Clean_Data[[#This Row],[OrderDate]])</f>
        <v>2</v>
      </c>
      <c r="N1272" s="8" t="str">
        <f>TEXT(Clean_Data[[#This Row],[OrderDate]],"mmm")</f>
        <v>Feb</v>
      </c>
      <c r="O1272" s="8" t="str">
        <f>TEXT(Clean_Data[[#This Row],[OrderDate]], "yyyy-mm")</f>
        <v>2018-02</v>
      </c>
      <c r="P1272" s="7">
        <f>Clean_Data[[#This Row],[Profit]]/Clean_Data[[#This Row],[Revenue ]]</f>
        <v>0.15577889447236182</v>
      </c>
      <c r="Q1272" t="str">
        <f>"Q"&amp;ROUNDUP(MONTH(Clean_Data[[#This Row],[OrderDate]])/3,0)</f>
        <v>Q1</v>
      </c>
      <c r="R1272" t="str">
        <f>TEXT(Clean_Data[[#This Row],[OrderDate]], "dddd")</f>
        <v>Tuesday</v>
      </c>
    </row>
    <row r="1273" spans="1:18" x14ac:dyDescent="0.25">
      <c r="A1273" t="s">
        <v>546</v>
      </c>
      <c r="B1273" s="4">
        <v>212</v>
      </c>
      <c r="C1273" s="4">
        <v>97</v>
      </c>
      <c r="D1273" s="3">
        <v>7</v>
      </c>
      <c r="E1273" t="s">
        <v>895</v>
      </c>
      <c r="F1273" t="s">
        <v>899</v>
      </c>
      <c r="G1273" t="s">
        <v>887</v>
      </c>
      <c r="H1273" s="6">
        <f>_xlfn.XLOOKUP(A1273,Orders[OrderID],Orders[OrderDate])</f>
        <v>43170</v>
      </c>
      <c r="I1273" t="str">
        <f>_xlfn.XLOOKUP(A1273,Orders[OrderID],Orders[CustomerName])</f>
        <v>Aditya</v>
      </c>
      <c r="J1273" t="str">
        <f>_xlfn.XLOOKUP(A1273,Orders[OrderID],Orders[State])</f>
        <v>Punjab</v>
      </c>
      <c r="K1273" t="str">
        <f>_xlfn.XLOOKUP(A1273,Orders[OrderID],Orders[City])</f>
        <v>Chandigarh</v>
      </c>
      <c r="L1273" s="3">
        <f>YEAR(Clean_Data[[#This Row],[OrderDate]])</f>
        <v>2018</v>
      </c>
      <c r="M1273" s="3">
        <f>MONTH(Clean_Data[[#This Row],[OrderDate]])</f>
        <v>3</v>
      </c>
      <c r="N1273" s="8" t="str">
        <f>TEXT(Clean_Data[[#This Row],[OrderDate]],"mmm")</f>
        <v>Mar</v>
      </c>
      <c r="O1273" s="8" t="str">
        <f>TEXT(Clean_Data[[#This Row],[OrderDate]], "yyyy-mm")</f>
        <v>2018-03</v>
      </c>
      <c r="P1273" s="7">
        <f>Clean_Data[[#This Row],[Profit]]/Clean_Data[[#This Row],[Revenue ]]</f>
        <v>0.45754716981132076</v>
      </c>
      <c r="Q1273" t="str">
        <f>"Q"&amp;ROUNDUP(MONTH(Clean_Data[[#This Row],[OrderDate]])/3,0)</f>
        <v>Q1</v>
      </c>
      <c r="R1273" t="str">
        <f>TEXT(Clean_Data[[#This Row],[OrderDate]], "dddd")</f>
        <v>Sunday</v>
      </c>
    </row>
    <row r="1274" spans="1:18" x14ac:dyDescent="0.25">
      <c r="A1274" t="s">
        <v>307</v>
      </c>
      <c r="B1274" s="4">
        <v>689</v>
      </c>
      <c r="C1274" s="4">
        <v>90</v>
      </c>
      <c r="D1274" s="3">
        <v>5</v>
      </c>
      <c r="E1274" t="s">
        <v>895</v>
      </c>
      <c r="F1274" t="s">
        <v>897</v>
      </c>
      <c r="G1274" t="s">
        <v>887</v>
      </c>
      <c r="H1274" s="6">
        <f>_xlfn.XLOOKUP(A1274,Orders[OrderID],Orders[OrderDate])</f>
        <v>43414</v>
      </c>
      <c r="I1274" t="str">
        <f>_xlfn.XLOOKUP(A1274,Orders[OrderID],Orders[CustomerName])</f>
        <v>Abhijeet</v>
      </c>
      <c r="J1274" t="str">
        <f>_xlfn.XLOOKUP(A1274,Orders[OrderID],Orders[State])</f>
        <v>Maharashtra</v>
      </c>
      <c r="K1274" t="str">
        <f>_xlfn.XLOOKUP(A1274,Orders[OrderID],Orders[City])</f>
        <v>Mumbai</v>
      </c>
      <c r="L1274" s="3">
        <f>YEAR(Clean_Data[[#This Row],[OrderDate]])</f>
        <v>2018</v>
      </c>
      <c r="M1274" s="3">
        <f>MONTH(Clean_Data[[#This Row],[OrderDate]])</f>
        <v>11</v>
      </c>
      <c r="N1274" s="8" t="str">
        <f>TEXT(Clean_Data[[#This Row],[OrderDate]],"mmm")</f>
        <v>Nov</v>
      </c>
      <c r="O1274" s="8" t="str">
        <f>TEXT(Clean_Data[[#This Row],[OrderDate]], "yyyy-mm")</f>
        <v>2018-11</v>
      </c>
      <c r="P1274" s="7">
        <f>Clean_Data[[#This Row],[Profit]]/Clean_Data[[#This Row],[Revenue ]]</f>
        <v>0.13062409288824384</v>
      </c>
      <c r="Q1274" t="str">
        <f>"Q"&amp;ROUNDUP(MONTH(Clean_Data[[#This Row],[OrderDate]])/3,0)</f>
        <v>Q4</v>
      </c>
      <c r="R1274" t="str">
        <f>TEXT(Clean_Data[[#This Row],[OrderDate]], "dddd")</f>
        <v>Saturday</v>
      </c>
    </row>
    <row r="1275" spans="1:18" x14ac:dyDescent="0.25">
      <c r="A1275" t="s">
        <v>840</v>
      </c>
      <c r="B1275" s="4">
        <v>28</v>
      </c>
      <c r="C1275" s="4">
        <v>-10</v>
      </c>
      <c r="D1275" s="3">
        <v>3</v>
      </c>
      <c r="E1275" t="s">
        <v>895</v>
      </c>
      <c r="F1275" t="s">
        <v>901</v>
      </c>
      <c r="G1275" t="s">
        <v>887</v>
      </c>
      <c r="H1275" s="6">
        <f>_xlfn.XLOOKUP(A1275,Orders[OrderID],Orders[OrderDate])</f>
        <v>43161</v>
      </c>
      <c r="I1275" t="str">
        <f>_xlfn.XLOOKUP(A1275,Orders[OrderID],Orders[CustomerName])</f>
        <v>Sanjay</v>
      </c>
      <c r="J1275" t="str">
        <f>_xlfn.XLOOKUP(A1275,Orders[OrderID],Orders[State])</f>
        <v>Goa</v>
      </c>
      <c r="K1275" t="str">
        <f>_xlfn.XLOOKUP(A1275,Orders[OrderID],Orders[City])</f>
        <v>Goa</v>
      </c>
      <c r="L1275" s="3">
        <f>YEAR(Clean_Data[[#This Row],[OrderDate]])</f>
        <v>2018</v>
      </c>
      <c r="M1275" s="3">
        <f>MONTH(Clean_Data[[#This Row],[OrderDate]])</f>
        <v>3</v>
      </c>
      <c r="N1275" s="8" t="str">
        <f>TEXT(Clean_Data[[#This Row],[OrderDate]],"mmm")</f>
        <v>Mar</v>
      </c>
      <c r="O1275" s="8" t="str">
        <f>TEXT(Clean_Data[[#This Row],[OrderDate]], "yyyy-mm")</f>
        <v>2018-03</v>
      </c>
      <c r="P1275" s="7">
        <f>Clean_Data[[#This Row],[Profit]]/Clean_Data[[#This Row],[Revenue ]]</f>
        <v>-0.35714285714285715</v>
      </c>
      <c r="Q1275" t="str">
        <f>"Q"&amp;ROUNDUP(MONTH(Clean_Data[[#This Row],[OrderDate]])/3,0)</f>
        <v>Q1</v>
      </c>
      <c r="R1275" t="str">
        <f>TEXT(Clean_Data[[#This Row],[OrderDate]], "dddd")</f>
        <v>Friday</v>
      </c>
    </row>
    <row r="1276" spans="1:18" x14ac:dyDescent="0.25">
      <c r="A1276" t="s">
        <v>414</v>
      </c>
      <c r="B1276" s="4">
        <v>34</v>
      </c>
      <c r="C1276" s="4">
        <v>12</v>
      </c>
      <c r="D1276" s="3">
        <v>3</v>
      </c>
      <c r="E1276" t="s">
        <v>895</v>
      </c>
      <c r="F1276" t="s">
        <v>899</v>
      </c>
      <c r="G1276" t="s">
        <v>893</v>
      </c>
      <c r="H1276" s="6">
        <f>_xlfn.XLOOKUP(A1276,Orders[OrderID],Orders[OrderDate])</f>
        <v>43230</v>
      </c>
      <c r="I1276" t="str">
        <f>_xlfn.XLOOKUP(A1276,Orders[OrderID],Orders[CustomerName])</f>
        <v>Sabah</v>
      </c>
      <c r="J1276" t="str">
        <f>_xlfn.XLOOKUP(A1276,Orders[OrderID],Orders[State])</f>
        <v>Maharashtra</v>
      </c>
      <c r="K1276" t="str">
        <f>_xlfn.XLOOKUP(A1276,Orders[OrderID],Orders[City])</f>
        <v>Mumbai</v>
      </c>
      <c r="L1276" s="3">
        <f>YEAR(Clean_Data[[#This Row],[OrderDate]])</f>
        <v>2018</v>
      </c>
      <c r="M1276" s="3">
        <f>MONTH(Clean_Data[[#This Row],[OrderDate]])</f>
        <v>5</v>
      </c>
      <c r="N1276" s="8" t="str">
        <f>TEXT(Clean_Data[[#This Row],[OrderDate]],"mmm")</f>
        <v>May</v>
      </c>
      <c r="O1276" s="8" t="str">
        <f>TEXT(Clean_Data[[#This Row],[OrderDate]], "yyyy-mm")</f>
        <v>2018-05</v>
      </c>
      <c r="P1276" s="7">
        <f>Clean_Data[[#This Row],[Profit]]/Clean_Data[[#This Row],[Revenue ]]</f>
        <v>0.35294117647058826</v>
      </c>
      <c r="Q1276" t="str">
        <f>"Q"&amp;ROUNDUP(MONTH(Clean_Data[[#This Row],[OrderDate]])/3,0)</f>
        <v>Q2</v>
      </c>
      <c r="R1276" t="str">
        <f>TEXT(Clean_Data[[#This Row],[OrderDate]], "dddd")</f>
        <v>Thursday</v>
      </c>
    </row>
    <row r="1277" spans="1:18" x14ac:dyDescent="0.25">
      <c r="A1277" t="s">
        <v>136</v>
      </c>
      <c r="B1277" s="4">
        <v>600</v>
      </c>
      <c r="C1277" s="4">
        <v>-102</v>
      </c>
      <c r="D1277" s="3">
        <v>5</v>
      </c>
      <c r="E1277" t="s">
        <v>885</v>
      </c>
      <c r="F1277" t="s">
        <v>886</v>
      </c>
      <c r="G1277" t="s">
        <v>907</v>
      </c>
      <c r="H1277" s="6">
        <f>_xlfn.XLOOKUP(A1277,Orders[OrderID],Orders[OrderDate])</f>
        <v>43166</v>
      </c>
      <c r="I1277" t="str">
        <f>_xlfn.XLOOKUP(A1277,Orders[OrderID],Orders[CustomerName])</f>
        <v>Parishi</v>
      </c>
      <c r="J1277" t="str">
        <f>_xlfn.XLOOKUP(A1277,Orders[OrderID],Orders[State])</f>
        <v>West Bengal</v>
      </c>
      <c r="K1277" t="str">
        <f>_xlfn.XLOOKUP(A1277,Orders[OrderID],Orders[City])</f>
        <v>Kolkata</v>
      </c>
      <c r="L1277" s="3">
        <f>YEAR(Clean_Data[[#This Row],[OrderDate]])</f>
        <v>2018</v>
      </c>
      <c r="M1277" s="3">
        <f>MONTH(Clean_Data[[#This Row],[OrderDate]])</f>
        <v>3</v>
      </c>
      <c r="N1277" s="8" t="str">
        <f>TEXT(Clean_Data[[#This Row],[OrderDate]],"mmm")</f>
        <v>Mar</v>
      </c>
      <c r="O1277" s="8" t="str">
        <f>TEXT(Clean_Data[[#This Row],[OrderDate]], "yyyy-mm")</f>
        <v>2018-03</v>
      </c>
      <c r="P1277" s="7">
        <f>Clean_Data[[#This Row],[Profit]]/Clean_Data[[#This Row],[Revenue ]]</f>
        <v>-0.17</v>
      </c>
      <c r="Q1277" t="str">
        <f>"Q"&amp;ROUNDUP(MONTH(Clean_Data[[#This Row],[OrderDate]])/3,0)</f>
        <v>Q1</v>
      </c>
      <c r="R1277" t="str">
        <f>TEXT(Clean_Data[[#This Row],[OrderDate]], "dddd")</f>
        <v>Wednesday</v>
      </c>
    </row>
    <row r="1278" spans="1:18" x14ac:dyDescent="0.25">
      <c r="A1278" t="s">
        <v>326</v>
      </c>
      <c r="B1278" s="4">
        <v>637</v>
      </c>
      <c r="C1278" s="4">
        <v>113</v>
      </c>
      <c r="D1278" s="3">
        <v>5</v>
      </c>
      <c r="E1278" t="s">
        <v>895</v>
      </c>
      <c r="F1278" t="s">
        <v>897</v>
      </c>
      <c r="G1278" t="s">
        <v>898</v>
      </c>
      <c r="H1278" s="6">
        <f>_xlfn.XLOOKUP(A1278,Orders[OrderID],Orders[OrderDate])</f>
        <v>43216</v>
      </c>
      <c r="I1278" t="str">
        <f>_xlfn.XLOOKUP(A1278,Orders[OrderID],Orders[CustomerName])</f>
        <v>Nishi</v>
      </c>
      <c r="J1278" t="str">
        <f>_xlfn.XLOOKUP(A1278,Orders[OrderID],Orders[State])</f>
        <v>Maharashtra</v>
      </c>
      <c r="K1278" t="str">
        <f>_xlfn.XLOOKUP(A1278,Orders[OrderID],Orders[City])</f>
        <v>Mumbai</v>
      </c>
      <c r="L1278" s="3">
        <f>YEAR(Clean_Data[[#This Row],[OrderDate]])</f>
        <v>2018</v>
      </c>
      <c r="M1278" s="3">
        <f>MONTH(Clean_Data[[#This Row],[OrderDate]])</f>
        <v>4</v>
      </c>
      <c r="N1278" s="8" t="str">
        <f>TEXT(Clean_Data[[#This Row],[OrderDate]],"mmm")</f>
        <v>Apr</v>
      </c>
      <c r="O1278" s="8" t="str">
        <f>TEXT(Clean_Data[[#This Row],[OrderDate]], "yyyy-mm")</f>
        <v>2018-04</v>
      </c>
      <c r="P1278" s="7">
        <f>Clean_Data[[#This Row],[Profit]]/Clean_Data[[#This Row],[Revenue ]]</f>
        <v>0.17739403453689168</v>
      </c>
      <c r="Q1278" t="str">
        <f>"Q"&amp;ROUNDUP(MONTH(Clean_Data[[#This Row],[OrderDate]])/3,0)</f>
        <v>Q2</v>
      </c>
      <c r="R1278" t="str">
        <f>TEXT(Clean_Data[[#This Row],[OrderDate]], "dddd")</f>
        <v>Thursday</v>
      </c>
    </row>
    <row r="1279" spans="1:18" x14ac:dyDescent="0.25">
      <c r="A1279" t="s">
        <v>341</v>
      </c>
      <c r="B1279" s="4">
        <v>616</v>
      </c>
      <c r="C1279" s="4">
        <v>-69</v>
      </c>
      <c r="D1279" s="3">
        <v>7</v>
      </c>
      <c r="E1279" t="s">
        <v>888</v>
      </c>
      <c r="F1279" t="s">
        <v>908</v>
      </c>
      <c r="G1279" t="s">
        <v>907</v>
      </c>
      <c r="H1279" s="6">
        <f>_xlfn.XLOOKUP(A1279,Orders[OrderID],Orders[OrderDate])</f>
        <v>43286</v>
      </c>
      <c r="I1279" t="str">
        <f>_xlfn.XLOOKUP(A1279,Orders[OrderID],Orders[CustomerName])</f>
        <v>Megha</v>
      </c>
      <c r="J1279" t="str">
        <f>_xlfn.XLOOKUP(A1279,Orders[OrderID],Orders[State])</f>
        <v>Maharashtra</v>
      </c>
      <c r="K1279" t="str">
        <f>_xlfn.XLOOKUP(A1279,Orders[OrderID],Orders[City])</f>
        <v>Pune</v>
      </c>
      <c r="L1279" s="3">
        <f>YEAR(Clean_Data[[#This Row],[OrderDate]])</f>
        <v>2018</v>
      </c>
      <c r="M1279" s="3">
        <f>MONTH(Clean_Data[[#This Row],[OrderDate]])</f>
        <v>7</v>
      </c>
      <c r="N1279" s="8" t="str">
        <f>TEXT(Clean_Data[[#This Row],[OrderDate]],"mmm")</f>
        <v>Jul</v>
      </c>
      <c r="O1279" s="8" t="str">
        <f>TEXT(Clean_Data[[#This Row],[OrderDate]], "yyyy-mm")</f>
        <v>2018-07</v>
      </c>
      <c r="P1279" s="7">
        <f>Clean_Data[[#This Row],[Profit]]/Clean_Data[[#This Row],[Revenue ]]</f>
        <v>-0.11201298701298701</v>
      </c>
      <c r="Q1279" t="str">
        <f>"Q"&amp;ROUNDUP(MONTH(Clean_Data[[#This Row],[OrderDate]])/3,0)</f>
        <v>Q3</v>
      </c>
      <c r="R1279" t="str">
        <f>TEXT(Clean_Data[[#This Row],[OrderDate]], "dddd")</f>
        <v>Thursday</v>
      </c>
    </row>
    <row r="1280" spans="1:18" x14ac:dyDescent="0.25">
      <c r="A1280" t="s">
        <v>124</v>
      </c>
      <c r="B1280" s="4">
        <v>624</v>
      </c>
      <c r="C1280" s="4">
        <v>37</v>
      </c>
      <c r="D1280" s="3">
        <v>2</v>
      </c>
      <c r="E1280" t="s">
        <v>885</v>
      </c>
      <c r="F1280" t="s">
        <v>886</v>
      </c>
      <c r="G1280" t="s">
        <v>907</v>
      </c>
      <c r="H1280" s="6">
        <f>_xlfn.XLOOKUP(A1280,Orders[OrderID],Orders[OrderDate])</f>
        <v>43231</v>
      </c>
      <c r="I1280" t="str">
        <f>_xlfn.XLOOKUP(A1280,Orders[OrderID],Orders[CustomerName])</f>
        <v>Priyanka</v>
      </c>
      <c r="J1280" t="str">
        <f>_xlfn.XLOOKUP(A1280,Orders[OrderID],Orders[State])</f>
        <v>Maharashtra</v>
      </c>
      <c r="K1280" t="str">
        <f>_xlfn.XLOOKUP(A1280,Orders[OrderID],Orders[City])</f>
        <v>Pune</v>
      </c>
      <c r="L1280" s="3">
        <f>YEAR(Clean_Data[[#This Row],[OrderDate]])</f>
        <v>2018</v>
      </c>
      <c r="M1280" s="3">
        <f>MONTH(Clean_Data[[#This Row],[OrderDate]])</f>
        <v>5</v>
      </c>
      <c r="N1280" s="8" t="str">
        <f>TEXT(Clean_Data[[#This Row],[OrderDate]],"mmm")</f>
        <v>May</v>
      </c>
      <c r="O1280" s="8" t="str">
        <f>TEXT(Clean_Data[[#This Row],[OrderDate]], "yyyy-mm")</f>
        <v>2018-05</v>
      </c>
      <c r="P1280" s="7">
        <f>Clean_Data[[#This Row],[Profit]]/Clean_Data[[#This Row],[Revenue ]]</f>
        <v>5.9294871794871792E-2</v>
      </c>
      <c r="Q1280" t="str">
        <f>"Q"&amp;ROUNDUP(MONTH(Clean_Data[[#This Row],[OrderDate]])/3,0)</f>
        <v>Q2</v>
      </c>
      <c r="R1280" t="str">
        <f>TEXT(Clean_Data[[#This Row],[OrderDate]], "dddd")</f>
        <v>Friday</v>
      </c>
    </row>
    <row r="1281" spans="1:18" x14ac:dyDescent="0.25">
      <c r="A1281" t="s">
        <v>96</v>
      </c>
      <c r="B1281" s="4">
        <v>28</v>
      </c>
      <c r="C1281" s="4">
        <v>4</v>
      </c>
      <c r="D1281" s="3">
        <v>1</v>
      </c>
      <c r="E1281" t="s">
        <v>895</v>
      </c>
      <c r="F1281" t="s">
        <v>906</v>
      </c>
      <c r="G1281" t="s">
        <v>887</v>
      </c>
      <c r="H1281" s="6">
        <f>_xlfn.XLOOKUP(A1281,Orders[OrderID],Orders[OrderDate])</f>
        <v>43457</v>
      </c>
      <c r="I1281" t="str">
        <f>_xlfn.XLOOKUP(A1281,Orders[OrderID],Orders[CustomerName])</f>
        <v>Neha</v>
      </c>
      <c r="J1281" t="str">
        <f>_xlfn.XLOOKUP(A1281,Orders[OrderID],Orders[State])</f>
        <v>Rajasthan</v>
      </c>
      <c r="K1281" t="str">
        <f>_xlfn.XLOOKUP(A1281,Orders[OrderID],Orders[City])</f>
        <v>Udaipur</v>
      </c>
      <c r="L1281" s="3">
        <f>YEAR(Clean_Data[[#This Row],[OrderDate]])</f>
        <v>2018</v>
      </c>
      <c r="M1281" s="3">
        <f>MONTH(Clean_Data[[#This Row],[OrderDate]])</f>
        <v>12</v>
      </c>
      <c r="N1281" s="8" t="str">
        <f>TEXT(Clean_Data[[#This Row],[OrderDate]],"mmm")</f>
        <v>Dec</v>
      </c>
      <c r="O1281" s="8" t="str">
        <f>TEXT(Clean_Data[[#This Row],[OrderDate]], "yyyy-mm")</f>
        <v>2018-12</v>
      </c>
      <c r="P1281" s="7">
        <f>Clean_Data[[#This Row],[Profit]]/Clean_Data[[#This Row],[Revenue ]]</f>
        <v>0.14285714285714285</v>
      </c>
      <c r="Q1281" t="str">
        <f>"Q"&amp;ROUNDUP(MONTH(Clean_Data[[#This Row],[OrderDate]])/3,0)</f>
        <v>Q4</v>
      </c>
      <c r="R1281" t="str">
        <f>TEXT(Clean_Data[[#This Row],[OrderDate]], "dddd")</f>
        <v>Sunday</v>
      </c>
    </row>
    <row r="1282" spans="1:18" x14ac:dyDescent="0.25">
      <c r="A1282" t="s">
        <v>271</v>
      </c>
      <c r="B1282" s="4">
        <v>584</v>
      </c>
      <c r="C1282" s="4">
        <v>-444</v>
      </c>
      <c r="D1282" s="3">
        <v>7</v>
      </c>
      <c r="E1282" t="s">
        <v>885</v>
      </c>
      <c r="F1282" t="s">
        <v>892</v>
      </c>
      <c r="G1282" t="s">
        <v>898</v>
      </c>
      <c r="H1282" s="6">
        <f>_xlfn.XLOOKUP(A1282,Orders[OrderID],Orders[OrderDate])</f>
        <v>43357</v>
      </c>
      <c r="I1282" t="str">
        <f>_xlfn.XLOOKUP(A1282,Orders[OrderID],Orders[CustomerName])</f>
        <v>Rutuja</v>
      </c>
      <c r="J1282" t="str">
        <f>_xlfn.XLOOKUP(A1282,Orders[OrderID],Orders[State])</f>
        <v>Gujarat</v>
      </c>
      <c r="K1282" t="str">
        <f>_xlfn.XLOOKUP(A1282,Orders[OrderID],Orders[City])</f>
        <v>Ahmedabad</v>
      </c>
      <c r="L1282" s="3">
        <f>YEAR(Clean_Data[[#This Row],[OrderDate]])</f>
        <v>2018</v>
      </c>
      <c r="M1282" s="3">
        <f>MONTH(Clean_Data[[#This Row],[OrderDate]])</f>
        <v>9</v>
      </c>
      <c r="N1282" s="8" t="str">
        <f>TEXT(Clean_Data[[#This Row],[OrderDate]],"mmm")</f>
        <v>Sep</v>
      </c>
      <c r="O1282" s="8" t="str">
        <f>TEXT(Clean_Data[[#This Row],[OrderDate]], "yyyy-mm")</f>
        <v>2018-09</v>
      </c>
      <c r="P1282" s="7">
        <f>Clean_Data[[#This Row],[Profit]]/Clean_Data[[#This Row],[Revenue ]]</f>
        <v>-0.76027397260273977</v>
      </c>
      <c r="Q1282" t="str">
        <f>"Q"&amp;ROUNDUP(MONTH(Clean_Data[[#This Row],[OrderDate]])/3,0)</f>
        <v>Q3</v>
      </c>
      <c r="R1282" t="str">
        <f>TEXT(Clean_Data[[#This Row],[OrderDate]], "dddd")</f>
        <v>Friday</v>
      </c>
    </row>
    <row r="1283" spans="1:18" x14ac:dyDescent="0.25">
      <c r="A1283" t="s">
        <v>248</v>
      </c>
      <c r="B1283" s="4">
        <v>28</v>
      </c>
      <c r="C1283" s="4">
        <v>6</v>
      </c>
      <c r="D1283" s="3">
        <v>4</v>
      </c>
      <c r="E1283" t="s">
        <v>895</v>
      </c>
      <c r="F1283" t="s">
        <v>901</v>
      </c>
      <c r="G1283" t="s">
        <v>887</v>
      </c>
      <c r="H1283" s="6">
        <f>_xlfn.XLOOKUP(A1283,Orders[OrderID],Orders[OrderDate])</f>
        <v>43442</v>
      </c>
      <c r="I1283" t="str">
        <f>_xlfn.XLOOKUP(A1283,Orders[OrderID],Orders[CustomerName])</f>
        <v>Aishwarya</v>
      </c>
      <c r="J1283" t="str">
        <f>_xlfn.XLOOKUP(A1283,Orders[OrderID],Orders[State])</f>
        <v>Uttar Pradesh</v>
      </c>
      <c r="K1283" t="str">
        <f>_xlfn.XLOOKUP(A1283,Orders[OrderID],Orders[City])</f>
        <v>Prayagraj</v>
      </c>
      <c r="L1283" s="3">
        <f>YEAR(Clean_Data[[#This Row],[OrderDate]])</f>
        <v>2018</v>
      </c>
      <c r="M1283" s="3">
        <f>MONTH(Clean_Data[[#This Row],[OrderDate]])</f>
        <v>12</v>
      </c>
      <c r="N1283" s="8" t="str">
        <f>TEXT(Clean_Data[[#This Row],[OrderDate]],"mmm")</f>
        <v>Dec</v>
      </c>
      <c r="O1283" s="8" t="str">
        <f>TEXT(Clean_Data[[#This Row],[OrderDate]], "yyyy-mm")</f>
        <v>2018-12</v>
      </c>
      <c r="P1283" s="7">
        <f>Clean_Data[[#This Row],[Profit]]/Clean_Data[[#This Row],[Revenue ]]</f>
        <v>0.21428571428571427</v>
      </c>
      <c r="Q1283" t="str">
        <f>"Q"&amp;ROUNDUP(MONTH(Clean_Data[[#This Row],[OrderDate]])/3,0)</f>
        <v>Q4</v>
      </c>
      <c r="R1283" t="str">
        <f>TEXT(Clean_Data[[#This Row],[OrderDate]], "dddd")</f>
        <v>Saturday</v>
      </c>
    </row>
    <row r="1284" spans="1:18" x14ac:dyDescent="0.25">
      <c r="A1284" t="s">
        <v>26</v>
      </c>
      <c r="B1284" s="4">
        <v>33</v>
      </c>
      <c r="C1284" s="4">
        <v>-1</v>
      </c>
      <c r="D1284" s="3">
        <v>1</v>
      </c>
      <c r="E1284" t="s">
        <v>895</v>
      </c>
      <c r="F1284" t="s">
        <v>897</v>
      </c>
      <c r="G1284" t="s">
        <v>893</v>
      </c>
      <c r="H1284" s="6">
        <f>_xlfn.XLOOKUP(A1284,Orders[OrderID],Orders[OrderDate])</f>
        <v>43186</v>
      </c>
      <c r="I1284" t="str">
        <f>_xlfn.XLOOKUP(A1284,Orders[OrderID],Orders[CustomerName])</f>
        <v>Sarita</v>
      </c>
      <c r="J1284" t="str">
        <f>_xlfn.XLOOKUP(A1284,Orders[OrderID],Orders[State])</f>
        <v>Maharashtra</v>
      </c>
      <c r="K1284" t="str">
        <f>_xlfn.XLOOKUP(A1284,Orders[OrderID],Orders[City])</f>
        <v>Pune</v>
      </c>
      <c r="L1284" s="3">
        <f>YEAR(Clean_Data[[#This Row],[OrderDate]])</f>
        <v>2018</v>
      </c>
      <c r="M1284" s="3">
        <f>MONTH(Clean_Data[[#This Row],[OrderDate]])</f>
        <v>3</v>
      </c>
      <c r="N1284" s="8" t="str">
        <f>TEXT(Clean_Data[[#This Row],[OrderDate]],"mmm")</f>
        <v>Mar</v>
      </c>
      <c r="O1284" s="8" t="str">
        <f>TEXT(Clean_Data[[#This Row],[OrderDate]], "yyyy-mm")</f>
        <v>2018-03</v>
      </c>
      <c r="P1284" s="7">
        <f>Clean_Data[[#This Row],[Profit]]/Clean_Data[[#This Row],[Revenue ]]</f>
        <v>-3.0303030303030304E-2</v>
      </c>
      <c r="Q1284" t="str">
        <f>"Q"&amp;ROUNDUP(MONTH(Clean_Data[[#This Row],[OrderDate]])/3,0)</f>
        <v>Q1</v>
      </c>
      <c r="R1284" t="str">
        <f>TEXT(Clean_Data[[#This Row],[OrderDate]], "dddd")</f>
        <v>Tuesday</v>
      </c>
    </row>
    <row r="1285" spans="1:18" x14ac:dyDescent="0.25">
      <c r="A1285" t="s">
        <v>212</v>
      </c>
      <c r="B1285" s="4">
        <v>27</v>
      </c>
      <c r="C1285" s="4">
        <v>-20</v>
      </c>
      <c r="D1285" s="3">
        <v>2</v>
      </c>
      <c r="E1285" t="s">
        <v>895</v>
      </c>
      <c r="F1285" t="s">
        <v>899</v>
      </c>
      <c r="G1285" t="s">
        <v>887</v>
      </c>
      <c r="H1285" s="6">
        <f>_xlfn.XLOOKUP(A1285,Orders[OrderID],Orders[OrderDate])</f>
        <v>43329</v>
      </c>
      <c r="I1285" t="str">
        <f>_xlfn.XLOOKUP(A1285,Orders[OrderID],Orders[CustomerName])</f>
        <v>Shivam</v>
      </c>
      <c r="J1285" t="str">
        <f>_xlfn.XLOOKUP(A1285,Orders[OrderID],Orders[State])</f>
        <v>Uttar Pradesh</v>
      </c>
      <c r="K1285" t="str">
        <f>_xlfn.XLOOKUP(A1285,Orders[OrderID],Orders[City])</f>
        <v>Lucknow</v>
      </c>
      <c r="L1285" s="3">
        <f>YEAR(Clean_Data[[#This Row],[OrderDate]])</f>
        <v>2018</v>
      </c>
      <c r="M1285" s="3">
        <f>MONTH(Clean_Data[[#This Row],[OrderDate]])</f>
        <v>8</v>
      </c>
      <c r="N1285" s="8" t="str">
        <f>TEXT(Clean_Data[[#This Row],[OrderDate]],"mmm")</f>
        <v>Aug</v>
      </c>
      <c r="O1285" s="8" t="str">
        <f>TEXT(Clean_Data[[#This Row],[OrderDate]], "yyyy-mm")</f>
        <v>2018-08</v>
      </c>
      <c r="P1285" s="7">
        <f>Clean_Data[[#This Row],[Profit]]/Clean_Data[[#This Row],[Revenue ]]</f>
        <v>-0.7407407407407407</v>
      </c>
      <c r="Q1285" t="str">
        <f>"Q"&amp;ROUNDUP(MONTH(Clean_Data[[#This Row],[OrderDate]])/3,0)</f>
        <v>Q3</v>
      </c>
      <c r="R1285" t="str">
        <f>TEXT(Clean_Data[[#This Row],[OrderDate]], "dddd")</f>
        <v>Friday</v>
      </c>
    </row>
    <row r="1286" spans="1:18" x14ac:dyDescent="0.25">
      <c r="A1286" t="s">
        <v>34</v>
      </c>
      <c r="B1286" s="4">
        <v>27</v>
      </c>
      <c r="C1286" s="4">
        <v>5</v>
      </c>
      <c r="D1286" s="3">
        <v>2</v>
      </c>
      <c r="E1286" t="s">
        <v>895</v>
      </c>
      <c r="F1286" t="s">
        <v>901</v>
      </c>
      <c r="G1286" t="s">
        <v>887</v>
      </c>
      <c r="H1286" s="6">
        <f>_xlfn.XLOOKUP(A1286,Orders[OrderID],Orders[OrderDate])</f>
        <v>43417</v>
      </c>
      <c r="I1286" t="str">
        <f>_xlfn.XLOOKUP(A1286,Orders[OrderID],Orders[CustomerName])</f>
        <v>Uudhav</v>
      </c>
      <c r="J1286" t="str">
        <f>_xlfn.XLOOKUP(A1286,Orders[OrderID],Orders[State])</f>
        <v>Maharashtra</v>
      </c>
      <c r="K1286" t="str">
        <f>_xlfn.XLOOKUP(A1286,Orders[OrderID],Orders[City])</f>
        <v>Mumbai</v>
      </c>
      <c r="L1286" s="3">
        <f>YEAR(Clean_Data[[#This Row],[OrderDate]])</f>
        <v>2018</v>
      </c>
      <c r="M1286" s="3">
        <f>MONTH(Clean_Data[[#This Row],[OrderDate]])</f>
        <v>11</v>
      </c>
      <c r="N1286" s="8" t="str">
        <f>TEXT(Clean_Data[[#This Row],[OrderDate]],"mmm")</f>
        <v>Nov</v>
      </c>
      <c r="O1286" s="8" t="str">
        <f>TEXT(Clean_Data[[#This Row],[OrderDate]], "yyyy-mm")</f>
        <v>2018-11</v>
      </c>
      <c r="P1286" s="7">
        <f>Clean_Data[[#This Row],[Profit]]/Clean_Data[[#This Row],[Revenue ]]</f>
        <v>0.18518518518518517</v>
      </c>
      <c r="Q1286" t="str">
        <f>"Q"&amp;ROUNDUP(MONTH(Clean_Data[[#This Row],[OrderDate]])/3,0)</f>
        <v>Q4</v>
      </c>
      <c r="R1286" t="str">
        <f>TEXT(Clean_Data[[#This Row],[OrderDate]], "dddd")</f>
        <v>Tuesday</v>
      </c>
    </row>
    <row r="1287" spans="1:18" x14ac:dyDescent="0.25">
      <c r="A1287" t="s">
        <v>144</v>
      </c>
      <c r="B1287" s="4">
        <v>27</v>
      </c>
      <c r="C1287" s="4">
        <v>4</v>
      </c>
      <c r="D1287" s="3">
        <v>3</v>
      </c>
      <c r="E1287" t="s">
        <v>895</v>
      </c>
      <c r="F1287" t="s">
        <v>901</v>
      </c>
      <c r="G1287" t="s">
        <v>887</v>
      </c>
      <c r="H1287" s="6">
        <f>_xlfn.XLOOKUP(A1287,Orders[OrderID],Orders[OrderDate])</f>
        <v>43338</v>
      </c>
      <c r="I1287" t="str">
        <f>_xlfn.XLOOKUP(A1287,Orders[OrderID],Orders[CustomerName])</f>
        <v>Anudeep</v>
      </c>
      <c r="J1287" t="str">
        <f>_xlfn.XLOOKUP(A1287,Orders[OrderID],Orders[State])</f>
        <v>Madhya Pradesh</v>
      </c>
      <c r="K1287" t="str">
        <f>_xlfn.XLOOKUP(A1287,Orders[OrderID],Orders[City])</f>
        <v>Indore</v>
      </c>
      <c r="L1287" s="3">
        <f>YEAR(Clean_Data[[#This Row],[OrderDate]])</f>
        <v>2018</v>
      </c>
      <c r="M1287" s="3">
        <f>MONTH(Clean_Data[[#This Row],[OrderDate]])</f>
        <v>8</v>
      </c>
      <c r="N1287" s="8" t="str">
        <f>TEXT(Clean_Data[[#This Row],[OrderDate]],"mmm")</f>
        <v>Aug</v>
      </c>
      <c r="O1287" s="8" t="str">
        <f>TEXT(Clean_Data[[#This Row],[OrderDate]], "yyyy-mm")</f>
        <v>2018-08</v>
      </c>
      <c r="P1287" s="7">
        <f>Clean_Data[[#This Row],[Profit]]/Clean_Data[[#This Row],[Revenue ]]</f>
        <v>0.14814814814814814</v>
      </c>
      <c r="Q1287" t="str">
        <f>"Q"&amp;ROUNDUP(MONTH(Clean_Data[[#This Row],[OrderDate]])/3,0)</f>
        <v>Q3</v>
      </c>
      <c r="R1287" t="str">
        <f>TEXT(Clean_Data[[#This Row],[OrderDate]], "dddd")</f>
        <v>Sunday</v>
      </c>
    </row>
    <row r="1288" spans="1:18" x14ac:dyDescent="0.25">
      <c r="A1288" t="s">
        <v>331</v>
      </c>
      <c r="B1288" s="4">
        <v>635</v>
      </c>
      <c r="C1288" s="4">
        <v>-349</v>
      </c>
      <c r="D1288" s="3">
        <v>5</v>
      </c>
      <c r="E1288" t="s">
        <v>895</v>
      </c>
      <c r="F1288" t="s">
        <v>897</v>
      </c>
      <c r="G1288" t="s">
        <v>907</v>
      </c>
      <c r="H1288" s="6">
        <f>_xlfn.XLOOKUP(A1288,Orders[OrderID],Orders[OrderDate])</f>
        <v>43213</v>
      </c>
      <c r="I1288" t="str">
        <f>_xlfn.XLOOKUP(A1288,Orders[OrderID],Orders[CustomerName])</f>
        <v>Pinky</v>
      </c>
      <c r="J1288" t="str">
        <f>_xlfn.XLOOKUP(A1288,Orders[OrderID],Orders[State])</f>
        <v>Jammu and Kashmir</v>
      </c>
      <c r="K1288" t="str">
        <f>_xlfn.XLOOKUP(A1288,Orders[OrderID],Orders[City])</f>
        <v>Kashmir</v>
      </c>
      <c r="L1288" s="3">
        <f>YEAR(Clean_Data[[#This Row],[OrderDate]])</f>
        <v>2018</v>
      </c>
      <c r="M1288" s="3">
        <f>MONTH(Clean_Data[[#This Row],[OrderDate]])</f>
        <v>4</v>
      </c>
      <c r="N1288" s="8" t="str">
        <f>TEXT(Clean_Data[[#This Row],[OrderDate]],"mmm")</f>
        <v>Apr</v>
      </c>
      <c r="O1288" s="8" t="str">
        <f>TEXT(Clean_Data[[#This Row],[OrderDate]], "yyyy-mm")</f>
        <v>2018-04</v>
      </c>
      <c r="P1288" s="7">
        <f>Clean_Data[[#This Row],[Profit]]/Clean_Data[[#This Row],[Revenue ]]</f>
        <v>-0.5496062992125984</v>
      </c>
      <c r="Q1288" t="str">
        <f>"Q"&amp;ROUNDUP(MONTH(Clean_Data[[#This Row],[OrderDate]])/3,0)</f>
        <v>Q2</v>
      </c>
      <c r="R1288" t="str">
        <f>TEXT(Clean_Data[[#This Row],[OrderDate]], "dddd")</f>
        <v>Monday</v>
      </c>
    </row>
    <row r="1289" spans="1:18" x14ac:dyDescent="0.25">
      <c r="A1289" t="s">
        <v>345</v>
      </c>
      <c r="B1289" s="4">
        <v>598</v>
      </c>
      <c r="C1289" s="4">
        <v>166</v>
      </c>
      <c r="D1289" s="3">
        <v>4</v>
      </c>
      <c r="E1289" t="s">
        <v>888</v>
      </c>
      <c r="F1289" t="s">
        <v>891</v>
      </c>
      <c r="G1289" t="s">
        <v>898</v>
      </c>
      <c r="H1289" s="6">
        <f>_xlfn.XLOOKUP(A1289,Orders[OrderID],Orders[OrderDate])</f>
        <v>43414</v>
      </c>
      <c r="I1289" t="str">
        <f>_xlfn.XLOOKUP(A1289,Orders[OrderID],Orders[CustomerName])</f>
        <v>Anand</v>
      </c>
      <c r="J1289" t="str">
        <f>_xlfn.XLOOKUP(A1289,Orders[OrderID],Orders[State])</f>
        <v>Madhya Pradesh</v>
      </c>
      <c r="K1289" t="str">
        <f>_xlfn.XLOOKUP(A1289,Orders[OrderID],Orders[City])</f>
        <v>Indore</v>
      </c>
      <c r="L1289" s="3">
        <f>YEAR(Clean_Data[[#This Row],[OrderDate]])</f>
        <v>2018</v>
      </c>
      <c r="M1289" s="3">
        <f>MONTH(Clean_Data[[#This Row],[OrderDate]])</f>
        <v>11</v>
      </c>
      <c r="N1289" s="8" t="str">
        <f>TEXT(Clean_Data[[#This Row],[OrderDate]],"mmm")</f>
        <v>Nov</v>
      </c>
      <c r="O1289" s="8" t="str">
        <f>TEXT(Clean_Data[[#This Row],[OrderDate]], "yyyy-mm")</f>
        <v>2018-11</v>
      </c>
      <c r="P1289" s="7">
        <f>Clean_Data[[#This Row],[Profit]]/Clean_Data[[#This Row],[Revenue ]]</f>
        <v>0.27759197324414714</v>
      </c>
      <c r="Q1289" t="str">
        <f>"Q"&amp;ROUNDUP(MONTH(Clean_Data[[#This Row],[OrderDate]])/3,0)</f>
        <v>Q4</v>
      </c>
      <c r="R1289" t="str">
        <f>TEXT(Clean_Data[[#This Row],[OrderDate]], "dddd")</f>
        <v>Saturday</v>
      </c>
    </row>
    <row r="1290" spans="1:18" x14ac:dyDescent="0.25">
      <c r="A1290" t="s">
        <v>96</v>
      </c>
      <c r="B1290" s="4">
        <v>636</v>
      </c>
      <c r="C1290" s="4">
        <v>-204</v>
      </c>
      <c r="D1290" s="3">
        <v>2</v>
      </c>
      <c r="E1290" t="s">
        <v>885</v>
      </c>
      <c r="F1290" t="s">
        <v>892</v>
      </c>
      <c r="G1290" t="s">
        <v>907</v>
      </c>
      <c r="H1290" s="6">
        <f>_xlfn.XLOOKUP(A1290,Orders[OrderID],Orders[OrderDate])</f>
        <v>43457</v>
      </c>
      <c r="I1290" t="str">
        <f>_xlfn.XLOOKUP(A1290,Orders[OrderID],Orders[CustomerName])</f>
        <v>Neha</v>
      </c>
      <c r="J1290" t="str">
        <f>_xlfn.XLOOKUP(A1290,Orders[OrderID],Orders[State])</f>
        <v>Rajasthan</v>
      </c>
      <c r="K1290" t="str">
        <f>_xlfn.XLOOKUP(A1290,Orders[OrderID],Orders[City])</f>
        <v>Udaipur</v>
      </c>
      <c r="L1290" s="3">
        <f>YEAR(Clean_Data[[#This Row],[OrderDate]])</f>
        <v>2018</v>
      </c>
      <c r="M1290" s="3">
        <f>MONTH(Clean_Data[[#This Row],[OrderDate]])</f>
        <v>12</v>
      </c>
      <c r="N1290" s="8" t="str">
        <f>TEXT(Clean_Data[[#This Row],[OrderDate]],"mmm")</f>
        <v>Dec</v>
      </c>
      <c r="O1290" s="8" t="str">
        <f>TEXT(Clean_Data[[#This Row],[OrderDate]], "yyyy-mm")</f>
        <v>2018-12</v>
      </c>
      <c r="P1290" s="7">
        <f>Clean_Data[[#This Row],[Profit]]/Clean_Data[[#This Row],[Revenue ]]</f>
        <v>-0.32075471698113206</v>
      </c>
      <c r="Q1290" t="str">
        <f>"Q"&amp;ROUNDUP(MONTH(Clean_Data[[#This Row],[OrderDate]])/3,0)</f>
        <v>Q4</v>
      </c>
      <c r="R1290" t="str">
        <f>TEXT(Clean_Data[[#This Row],[OrderDate]], "dddd")</f>
        <v>Sunday</v>
      </c>
    </row>
    <row r="1291" spans="1:18" x14ac:dyDescent="0.25">
      <c r="A1291" t="s">
        <v>710</v>
      </c>
      <c r="B1291" s="4">
        <v>27</v>
      </c>
      <c r="C1291" s="4">
        <v>9</v>
      </c>
      <c r="D1291" s="3">
        <v>2</v>
      </c>
      <c r="E1291" t="s">
        <v>895</v>
      </c>
      <c r="F1291" t="s">
        <v>899</v>
      </c>
      <c r="G1291" t="s">
        <v>887</v>
      </c>
      <c r="H1291" s="6">
        <f>_xlfn.XLOOKUP(A1291,Orders[OrderID],Orders[OrderDate])</f>
        <v>43419</v>
      </c>
      <c r="I1291" t="str">
        <f>_xlfn.XLOOKUP(A1291,Orders[OrderID],Orders[CustomerName])</f>
        <v>Aromal</v>
      </c>
      <c r="J1291" t="str">
        <f>_xlfn.XLOOKUP(A1291,Orders[OrderID],Orders[State])</f>
        <v>Maharashtra</v>
      </c>
      <c r="K1291" t="str">
        <f>_xlfn.XLOOKUP(A1291,Orders[OrderID],Orders[City])</f>
        <v>Mumbai</v>
      </c>
      <c r="L1291" s="3">
        <f>YEAR(Clean_Data[[#This Row],[OrderDate]])</f>
        <v>2018</v>
      </c>
      <c r="M1291" s="3">
        <f>MONTH(Clean_Data[[#This Row],[OrderDate]])</f>
        <v>11</v>
      </c>
      <c r="N1291" s="8" t="str">
        <f>TEXT(Clean_Data[[#This Row],[OrderDate]],"mmm")</f>
        <v>Nov</v>
      </c>
      <c r="O1291" s="8" t="str">
        <f>TEXT(Clean_Data[[#This Row],[OrderDate]], "yyyy-mm")</f>
        <v>2018-11</v>
      </c>
      <c r="P1291" s="7">
        <f>Clean_Data[[#This Row],[Profit]]/Clean_Data[[#This Row],[Revenue ]]</f>
        <v>0.33333333333333331</v>
      </c>
      <c r="Q1291" t="str">
        <f>"Q"&amp;ROUNDUP(MONTH(Clean_Data[[#This Row],[OrderDate]])/3,0)</f>
        <v>Q4</v>
      </c>
      <c r="R1291" t="str">
        <f>TEXT(Clean_Data[[#This Row],[OrderDate]], "dddd")</f>
        <v>Thursday</v>
      </c>
    </row>
    <row r="1292" spans="1:18" x14ac:dyDescent="0.25">
      <c r="A1292" t="s">
        <v>379</v>
      </c>
      <c r="B1292" s="4">
        <v>27</v>
      </c>
      <c r="C1292" s="4">
        <v>-6</v>
      </c>
      <c r="D1292" s="3">
        <v>4</v>
      </c>
      <c r="E1292" t="s">
        <v>895</v>
      </c>
      <c r="F1292" t="s">
        <v>899</v>
      </c>
      <c r="G1292" t="s">
        <v>887</v>
      </c>
      <c r="H1292" s="6">
        <f>_xlfn.XLOOKUP(A1292,Orders[OrderID],Orders[OrderDate])</f>
        <v>43274</v>
      </c>
      <c r="I1292" t="str">
        <f>_xlfn.XLOOKUP(A1292,Orders[OrderID],Orders[CustomerName])</f>
        <v>Amisha</v>
      </c>
      <c r="J1292" t="str">
        <f>_xlfn.XLOOKUP(A1292,Orders[OrderID],Orders[State])</f>
        <v>Tamil Nadu</v>
      </c>
      <c r="K1292" t="str">
        <f>_xlfn.XLOOKUP(A1292,Orders[OrderID],Orders[City])</f>
        <v>Chennai</v>
      </c>
      <c r="L1292" s="3">
        <f>YEAR(Clean_Data[[#This Row],[OrderDate]])</f>
        <v>2018</v>
      </c>
      <c r="M1292" s="3">
        <f>MONTH(Clean_Data[[#This Row],[OrderDate]])</f>
        <v>6</v>
      </c>
      <c r="N1292" s="8" t="str">
        <f>TEXT(Clean_Data[[#This Row],[OrderDate]],"mmm")</f>
        <v>Jun</v>
      </c>
      <c r="O1292" s="8" t="str">
        <f>TEXT(Clean_Data[[#This Row],[OrderDate]], "yyyy-mm")</f>
        <v>2018-06</v>
      </c>
      <c r="P1292" s="7">
        <f>Clean_Data[[#This Row],[Profit]]/Clean_Data[[#This Row],[Revenue ]]</f>
        <v>-0.22222222222222221</v>
      </c>
      <c r="Q1292" t="str">
        <f>"Q"&amp;ROUNDUP(MONTH(Clean_Data[[#This Row],[OrderDate]])/3,0)</f>
        <v>Q2</v>
      </c>
      <c r="R1292" t="str">
        <f>TEXT(Clean_Data[[#This Row],[OrderDate]], "dddd")</f>
        <v>Saturday</v>
      </c>
    </row>
    <row r="1293" spans="1:18" x14ac:dyDescent="0.25">
      <c r="A1293" t="s">
        <v>309</v>
      </c>
      <c r="B1293" s="4">
        <v>637</v>
      </c>
      <c r="C1293" s="4">
        <v>212</v>
      </c>
      <c r="D1293" s="3">
        <v>8</v>
      </c>
      <c r="E1293" t="s">
        <v>885</v>
      </c>
      <c r="F1293" t="s">
        <v>894</v>
      </c>
      <c r="G1293" t="s">
        <v>907</v>
      </c>
      <c r="H1293" s="6">
        <f>_xlfn.XLOOKUP(A1293,Orders[OrderID],Orders[OrderDate])</f>
        <v>43118</v>
      </c>
      <c r="I1293" t="str">
        <f>_xlfn.XLOOKUP(A1293,Orders[OrderID],Orders[CustomerName])</f>
        <v>Muskan</v>
      </c>
      <c r="J1293" t="str">
        <f>_xlfn.XLOOKUP(A1293,Orders[OrderID],Orders[State])</f>
        <v>Madhya Pradesh</v>
      </c>
      <c r="K1293" t="str">
        <f>_xlfn.XLOOKUP(A1293,Orders[OrderID],Orders[City])</f>
        <v>Indore</v>
      </c>
      <c r="L1293" s="3">
        <f>YEAR(Clean_Data[[#This Row],[OrderDate]])</f>
        <v>2018</v>
      </c>
      <c r="M1293" s="3">
        <f>MONTH(Clean_Data[[#This Row],[OrderDate]])</f>
        <v>1</v>
      </c>
      <c r="N1293" s="8" t="str">
        <f>TEXT(Clean_Data[[#This Row],[OrderDate]],"mmm")</f>
        <v>Jan</v>
      </c>
      <c r="O1293" s="8" t="str">
        <f>TEXT(Clean_Data[[#This Row],[OrderDate]], "yyyy-mm")</f>
        <v>2018-01</v>
      </c>
      <c r="P1293" s="7">
        <f>Clean_Data[[#This Row],[Profit]]/Clean_Data[[#This Row],[Revenue ]]</f>
        <v>0.3328100470957614</v>
      </c>
      <c r="Q1293" t="str">
        <f>"Q"&amp;ROUNDUP(MONTH(Clean_Data[[#This Row],[OrderDate]])/3,0)</f>
        <v>Q1</v>
      </c>
      <c r="R1293" t="str">
        <f>TEXT(Clean_Data[[#This Row],[OrderDate]], "dddd")</f>
        <v>Thursday</v>
      </c>
    </row>
    <row r="1294" spans="1:18" x14ac:dyDescent="0.25">
      <c r="A1294" t="s">
        <v>112</v>
      </c>
      <c r="B1294" s="4">
        <v>290</v>
      </c>
      <c r="C1294" s="4">
        <v>110</v>
      </c>
      <c r="D1294" s="3">
        <v>9</v>
      </c>
      <c r="E1294" t="s">
        <v>895</v>
      </c>
      <c r="F1294" t="s">
        <v>903</v>
      </c>
      <c r="G1294" t="s">
        <v>898</v>
      </c>
      <c r="H1294" s="6">
        <f>_xlfn.XLOOKUP(A1294,Orders[OrderID],Orders[OrderDate])</f>
        <v>43180</v>
      </c>
      <c r="I1294" t="str">
        <f>_xlfn.XLOOKUP(A1294,Orders[OrderID],Orders[CustomerName])</f>
        <v>Pournamasi</v>
      </c>
      <c r="J1294" t="str">
        <f>_xlfn.XLOOKUP(A1294,Orders[OrderID],Orders[State])</f>
        <v>Madhya Pradesh</v>
      </c>
      <c r="K1294" t="str">
        <f>_xlfn.XLOOKUP(A1294,Orders[OrderID],Orders[City])</f>
        <v>Indore</v>
      </c>
      <c r="L1294" s="3">
        <f>YEAR(Clean_Data[[#This Row],[OrderDate]])</f>
        <v>2018</v>
      </c>
      <c r="M1294" s="3">
        <f>MONTH(Clean_Data[[#This Row],[OrderDate]])</f>
        <v>3</v>
      </c>
      <c r="N1294" s="8" t="str">
        <f>TEXT(Clean_Data[[#This Row],[OrderDate]],"mmm")</f>
        <v>Mar</v>
      </c>
      <c r="O1294" s="8" t="str">
        <f>TEXT(Clean_Data[[#This Row],[OrderDate]], "yyyy-mm")</f>
        <v>2018-03</v>
      </c>
      <c r="P1294" s="7">
        <f>Clean_Data[[#This Row],[Profit]]/Clean_Data[[#This Row],[Revenue ]]</f>
        <v>0.37931034482758619</v>
      </c>
      <c r="Q1294" t="str">
        <f>"Q"&amp;ROUNDUP(MONTH(Clean_Data[[#This Row],[OrderDate]])/3,0)</f>
        <v>Q1</v>
      </c>
      <c r="R1294" t="str">
        <f>TEXT(Clean_Data[[#This Row],[OrderDate]], "dddd")</f>
        <v>Wednesday</v>
      </c>
    </row>
    <row r="1295" spans="1:18" x14ac:dyDescent="0.25">
      <c r="A1295" t="s">
        <v>841</v>
      </c>
      <c r="B1295" s="4">
        <v>27</v>
      </c>
      <c r="C1295" s="4">
        <v>-25</v>
      </c>
      <c r="D1295" s="3">
        <v>2</v>
      </c>
      <c r="E1295" t="s">
        <v>895</v>
      </c>
      <c r="F1295" t="s">
        <v>903</v>
      </c>
      <c r="G1295" t="s">
        <v>887</v>
      </c>
      <c r="H1295" s="6">
        <f>_xlfn.XLOOKUP(A1295,Orders[OrderID],Orders[OrderDate])</f>
        <v>43225</v>
      </c>
      <c r="I1295" t="str">
        <f>_xlfn.XLOOKUP(A1295,Orders[OrderID],Orders[CustomerName])</f>
        <v>Rachna</v>
      </c>
      <c r="J1295" t="str">
        <f>_xlfn.XLOOKUP(A1295,Orders[OrderID],Orders[State])</f>
        <v>Haryana</v>
      </c>
      <c r="K1295" t="str">
        <f>_xlfn.XLOOKUP(A1295,Orders[OrderID],Orders[City])</f>
        <v>Chandigarh</v>
      </c>
      <c r="L1295" s="3">
        <f>YEAR(Clean_Data[[#This Row],[OrderDate]])</f>
        <v>2018</v>
      </c>
      <c r="M1295" s="3">
        <f>MONTH(Clean_Data[[#This Row],[OrderDate]])</f>
        <v>5</v>
      </c>
      <c r="N1295" s="8" t="str">
        <f>TEXT(Clean_Data[[#This Row],[OrderDate]],"mmm")</f>
        <v>May</v>
      </c>
      <c r="O1295" s="8" t="str">
        <f>TEXT(Clean_Data[[#This Row],[OrderDate]], "yyyy-mm")</f>
        <v>2018-05</v>
      </c>
      <c r="P1295" s="7">
        <f>Clean_Data[[#This Row],[Profit]]/Clean_Data[[#This Row],[Revenue ]]</f>
        <v>-0.92592592592592593</v>
      </c>
      <c r="Q1295" t="str">
        <f>"Q"&amp;ROUNDUP(MONTH(Clean_Data[[#This Row],[OrderDate]])/3,0)</f>
        <v>Q2</v>
      </c>
      <c r="R1295" t="str">
        <f>TEXT(Clean_Data[[#This Row],[OrderDate]], "dddd")</f>
        <v>Saturday</v>
      </c>
    </row>
    <row r="1296" spans="1:18" x14ac:dyDescent="0.25">
      <c r="A1296" t="s">
        <v>339</v>
      </c>
      <c r="B1296" s="4">
        <v>632</v>
      </c>
      <c r="C1296" s="4">
        <v>-114</v>
      </c>
      <c r="D1296" s="3">
        <v>4</v>
      </c>
      <c r="E1296" t="s">
        <v>888</v>
      </c>
      <c r="F1296" t="s">
        <v>902</v>
      </c>
      <c r="G1296" t="s">
        <v>898</v>
      </c>
      <c r="H1296" s="6">
        <f>_xlfn.XLOOKUP(A1296,Orders[OrderID],Orders[OrderDate])</f>
        <v>43379</v>
      </c>
      <c r="I1296" t="str">
        <f>_xlfn.XLOOKUP(A1296,Orders[OrderID],Orders[CustomerName])</f>
        <v>Dhanraj</v>
      </c>
      <c r="J1296" t="str">
        <f>_xlfn.XLOOKUP(A1296,Orders[OrderID],Orders[State])</f>
        <v>Madhya Pradesh</v>
      </c>
      <c r="K1296" t="str">
        <f>_xlfn.XLOOKUP(A1296,Orders[OrderID],Orders[City])</f>
        <v>Indore</v>
      </c>
      <c r="L1296" s="3">
        <f>YEAR(Clean_Data[[#This Row],[OrderDate]])</f>
        <v>2018</v>
      </c>
      <c r="M1296" s="3">
        <f>MONTH(Clean_Data[[#This Row],[OrderDate]])</f>
        <v>10</v>
      </c>
      <c r="N1296" s="8" t="str">
        <f>TEXT(Clean_Data[[#This Row],[OrderDate]],"mmm")</f>
        <v>Oct</v>
      </c>
      <c r="O1296" s="8" t="str">
        <f>TEXT(Clean_Data[[#This Row],[OrderDate]], "yyyy-mm")</f>
        <v>2018-10</v>
      </c>
      <c r="P1296" s="7">
        <f>Clean_Data[[#This Row],[Profit]]/Clean_Data[[#This Row],[Revenue ]]</f>
        <v>-0.18037974683544303</v>
      </c>
      <c r="Q1296" t="str">
        <f>"Q"&amp;ROUNDUP(MONTH(Clean_Data[[#This Row],[OrderDate]])/3,0)</f>
        <v>Q4</v>
      </c>
      <c r="R1296" t="str">
        <f>TEXT(Clean_Data[[#This Row],[OrderDate]], "dddd")</f>
        <v>Saturday</v>
      </c>
    </row>
    <row r="1297" spans="1:18" x14ac:dyDescent="0.25">
      <c r="A1297" t="s">
        <v>295</v>
      </c>
      <c r="B1297" s="4">
        <v>643</v>
      </c>
      <c r="C1297" s="4">
        <v>-45</v>
      </c>
      <c r="D1297" s="3">
        <v>2</v>
      </c>
      <c r="E1297" t="s">
        <v>885</v>
      </c>
      <c r="F1297" t="s">
        <v>892</v>
      </c>
      <c r="G1297" t="s">
        <v>907</v>
      </c>
      <c r="H1297" s="6">
        <f>_xlfn.XLOOKUP(A1297,Orders[OrderID],Orders[OrderDate])</f>
        <v>43332</v>
      </c>
      <c r="I1297" t="str">
        <f>_xlfn.XLOOKUP(A1297,Orders[OrderID],Orders[CustomerName])</f>
        <v>Mohan</v>
      </c>
      <c r="J1297" t="str">
        <f>_xlfn.XLOOKUP(A1297,Orders[OrderID],Orders[State])</f>
        <v>Maharashtra</v>
      </c>
      <c r="K1297" t="str">
        <f>_xlfn.XLOOKUP(A1297,Orders[OrderID],Orders[City])</f>
        <v>Mumbai</v>
      </c>
      <c r="L1297" s="3">
        <f>YEAR(Clean_Data[[#This Row],[OrderDate]])</f>
        <v>2018</v>
      </c>
      <c r="M1297" s="3">
        <f>MONTH(Clean_Data[[#This Row],[OrderDate]])</f>
        <v>8</v>
      </c>
      <c r="N1297" s="8" t="str">
        <f>TEXT(Clean_Data[[#This Row],[OrderDate]],"mmm")</f>
        <v>Aug</v>
      </c>
      <c r="O1297" s="8" t="str">
        <f>TEXT(Clean_Data[[#This Row],[OrderDate]], "yyyy-mm")</f>
        <v>2018-08</v>
      </c>
      <c r="P1297" s="7">
        <f>Clean_Data[[#This Row],[Profit]]/Clean_Data[[#This Row],[Revenue ]]</f>
        <v>-6.9984447900466568E-2</v>
      </c>
      <c r="Q1297" t="str">
        <f>"Q"&amp;ROUNDUP(MONTH(Clean_Data[[#This Row],[OrderDate]])/3,0)</f>
        <v>Q3</v>
      </c>
      <c r="R1297" t="str">
        <f>TEXT(Clean_Data[[#This Row],[OrderDate]], "dddd")</f>
        <v>Monday</v>
      </c>
    </row>
    <row r="1298" spans="1:18" x14ac:dyDescent="0.25">
      <c r="A1298" t="s">
        <v>68</v>
      </c>
      <c r="B1298" s="4">
        <v>652</v>
      </c>
      <c r="C1298" s="4">
        <v>13</v>
      </c>
      <c r="D1298" s="3">
        <v>6</v>
      </c>
      <c r="E1298" t="s">
        <v>888</v>
      </c>
      <c r="F1298" t="s">
        <v>908</v>
      </c>
      <c r="G1298" t="s">
        <v>907</v>
      </c>
      <c r="H1298" s="6">
        <f>_xlfn.XLOOKUP(A1298,Orders[OrderID],Orders[OrderDate])</f>
        <v>43139</v>
      </c>
      <c r="I1298" t="str">
        <f>_xlfn.XLOOKUP(A1298,Orders[OrderID],Orders[CustomerName])</f>
        <v>Hitesh</v>
      </c>
      <c r="J1298" t="str">
        <f>_xlfn.XLOOKUP(A1298,Orders[OrderID],Orders[State])</f>
        <v>Madhya Pradesh</v>
      </c>
      <c r="K1298" t="str">
        <f>_xlfn.XLOOKUP(A1298,Orders[OrderID],Orders[City])</f>
        <v>Bhopal</v>
      </c>
      <c r="L1298" s="3">
        <f>YEAR(Clean_Data[[#This Row],[OrderDate]])</f>
        <v>2018</v>
      </c>
      <c r="M1298" s="3">
        <f>MONTH(Clean_Data[[#This Row],[OrderDate]])</f>
        <v>2</v>
      </c>
      <c r="N1298" s="8" t="str">
        <f>TEXT(Clean_Data[[#This Row],[OrderDate]],"mmm")</f>
        <v>Feb</v>
      </c>
      <c r="O1298" s="8" t="str">
        <f>TEXT(Clean_Data[[#This Row],[OrderDate]], "yyyy-mm")</f>
        <v>2018-02</v>
      </c>
      <c r="P1298" s="7">
        <f>Clean_Data[[#This Row],[Profit]]/Clean_Data[[#This Row],[Revenue ]]</f>
        <v>1.9938650306748466E-2</v>
      </c>
      <c r="Q1298" t="str">
        <f>"Q"&amp;ROUNDUP(MONTH(Clean_Data[[#This Row],[OrderDate]])/3,0)</f>
        <v>Q1</v>
      </c>
      <c r="R1298" t="str">
        <f>TEXT(Clean_Data[[#This Row],[OrderDate]], "dddd")</f>
        <v>Thursday</v>
      </c>
    </row>
    <row r="1299" spans="1:18" x14ac:dyDescent="0.25">
      <c r="A1299" t="s">
        <v>130</v>
      </c>
      <c r="B1299" s="4">
        <v>33</v>
      </c>
      <c r="C1299" s="4">
        <v>-27</v>
      </c>
      <c r="D1299" s="3">
        <v>1</v>
      </c>
      <c r="E1299" t="s">
        <v>888</v>
      </c>
      <c r="F1299" t="s">
        <v>889</v>
      </c>
      <c r="G1299" t="s">
        <v>893</v>
      </c>
      <c r="H1299" s="6">
        <f>_xlfn.XLOOKUP(A1299,Orders[OrderID],Orders[OrderDate])</f>
        <v>43326</v>
      </c>
      <c r="I1299" t="str">
        <f>_xlfn.XLOOKUP(A1299,Orders[OrderID],Orders[CustomerName])</f>
        <v>Vaibhav</v>
      </c>
      <c r="J1299" t="str">
        <f>_xlfn.XLOOKUP(A1299,Orders[OrderID],Orders[State])</f>
        <v>Madhya Pradesh</v>
      </c>
      <c r="K1299" t="str">
        <f>_xlfn.XLOOKUP(A1299,Orders[OrderID],Orders[City])</f>
        <v>Indore</v>
      </c>
      <c r="L1299" s="3">
        <f>YEAR(Clean_Data[[#This Row],[OrderDate]])</f>
        <v>2018</v>
      </c>
      <c r="M1299" s="3">
        <f>MONTH(Clean_Data[[#This Row],[OrderDate]])</f>
        <v>8</v>
      </c>
      <c r="N1299" s="8" t="str">
        <f>TEXT(Clean_Data[[#This Row],[OrderDate]],"mmm")</f>
        <v>Aug</v>
      </c>
      <c r="O1299" s="8" t="str">
        <f>TEXT(Clean_Data[[#This Row],[OrderDate]], "yyyy-mm")</f>
        <v>2018-08</v>
      </c>
      <c r="P1299" s="7">
        <f>Clean_Data[[#This Row],[Profit]]/Clean_Data[[#This Row],[Revenue ]]</f>
        <v>-0.81818181818181823</v>
      </c>
      <c r="Q1299" t="str">
        <f>"Q"&amp;ROUNDUP(MONTH(Clean_Data[[#This Row],[OrderDate]])/3,0)</f>
        <v>Q3</v>
      </c>
      <c r="R1299" t="str">
        <f>TEXT(Clean_Data[[#This Row],[OrderDate]], "dddd")</f>
        <v>Tuesday</v>
      </c>
    </row>
    <row r="1300" spans="1:18" x14ac:dyDescent="0.25">
      <c r="A1300" t="s">
        <v>826</v>
      </c>
      <c r="B1300" s="4">
        <v>26</v>
      </c>
      <c r="C1300" s="4">
        <v>2</v>
      </c>
      <c r="D1300" s="3">
        <v>2</v>
      </c>
      <c r="E1300" t="s">
        <v>895</v>
      </c>
      <c r="F1300" t="s">
        <v>899</v>
      </c>
      <c r="G1300" t="s">
        <v>887</v>
      </c>
      <c r="H1300" s="6">
        <f>_xlfn.XLOOKUP(A1300,Orders[OrderID],Orders[OrderDate])</f>
        <v>43358</v>
      </c>
      <c r="I1300" t="str">
        <f>_xlfn.XLOOKUP(A1300,Orders[OrderID],Orders[CustomerName])</f>
        <v>Shivangi</v>
      </c>
      <c r="J1300" t="str">
        <f>_xlfn.XLOOKUP(A1300,Orders[OrderID],Orders[State])</f>
        <v>Madhya Pradesh</v>
      </c>
      <c r="K1300" t="str">
        <f>_xlfn.XLOOKUP(A1300,Orders[OrderID],Orders[City])</f>
        <v>Indore</v>
      </c>
      <c r="L1300" s="3">
        <f>YEAR(Clean_Data[[#This Row],[OrderDate]])</f>
        <v>2018</v>
      </c>
      <c r="M1300" s="3">
        <f>MONTH(Clean_Data[[#This Row],[OrderDate]])</f>
        <v>9</v>
      </c>
      <c r="N1300" s="8" t="str">
        <f>TEXT(Clean_Data[[#This Row],[OrderDate]],"mmm")</f>
        <v>Sep</v>
      </c>
      <c r="O1300" s="8" t="str">
        <f>TEXT(Clean_Data[[#This Row],[OrderDate]], "yyyy-mm")</f>
        <v>2018-09</v>
      </c>
      <c r="P1300" s="7">
        <f>Clean_Data[[#This Row],[Profit]]/Clean_Data[[#This Row],[Revenue ]]</f>
        <v>7.6923076923076927E-2</v>
      </c>
      <c r="Q1300" t="str">
        <f>"Q"&amp;ROUNDUP(MONTH(Clean_Data[[#This Row],[OrderDate]])/3,0)</f>
        <v>Q3</v>
      </c>
      <c r="R1300" t="str">
        <f>TEXT(Clean_Data[[#This Row],[OrderDate]], "dddd")</f>
        <v>Saturday</v>
      </c>
    </row>
    <row r="1301" spans="1:18" x14ac:dyDescent="0.25">
      <c r="A1301" t="s">
        <v>333</v>
      </c>
      <c r="B1301" s="4">
        <v>633</v>
      </c>
      <c r="C1301" s="4">
        <v>-633</v>
      </c>
      <c r="D1301" s="3">
        <v>11</v>
      </c>
      <c r="E1301" t="s">
        <v>885</v>
      </c>
      <c r="F1301" t="s">
        <v>905</v>
      </c>
      <c r="G1301" t="s">
        <v>898</v>
      </c>
      <c r="H1301" s="6">
        <f>_xlfn.XLOOKUP(A1301,Orders[OrderID],Orders[OrderDate])</f>
        <v>43378</v>
      </c>
      <c r="I1301" t="str">
        <f>_xlfn.XLOOKUP(A1301,Orders[OrderID],Orders[CustomerName])</f>
        <v>Yash</v>
      </c>
      <c r="J1301" t="str">
        <f>_xlfn.XLOOKUP(A1301,Orders[OrderID],Orders[State])</f>
        <v>Maharashtra</v>
      </c>
      <c r="K1301" t="str">
        <f>_xlfn.XLOOKUP(A1301,Orders[OrderID],Orders[City])</f>
        <v>Mumbai</v>
      </c>
      <c r="L1301" s="3">
        <f>YEAR(Clean_Data[[#This Row],[OrderDate]])</f>
        <v>2018</v>
      </c>
      <c r="M1301" s="3">
        <f>MONTH(Clean_Data[[#This Row],[OrderDate]])</f>
        <v>10</v>
      </c>
      <c r="N1301" s="8" t="str">
        <f>TEXT(Clean_Data[[#This Row],[OrderDate]],"mmm")</f>
        <v>Oct</v>
      </c>
      <c r="O1301" s="8" t="str">
        <f>TEXT(Clean_Data[[#This Row],[OrderDate]], "yyyy-mm")</f>
        <v>2018-10</v>
      </c>
      <c r="P1301" s="7">
        <f>Clean_Data[[#This Row],[Profit]]/Clean_Data[[#This Row],[Revenue ]]</f>
        <v>-1</v>
      </c>
      <c r="Q1301" t="str">
        <f>"Q"&amp;ROUNDUP(MONTH(Clean_Data[[#This Row],[OrderDate]])/3,0)</f>
        <v>Q4</v>
      </c>
      <c r="R1301" t="str">
        <f>TEXT(Clean_Data[[#This Row],[OrderDate]], "dddd")</f>
        <v>Friday</v>
      </c>
    </row>
    <row r="1302" spans="1:18" x14ac:dyDescent="0.25">
      <c r="A1302" t="s">
        <v>44</v>
      </c>
      <c r="B1302" s="4">
        <v>26</v>
      </c>
      <c r="C1302" s="4">
        <v>9</v>
      </c>
      <c r="D1302" s="3">
        <v>2</v>
      </c>
      <c r="E1302" t="s">
        <v>895</v>
      </c>
      <c r="F1302" t="s">
        <v>904</v>
      </c>
      <c r="G1302" t="s">
        <v>887</v>
      </c>
      <c r="H1302" s="6">
        <f>_xlfn.XLOOKUP(A1302,Orders[OrderID],Orders[OrderDate])</f>
        <v>43429</v>
      </c>
      <c r="I1302" t="str">
        <f>_xlfn.XLOOKUP(A1302,Orders[OrderID],Orders[CustomerName])</f>
        <v>Lalita</v>
      </c>
      <c r="J1302" t="str">
        <f>_xlfn.XLOOKUP(A1302,Orders[OrderID],Orders[State])</f>
        <v>Uttar Pradesh</v>
      </c>
      <c r="K1302" t="str">
        <f>_xlfn.XLOOKUP(A1302,Orders[OrderID],Orders[City])</f>
        <v>Mathura</v>
      </c>
      <c r="L1302" s="3">
        <f>YEAR(Clean_Data[[#This Row],[OrderDate]])</f>
        <v>2018</v>
      </c>
      <c r="M1302" s="3">
        <f>MONTH(Clean_Data[[#This Row],[OrderDate]])</f>
        <v>11</v>
      </c>
      <c r="N1302" s="8" t="str">
        <f>TEXT(Clean_Data[[#This Row],[OrderDate]],"mmm")</f>
        <v>Nov</v>
      </c>
      <c r="O1302" s="8" t="str">
        <f>TEXT(Clean_Data[[#This Row],[OrderDate]], "yyyy-mm")</f>
        <v>2018-11</v>
      </c>
      <c r="P1302" s="7">
        <f>Clean_Data[[#This Row],[Profit]]/Clean_Data[[#This Row],[Revenue ]]</f>
        <v>0.34615384615384615</v>
      </c>
      <c r="Q1302" t="str">
        <f>"Q"&amp;ROUNDUP(MONTH(Clean_Data[[#This Row],[OrderDate]])/3,0)</f>
        <v>Q4</v>
      </c>
      <c r="R1302" t="str">
        <f>TEXT(Clean_Data[[#This Row],[OrderDate]], "dddd")</f>
        <v>Sunday</v>
      </c>
    </row>
    <row r="1303" spans="1:18" x14ac:dyDescent="0.25">
      <c r="A1303" t="s">
        <v>230</v>
      </c>
      <c r="B1303" s="4">
        <v>191</v>
      </c>
      <c r="C1303" s="4">
        <v>93</v>
      </c>
      <c r="D1303" s="3">
        <v>4</v>
      </c>
      <c r="E1303" t="s">
        <v>895</v>
      </c>
      <c r="F1303" t="s">
        <v>909</v>
      </c>
      <c r="G1303" t="s">
        <v>898</v>
      </c>
      <c r="H1303" s="6">
        <f>_xlfn.XLOOKUP(A1303,Orders[OrderID],Orders[OrderDate])</f>
        <v>43441</v>
      </c>
      <c r="I1303" t="str">
        <f>_xlfn.XLOOKUP(A1303,Orders[OrderID],Orders[CustomerName])</f>
        <v>Abhishek</v>
      </c>
      <c r="J1303" t="str">
        <f>_xlfn.XLOOKUP(A1303,Orders[OrderID],Orders[State])</f>
        <v>Rajasthan</v>
      </c>
      <c r="K1303" t="str">
        <f>_xlfn.XLOOKUP(A1303,Orders[OrderID],Orders[City])</f>
        <v>Udaipur</v>
      </c>
      <c r="L1303" s="3">
        <f>YEAR(Clean_Data[[#This Row],[OrderDate]])</f>
        <v>2018</v>
      </c>
      <c r="M1303" s="3">
        <f>MONTH(Clean_Data[[#This Row],[OrderDate]])</f>
        <v>12</v>
      </c>
      <c r="N1303" s="8" t="str">
        <f>TEXT(Clean_Data[[#This Row],[OrderDate]],"mmm")</f>
        <v>Dec</v>
      </c>
      <c r="O1303" s="8" t="str">
        <f>TEXT(Clean_Data[[#This Row],[OrderDate]], "yyyy-mm")</f>
        <v>2018-12</v>
      </c>
      <c r="P1303" s="7">
        <f>Clean_Data[[#This Row],[Profit]]/Clean_Data[[#This Row],[Revenue ]]</f>
        <v>0.48691099476439792</v>
      </c>
      <c r="Q1303" t="str">
        <f>"Q"&amp;ROUNDUP(MONTH(Clean_Data[[#This Row],[OrderDate]])/3,0)</f>
        <v>Q4</v>
      </c>
      <c r="R1303" t="str">
        <f>TEXT(Clean_Data[[#This Row],[OrderDate]], "dddd")</f>
        <v>Friday</v>
      </c>
    </row>
    <row r="1304" spans="1:18" x14ac:dyDescent="0.25">
      <c r="A1304" t="s">
        <v>237</v>
      </c>
      <c r="B1304" s="4">
        <v>887</v>
      </c>
      <c r="C1304" s="4">
        <v>80</v>
      </c>
      <c r="D1304" s="3">
        <v>3</v>
      </c>
      <c r="E1304" t="s">
        <v>885</v>
      </c>
      <c r="F1304" t="s">
        <v>892</v>
      </c>
      <c r="G1304" t="s">
        <v>898</v>
      </c>
      <c r="H1304" s="6">
        <f>_xlfn.XLOOKUP(A1304,Orders[OrderID],Orders[OrderDate])</f>
        <v>43272</v>
      </c>
      <c r="I1304" t="str">
        <f>_xlfn.XLOOKUP(A1304,Orders[OrderID],Orders[CustomerName])</f>
        <v>Noopur</v>
      </c>
      <c r="J1304" t="str">
        <f>_xlfn.XLOOKUP(A1304,Orders[OrderID],Orders[State])</f>
        <v>Karnataka</v>
      </c>
      <c r="K1304" t="str">
        <f>_xlfn.XLOOKUP(A1304,Orders[OrderID],Orders[City])</f>
        <v>Bangalore</v>
      </c>
      <c r="L1304" s="3">
        <f>YEAR(Clean_Data[[#This Row],[OrderDate]])</f>
        <v>2018</v>
      </c>
      <c r="M1304" s="3">
        <f>MONTH(Clean_Data[[#This Row],[OrderDate]])</f>
        <v>6</v>
      </c>
      <c r="N1304" s="8" t="str">
        <f>TEXT(Clean_Data[[#This Row],[OrderDate]],"mmm")</f>
        <v>Jun</v>
      </c>
      <c r="O1304" s="8" t="str">
        <f>TEXT(Clean_Data[[#This Row],[OrderDate]], "yyyy-mm")</f>
        <v>2018-06</v>
      </c>
      <c r="P1304" s="7">
        <f>Clean_Data[[#This Row],[Profit]]/Clean_Data[[#This Row],[Revenue ]]</f>
        <v>9.0191657271702363E-2</v>
      </c>
      <c r="Q1304" t="str">
        <f>"Q"&amp;ROUNDUP(MONTH(Clean_Data[[#This Row],[OrderDate]])/3,0)</f>
        <v>Q2</v>
      </c>
      <c r="R1304" t="str">
        <f>TEXT(Clean_Data[[#This Row],[OrderDate]], "dddd")</f>
        <v>Thursday</v>
      </c>
    </row>
    <row r="1305" spans="1:18" x14ac:dyDescent="0.25">
      <c r="A1305" t="s">
        <v>328</v>
      </c>
      <c r="B1305" s="4">
        <v>637</v>
      </c>
      <c r="C1305" s="4">
        <v>261</v>
      </c>
      <c r="D1305" s="3">
        <v>2</v>
      </c>
      <c r="E1305" t="s">
        <v>885</v>
      </c>
      <c r="F1305" t="s">
        <v>892</v>
      </c>
      <c r="G1305" t="s">
        <v>887</v>
      </c>
      <c r="H1305" s="6">
        <f>_xlfn.XLOOKUP(A1305,Orders[OrderID],Orders[OrderDate])</f>
        <v>43395</v>
      </c>
      <c r="I1305" t="str">
        <f>_xlfn.XLOOKUP(A1305,Orders[OrderID],Orders[CustomerName])</f>
        <v>Tanushree</v>
      </c>
      <c r="J1305" t="str">
        <f>_xlfn.XLOOKUP(A1305,Orders[OrderID],Orders[State])</f>
        <v>Maharashtra</v>
      </c>
      <c r="K1305" t="str">
        <f>_xlfn.XLOOKUP(A1305,Orders[OrderID],Orders[City])</f>
        <v>Mumbai</v>
      </c>
      <c r="L1305" s="3">
        <f>YEAR(Clean_Data[[#This Row],[OrderDate]])</f>
        <v>2018</v>
      </c>
      <c r="M1305" s="3">
        <f>MONTH(Clean_Data[[#This Row],[OrderDate]])</f>
        <v>10</v>
      </c>
      <c r="N1305" s="8" t="str">
        <f>TEXT(Clean_Data[[#This Row],[OrderDate]],"mmm")</f>
        <v>Oct</v>
      </c>
      <c r="O1305" s="8" t="str">
        <f>TEXT(Clean_Data[[#This Row],[OrderDate]], "yyyy-mm")</f>
        <v>2018-10</v>
      </c>
      <c r="P1305" s="7">
        <f>Clean_Data[[#This Row],[Profit]]/Clean_Data[[#This Row],[Revenue ]]</f>
        <v>0.40973312401883832</v>
      </c>
      <c r="Q1305" t="str">
        <f>"Q"&amp;ROUNDUP(MONTH(Clean_Data[[#This Row],[OrderDate]])/3,0)</f>
        <v>Q4</v>
      </c>
      <c r="R1305" t="str">
        <f>TEXT(Clean_Data[[#This Row],[OrderDate]], "dddd")</f>
        <v>Monday</v>
      </c>
    </row>
    <row r="1306" spans="1:18" x14ac:dyDescent="0.25">
      <c r="A1306" t="s">
        <v>315</v>
      </c>
      <c r="B1306" s="4">
        <v>670</v>
      </c>
      <c r="C1306" s="4">
        <v>15</v>
      </c>
      <c r="D1306" s="3">
        <v>5</v>
      </c>
      <c r="E1306" t="s">
        <v>888</v>
      </c>
      <c r="F1306" t="s">
        <v>891</v>
      </c>
      <c r="G1306" t="s">
        <v>907</v>
      </c>
      <c r="H1306" s="6">
        <f>_xlfn.XLOOKUP(A1306,Orders[OrderID],Orders[OrderDate])</f>
        <v>43321</v>
      </c>
      <c r="I1306" t="str">
        <f>_xlfn.XLOOKUP(A1306,Orders[OrderID],Orders[CustomerName])</f>
        <v>Kartik</v>
      </c>
      <c r="J1306" t="str">
        <f>_xlfn.XLOOKUP(A1306,Orders[OrderID],Orders[State])</f>
        <v>Gujarat</v>
      </c>
      <c r="K1306" t="str">
        <f>_xlfn.XLOOKUP(A1306,Orders[OrderID],Orders[City])</f>
        <v>Ahmedabad</v>
      </c>
      <c r="L1306" s="3">
        <f>YEAR(Clean_Data[[#This Row],[OrderDate]])</f>
        <v>2018</v>
      </c>
      <c r="M1306" s="3">
        <f>MONTH(Clean_Data[[#This Row],[OrderDate]])</f>
        <v>8</v>
      </c>
      <c r="N1306" s="8" t="str">
        <f>TEXT(Clean_Data[[#This Row],[OrderDate]],"mmm")</f>
        <v>Aug</v>
      </c>
      <c r="O1306" s="8" t="str">
        <f>TEXT(Clean_Data[[#This Row],[OrderDate]], "yyyy-mm")</f>
        <v>2018-08</v>
      </c>
      <c r="P1306" s="7">
        <f>Clean_Data[[#This Row],[Profit]]/Clean_Data[[#This Row],[Revenue ]]</f>
        <v>2.2388059701492536E-2</v>
      </c>
      <c r="Q1306" t="str">
        <f>"Q"&amp;ROUNDUP(MONTH(Clean_Data[[#This Row],[OrderDate]])/3,0)</f>
        <v>Q3</v>
      </c>
      <c r="R1306" t="str">
        <f>TEXT(Clean_Data[[#This Row],[OrderDate]], "dddd")</f>
        <v>Thursday</v>
      </c>
    </row>
    <row r="1307" spans="1:18" x14ac:dyDescent="0.25">
      <c r="A1307" t="s">
        <v>108</v>
      </c>
      <c r="B1307" s="4">
        <v>26</v>
      </c>
      <c r="C1307" s="4">
        <v>7</v>
      </c>
      <c r="D1307" s="3">
        <v>4</v>
      </c>
      <c r="E1307" t="s">
        <v>895</v>
      </c>
      <c r="F1307" t="s">
        <v>899</v>
      </c>
      <c r="G1307" t="s">
        <v>887</v>
      </c>
      <c r="H1307" s="6">
        <f>_xlfn.XLOOKUP(A1307,Orders[OrderID],Orders[OrderDate])</f>
        <v>43109</v>
      </c>
      <c r="I1307" t="str">
        <f>_xlfn.XLOOKUP(A1307,Orders[OrderID],Orders[CustomerName])</f>
        <v>Shardul</v>
      </c>
      <c r="J1307" t="str">
        <f>_xlfn.XLOOKUP(A1307,Orders[OrderID],Orders[State])</f>
        <v>Gujarat</v>
      </c>
      <c r="K1307" t="str">
        <f>_xlfn.XLOOKUP(A1307,Orders[OrderID],Orders[City])</f>
        <v>Ahmedabad</v>
      </c>
      <c r="L1307" s="3">
        <f>YEAR(Clean_Data[[#This Row],[OrderDate]])</f>
        <v>2018</v>
      </c>
      <c r="M1307" s="3">
        <f>MONTH(Clean_Data[[#This Row],[OrderDate]])</f>
        <v>1</v>
      </c>
      <c r="N1307" s="8" t="str">
        <f>TEXT(Clean_Data[[#This Row],[OrderDate]],"mmm")</f>
        <v>Jan</v>
      </c>
      <c r="O1307" s="8" t="str">
        <f>TEXT(Clean_Data[[#This Row],[OrderDate]], "yyyy-mm")</f>
        <v>2018-01</v>
      </c>
      <c r="P1307" s="7">
        <f>Clean_Data[[#This Row],[Profit]]/Clean_Data[[#This Row],[Revenue ]]</f>
        <v>0.26923076923076922</v>
      </c>
      <c r="Q1307" t="str">
        <f>"Q"&amp;ROUNDUP(MONTH(Clean_Data[[#This Row],[OrderDate]])/3,0)</f>
        <v>Q1</v>
      </c>
      <c r="R1307" t="str">
        <f>TEXT(Clean_Data[[#This Row],[OrderDate]], "dddd")</f>
        <v>Tuesday</v>
      </c>
    </row>
    <row r="1308" spans="1:18" x14ac:dyDescent="0.25">
      <c r="A1308" t="s">
        <v>136</v>
      </c>
      <c r="B1308" s="4">
        <v>676</v>
      </c>
      <c r="C1308" s="4">
        <v>195</v>
      </c>
      <c r="D1308" s="3">
        <v>5</v>
      </c>
      <c r="E1308" t="s">
        <v>888</v>
      </c>
      <c r="F1308" t="s">
        <v>891</v>
      </c>
      <c r="G1308" t="s">
        <v>907</v>
      </c>
      <c r="H1308" s="6">
        <f>_xlfn.XLOOKUP(A1308,Orders[OrderID],Orders[OrderDate])</f>
        <v>43166</v>
      </c>
      <c r="I1308" t="str">
        <f>_xlfn.XLOOKUP(A1308,Orders[OrderID],Orders[CustomerName])</f>
        <v>Parishi</v>
      </c>
      <c r="J1308" t="str">
        <f>_xlfn.XLOOKUP(A1308,Orders[OrderID],Orders[State])</f>
        <v>West Bengal</v>
      </c>
      <c r="K1308" t="str">
        <f>_xlfn.XLOOKUP(A1308,Orders[OrderID],Orders[City])</f>
        <v>Kolkata</v>
      </c>
      <c r="L1308" s="3">
        <f>YEAR(Clean_Data[[#This Row],[OrderDate]])</f>
        <v>2018</v>
      </c>
      <c r="M1308" s="3">
        <f>MONTH(Clean_Data[[#This Row],[OrderDate]])</f>
        <v>3</v>
      </c>
      <c r="N1308" s="8" t="str">
        <f>TEXT(Clean_Data[[#This Row],[OrderDate]],"mmm")</f>
        <v>Mar</v>
      </c>
      <c r="O1308" s="8" t="str">
        <f>TEXT(Clean_Data[[#This Row],[OrderDate]], "yyyy-mm")</f>
        <v>2018-03</v>
      </c>
      <c r="P1308" s="7">
        <f>Clean_Data[[#This Row],[Profit]]/Clean_Data[[#This Row],[Revenue ]]</f>
        <v>0.28846153846153844</v>
      </c>
      <c r="Q1308" t="str">
        <f>"Q"&amp;ROUNDUP(MONTH(Clean_Data[[#This Row],[OrderDate]])/3,0)</f>
        <v>Q1</v>
      </c>
      <c r="R1308" t="str">
        <f>TEXT(Clean_Data[[#This Row],[OrderDate]], "dddd")</f>
        <v>Wednesday</v>
      </c>
    </row>
    <row r="1309" spans="1:18" x14ac:dyDescent="0.25">
      <c r="A1309" t="s">
        <v>846</v>
      </c>
      <c r="B1309" s="4">
        <v>26</v>
      </c>
      <c r="C1309" s="4">
        <v>12</v>
      </c>
      <c r="D1309" s="3">
        <v>3</v>
      </c>
      <c r="E1309" t="s">
        <v>895</v>
      </c>
      <c r="F1309" t="s">
        <v>899</v>
      </c>
      <c r="G1309" t="s">
        <v>887</v>
      </c>
      <c r="H1309" s="6">
        <f>_xlfn.XLOOKUP(A1309,Orders[OrderID],Orders[OrderDate])</f>
        <v>43212</v>
      </c>
      <c r="I1309" t="str">
        <f>_xlfn.XLOOKUP(A1309,Orders[OrderID],Orders[CustomerName])</f>
        <v>Vini</v>
      </c>
      <c r="J1309" t="str">
        <f>_xlfn.XLOOKUP(A1309,Orders[OrderID],Orders[State])</f>
        <v>Karnataka</v>
      </c>
      <c r="K1309" t="str">
        <f>_xlfn.XLOOKUP(A1309,Orders[OrderID],Orders[City])</f>
        <v>Bangalore</v>
      </c>
      <c r="L1309" s="3">
        <f>YEAR(Clean_Data[[#This Row],[OrderDate]])</f>
        <v>2018</v>
      </c>
      <c r="M1309" s="3">
        <f>MONTH(Clean_Data[[#This Row],[OrderDate]])</f>
        <v>4</v>
      </c>
      <c r="N1309" s="8" t="str">
        <f>TEXT(Clean_Data[[#This Row],[OrderDate]],"mmm")</f>
        <v>Apr</v>
      </c>
      <c r="O1309" s="8" t="str">
        <f>TEXT(Clean_Data[[#This Row],[OrderDate]], "yyyy-mm")</f>
        <v>2018-04</v>
      </c>
      <c r="P1309" s="7">
        <f>Clean_Data[[#This Row],[Profit]]/Clean_Data[[#This Row],[Revenue ]]</f>
        <v>0.46153846153846156</v>
      </c>
      <c r="Q1309" t="str">
        <f>"Q"&amp;ROUNDUP(MONTH(Clean_Data[[#This Row],[OrderDate]])/3,0)</f>
        <v>Q2</v>
      </c>
      <c r="R1309" t="str">
        <f>TEXT(Clean_Data[[#This Row],[OrderDate]], "dddd")</f>
        <v>Sunday</v>
      </c>
    </row>
    <row r="1310" spans="1:18" x14ac:dyDescent="0.25">
      <c r="A1310" t="s">
        <v>753</v>
      </c>
      <c r="B1310" s="4">
        <v>26</v>
      </c>
      <c r="C1310" s="4">
        <v>-24</v>
      </c>
      <c r="D1310" s="3">
        <v>1</v>
      </c>
      <c r="E1310" t="s">
        <v>895</v>
      </c>
      <c r="F1310" t="s">
        <v>903</v>
      </c>
      <c r="G1310" t="s">
        <v>887</v>
      </c>
      <c r="H1310" s="6">
        <f>_xlfn.XLOOKUP(A1310,Orders[OrderID],Orders[OrderDate])</f>
        <v>43299</v>
      </c>
      <c r="I1310" t="str">
        <f>_xlfn.XLOOKUP(A1310,Orders[OrderID],Orders[CustomerName])</f>
        <v>Wale</v>
      </c>
      <c r="J1310" t="str">
        <f>_xlfn.XLOOKUP(A1310,Orders[OrderID],Orders[State])</f>
        <v>Maharashtra</v>
      </c>
      <c r="K1310" t="str">
        <f>_xlfn.XLOOKUP(A1310,Orders[OrderID],Orders[City])</f>
        <v>Mumbai</v>
      </c>
      <c r="L1310" s="3">
        <f>YEAR(Clean_Data[[#This Row],[OrderDate]])</f>
        <v>2018</v>
      </c>
      <c r="M1310" s="3">
        <f>MONTH(Clean_Data[[#This Row],[OrderDate]])</f>
        <v>7</v>
      </c>
      <c r="N1310" s="8" t="str">
        <f>TEXT(Clean_Data[[#This Row],[OrderDate]],"mmm")</f>
        <v>Jul</v>
      </c>
      <c r="O1310" s="8" t="str">
        <f>TEXT(Clean_Data[[#This Row],[OrderDate]], "yyyy-mm")</f>
        <v>2018-07</v>
      </c>
      <c r="P1310" s="7">
        <f>Clean_Data[[#This Row],[Profit]]/Clean_Data[[#This Row],[Revenue ]]</f>
        <v>-0.92307692307692313</v>
      </c>
      <c r="Q1310" t="str">
        <f>"Q"&amp;ROUNDUP(MONTH(Clean_Data[[#This Row],[OrderDate]])/3,0)</f>
        <v>Q3</v>
      </c>
      <c r="R1310" t="str">
        <f>TEXT(Clean_Data[[#This Row],[OrderDate]], "dddd")</f>
        <v>Wednesday</v>
      </c>
    </row>
    <row r="1311" spans="1:18" x14ac:dyDescent="0.25">
      <c r="A1311" t="s">
        <v>267</v>
      </c>
      <c r="B1311" s="4">
        <v>25</v>
      </c>
      <c r="C1311" s="4">
        <v>7</v>
      </c>
      <c r="D1311" s="3">
        <v>2</v>
      </c>
      <c r="E1311" t="s">
        <v>895</v>
      </c>
      <c r="F1311" t="s">
        <v>903</v>
      </c>
      <c r="G1311" t="s">
        <v>887</v>
      </c>
      <c r="H1311" s="6">
        <f>_xlfn.XLOOKUP(A1311,Orders[OrderID],Orders[OrderDate])</f>
        <v>43167</v>
      </c>
      <c r="I1311" t="str">
        <f>_xlfn.XLOOKUP(A1311,Orders[OrderID],Orders[CustomerName])</f>
        <v>Ajay</v>
      </c>
      <c r="J1311" t="str">
        <f>_xlfn.XLOOKUP(A1311,Orders[OrderID],Orders[State])</f>
        <v>Karnataka</v>
      </c>
      <c r="K1311" t="str">
        <f>_xlfn.XLOOKUP(A1311,Orders[OrderID],Orders[City])</f>
        <v>Bangalore</v>
      </c>
      <c r="L1311" s="3">
        <f>YEAR(Clean_Data[[#This Row],[OrderDate]])</f>
        <v>2018</v>
      </c>
      <c r="M1311" s="3">
        <f>MONTH(Clean_Data[[#This Row],[OrderDate]])</f>
        <v>3</v>
      </c>
      <c r="N1311" s="8" t="str">
        <f>TEXT(Clean_Data[[#This Row],[OrderDate]],"mmm")</f>
        <v>Mar</v>
      </c>
      <c r="O1311" s="8" t="str">
        <f>TEXT(Clean_Data[[#This Row],[OrderDate]], "yyyy-mm")</f>
        <v>2018-03</v>
      </c>
      <c r="P1311" s="7">
        <f>Clean_Data[[#This Row],[Profit]]/Clean_Data[[#This Row],[Revenue ]]</f>
        <v>0.28000000000000003</v>
      </c>
      <c r="Q1311" t="str">
        <f>"Q"&amp;ROUNDUP(MONTH(Clean_Data[[#This Row],[OrderDate]])/3,0)</f>
        <v>Q1</v>
      </c>
      <c r="R1311" t="str">
        <f>TEXT(Clean_Data[[#This Row],[OrderDate]], "dddd")</f>
        <v>Thursday</v>
      </c>
    </row>
    <row r="1312" spans="1:18" x14ac:dyDescent="0.25">
      <c r="A1312" t="s">
        <v>134</v>
      </c>
      <c r="B1312" s="4">
        <v>24</v>
      </c>
      <c r="C1312" s="4">
        <v>-30</v>
      </c>
      <c r="D1312" s="3">
        <v>1</v>
      </c>
      <c r="E1312" t="s">
        <v>888</v>
      </c>
      <c r="F1312" t="s">
        <v>889</v>
      </c>
      <c r="G1312" t="s">
        <v>887</v>
      </c>
      <c r="H1312" s="6">
        <f>_xlfn.XLOOKUP(A1312,Orders[OrderID],Orders[OrderDate])</f>
        <v>43193</v>
      </c>
      <c r="I1312" t="str">
        <f>_xlfn.XLOOKUP(A1312,Orders[OrderID],Orders[CustomerName])</f>
        <v>Jahan</v>
      </c>
      <c r="J1312" t="str">
        <f>_xlfn.XLOOKUP(A1312,Orders[OrderID],Orders[State])</f>
        <v>Madhya Pradesh</v>
      </c>
      <c r="K1312" t="str">
        <f>_xlfn.XLOOKUP(A1312,Orders[OrderID],Orders[City])</f>
        <v>Bhopal</v>
      </c>
      <c r="L1312" s="3">
        <f>YEAR(Clean_Data[[#This Row],[OrderDate]])</f>
        <v>2018</v>
      </c>
      <c r="M1312" s="3">
        <f>MONTH(Clean_Data[[#This Row],[OrderDate]])</f>
        <v>4</v>
      </c>
      <c r="N1312" s="8" t="str">
        <f>TEXT(Clean_Data[[#This Row],[OrderDate]],"mmm")</f>
        <v>Apr</v>
      </c>
      <c r="O1312" s="8" t="str">
        <f>TEXT(Clean_Data[[#This Row],[OrderDate]], "yyyy-mm")</f>
        <v>2018-04</v>
      </c>
      <c r="P1312" s="7">
        <f>Clean_Data[[#This Row],[Profit]]/Clean_Data[[#This Row],[Revenue ]]</f>
        <v>-1.25</v>
      </c>
      <c r="Q1312" t="str">
        <f>"Q"&amp;ROUNDUP(MONTH(Clean_Data[[#This Row],[OrderDate]])/3,0)</f>
        <v>Q2</v>
      </c>
      <c r="R1312" t="str">
        <f>TEXT(Clean_Data[[#This Row],[OrderDate]], "dddd")</f>
        <v>Tuesday</v>
      </c>
    </row>
    <row r="1313" spans="1:18" x14ac:dyDescent="0.25">
      <c r="A1313" t="s">
        <v>354</v>
      </c>
      <c r="B1313" s="4">
        <v>32</v>
      </c>
      <c r="C1313" s="4">
        <v>-12</v>
      </c>
      <c r="D1313" s="3">
        <v>1</v>
      </c>
      <c r="E1313" t="s">
        <v>888</v>
      </c>
      <c r="F1313" t="s">
        <v>889</v>
      </c>
      <c r="G1313" t="s">
        <v>893</v>
      </c>
      <c r="H1313" s="6">
        <f>_xlfn.XLOOKUP(A1313,Orders[OrderID],Orders[OrderDate])</f>
        <v>43130</v>
      </c>
      <c r="I1313" t="str">
        <f>_xlfn.XLOOKUP(A1313,Orders[OrderID],Orders[CustomerName])</f>
        <v>Atul</v>
      </c>
      <c r="J1313" t="str">
        <f>_xlfn.XLOOKUP(A1313,Orders[OrderID],Orders[State])</f>
        <v>Delhi</v>
      </c>
      <c r="K1313" t="str">
        <f>_xlfn.XLOOKUP(A1313,Orders[OrderID],Orders[City])</f>
        <v>Delhi</v>
      </c>
      <c r="L1313" s="3">
        <f>YEAR(Clean_Data[[#This Row],[OrderDate]])</f>
        <v>2018</v>
      </c>
      <c r="M1313" s="3">
        <f>MONTH(Clean_Data[[#This Row],[OrderDate]])</f>
        <v>1</v>
      </c>
      <c r="N1313" s="8" t="str">
        <f>TEXT(Clean_Data[[#This Row],[OrderDate]],"mmm")</f>
        <v>Jan</v>
      </c>
      <c r="O1313" s="8" t="str">
        <f>TEXT(Clean_Data[[#This Row],[OrderDate]], "yyyy-mm")</f>
        <v>2018-01</v>
      </c>
      <c r="P1313" s="7">
        <f>Clean_Data[[#This Row],[Profit]]/Clean_Data[[#This Row],[Revenue ]]</f>
        <v>-0.375</v>
      </c>
      <c r="Q1313" t="str">
        <f>"Q"&amp;ROUNDUP(MONTH(Clean_Data[[#This Row],[OrderDate]])/3,0)</f>
        <v>Q1</v>
      </c>
      <c r="R1313" t="str">
        <f>TEXT(Clean_Data[[#This Row],[OrderDate]], "dddd")</f>
        <v>Tuesday</v>
      </c>
    </row>
    <row r="1314" spans="1:18" x14ac:dyDescent="0.25">
      <c r="A1314" t="s">
        <v>224</v>
      </c>
      <c r="B1314" s="4">
        <v>31</v>
      </c>
      <c r="C1314" s="4">
        <v>-2</v>
      </c>
      <c r="D1314" s="3">
        <v>2</v>
      </c>
      <c r="E1314" t="s">
        <v>895</v>
      </c>
      <c r="F1314" t="s">
        <v>897</v>
      </c>
      <c r="G1314" t="s">
        <v>893</v>
      </c>
      <c r="H1314" s="6">
        <f>_xlfn.XLOOKUP(A1314,Orders[OrderID],Orders[OrderDate])</f>
        <v>43226</v>
      </c>
      <c r="I1314" t="str">
        <f>_xlfn.XLOOKUP(A1314,Orders[OrderID],Orders[CustomerName])</f>
        <v>Chirag</v>
      </c>
      <c r="J1314" t="str">
        <f>_xlfn.XLOOKUP(A1314,Orders[OrderID],Orders[State])</f>
        <v>Maharashtra</v>
      </c>
      <c r="K1314" t="str">
        <f>_xlfn.XLOOKUP(A1314,Orders[OrderID],Orders[City])</f>
        <v>Mumbai</v>
      </c>
      <c r="L1314" s="3">
        <f>YEAR(Clean_Data[[#This Row],[OrderDate]])</f>
        <v>2018</v>
      </c>
      <c r="M1314" s="3">
        <f>MONTH(Clean_Data[[#This Row],[OrderDate]])</f>
        <v>5</v>
      </c>
      <c r="N1314" s="8" t="str">
        <f>TEXT(Clean_Data[[#This Row],[OrderDate]],"mmm")</f>
        <v>May</v>
      </c>
      <c r="O1314" s="8" t="str">
        <f>TEXT(Clean_Data[[#This Row],[OrderDate]], "yyyy-mm")</f>
        <v>2018-05</v>
      </c>
      <c r="P1314" s="7">
        <f>Clean_Data[[#This Row],[Profit]]/Clean_Data[[#This Row],[Revenue ]]</f>
        <v>-6.4516129032258063E-2</v>
      </c>
      <c r="Q1314" t="str">
        <f>"Q"&amp;ROUNDUP(MONTH(Clean_Data[[#This Row],[OrderDate]])/3,0)</f>
        <v>Q2</v>
      </c>
      <c r="R1314" t="str">
        <f>TEXT(Clean_Data[[#This Row],[OrderDate]], "dddd")</f>
        <v>Sunday</v>
      </c>
    </row>
    <row r="1315" spans="1:18" x14ac:dyDescent="0.25">
      <c r="A1315" t="s">
        <v>124</v>
      </c>
      <c r="B1315" s="4">
        <v>651</v>
      </c>
      <c r="C1315" s="4">
        <v>169</v>
      </c>
      <c r="D1315" s="3">
        <v>5</v>
      </c>
      <c r="E1315" t="s">
        <v>885</v>
      </c>
      <c r="F1315" t="s">
        <v>892</v>
      </c>
      <c r="G1315" t="s">
        <v>887</v>
      </c>
      <c r="H1315" s="6">
        <f>_xlfn.XLOOKUP(A1315,Orders[OrderID],Orders[OrderDate])</f>
        <v>43231</v>
      </c>
      <c r="I1315" t="str">
        <f>_xlfn.XLOOKUP(A1315,Orders[OrderID],Orders[CustomerName])</f>
        <v>Priyanka</v>
      </c>
      <c r="J1315" t="str">
        <f>_xlfn.XLOOKUP(A1315,Orders[OrderID],Orders[State])</f>
        <v>Maharashtra</v>
      </c>
      <c r="K1315" t="str">
        <f>_xlfn.XLOOKUP(A1315,Orders[OrderID],Orders[City])</f>
        <v>Pune</v>
      </c>
      <c r="L1315" s="3">
        <f>YEAR(Clean_Data[[#This Row],[OrderDate]])</f>
        <v>2018</v>
      </c>
      <c r="M1315" s="3">
        <f>MONTH(Clean_Data[[#This Row],[OrderDate]])</f>
        <v>5</v>
      </c>
      <c r="N1315" s="8" t="str">
        <f>TEXT(Clean_Data[[#This Row],[OrderDate]],"mmm")</f>
        <v>May</v>
      </c>
      <c r="O1315" s="8" t="str">
        <f>TEXT(Clean_Data[[#This Row],[OrderDate]], "yyyy-mm")</f>
        <v>2018-05</v>
      </c>
      <c r="P1315" s="7">
        <f>Clean_Data[[#This Row],[Profit]]/Clean_Data[[#This Row],[Revenue ]]</f>
        <v>0.25960061443932414</v>
      </c>
      <c r="Q1315" t="str">
        <f>"Q"&amp;ROUNDUP(MONTH(Clean_Data[[#This Row],[OrderDate]])/3,0)</f>
        <v>Q2</v>
      </c>
      <c r="R1315" t="str">
        <f>TEXT(Clean_Data[[#This Row],[OrderDate]], "dddd")</f>
        <v>Friday</v>
      </c>
    </row>
    <row r="1316" spans="1:18" x14ac:dyDescent="0.25">
      <c r="A1316" t="s">
        <v>482</v>
      </c>
      <c r="B1316" s="4">
        <v>326</v>
      </c>
      <c r="C1316" s="4">
        <v>107</v>
      </c>
      <c r="D1316" s="3">
        <v>3</v>
      </c>
      <c r="E1316" t="s">
        <v>888</v>
      </c>
      <c r="F1316" t="s">
        <v>908</v>
      </c>
      <c r="G1316" t="s">
        <v>898</v>
      </c>
      <c r="H1316" s="6">
        <f>_xlfn.XLOOKUP(A1316,Orders[OrderID],Orders[OrderDate])</f>
        <v>43145</v>
      </c>
      <c r="I1316" t="str">
        <f>_xlfn.XLOOKUP(A1316,Orders[OrderID],Orders[CustomerName])</f>
        <v>Aarushi</v>
      </c>
      <c r="J1316" t="str">
        <f>_xlfn.XLOOKUP(A1316,Orders[OrderID],Orders[State])</f>
        <v>Tamil Nadu</v>
      </c>
      <c r="K1316" t="str">
        <f>_xlfn.XLOOKUP(A1316,Orders[OrderID],Orders[City])</f>
        <v>Chennai</v>
      </c>
      <c r="L1316" s="3">
        <f>YEAR(Clean_Data[[#This Row],[OrderDate]])</f>
        <v>2018</v>
      </c>
      <c r="M1316" s="3">
        <f>MONTH(Clean_Data[[#This Row],[OrderDate]])</f>
        <v>2</v>
      </c>
      <c r="N1316" s="8" t="str">
        <f>TEXT(Clean_Data[[#This Row],[OrderDate]],"mmm")</f>
        <v>Feb</v>
      </c>
      <c r="O1316" s="8" t="str">
        <f>TEXT(Clean_Data[[#This Row],[OrderDate]], "yyyy-mm")</f>
        <v>2018-02</v>
      </c>
      <c r="P1316" s="7">
        <f>Clean_Data[[#This Row],[Profit]]/Clean_Data[[#This Row],[Revenue ]]</f>
        <v>0.32822085889570551</v>
      </c>
      <c r="Q1316" t="str">
        <f>"Q"&amp;ROUNDUP(MONTH(Clean_Data[[#This Row],[OrderDate]])/3,0)</f>
        <v>Q1</v>
      </c>
      <c r="R1316" t="str">
        <f>TEXT(Clean_Data[[#This Row],[OrderDate]], "dddd")</f>
        <v>Wednesday</v>
      </c>
    </row>
    <row r="1317" spans="1:18" x14ac:dyDescent="0.25">
      <c r="A1317" t="s">
        <v>826</v>
      </c>
      <c r="B1317" s="4">
        <v>30</v>
      </c>
      <c r="C1317" s="4">
        <v>-6</v>
      </c>
      <c r="D1317" s="3">
        <v>2</v>
      </c>
      <c r="E1317" t="s">
        <v>895</v>
      </c>
      <c r="F1317" t="s">
        <v>899</v>
      </c>
      <c r="G1317" t="s">
        <v>898</v>
      </c>
      <c r="H1317" s="6">
        <f>_xlfn.XLOOKUP(A1317,Orders[OrderID],Orders[OrderDate])</f>
        <v>43358</v>
      </c>
      <c r="I1317" t="str">
        <f>_xlfn.XLOOKUP(A1317,Orders[OrderID],Orders[CustomerName])</f>
        <v>Shivangi</v>
      </c>
      <c r="J1317" t="str">
        <f>_xlfn.XLOOKUP(A1317,Orders[OrderID],Orders[State])</f>
        <v>Madhya Pradesh</v>
      </c>
      <c r="K1317" t="str">
        <f>_xlfn.XLOOKUP(A1317,Orders[OrderID],Orders[City])</f>
        <v>Indore</v>
      </c>
      <c r="L1317" s="3">
        <f>YEAR(Clean_Data[[#This Row],[OrderDate]])</f>
        <v>2018</v>
      </c>
      <c r="M1317" s="3">
        <f>MONTH(Clean_Data[[#This Row],[OrderDate]])</f>
        <v>9</v>
      </c>
      <c r="N1317" s="8" t="str">
        <f>TEXT(Clean_Data[[#This Row],[OrderDate]],"mmm")</f>
        <v>Sep</v>
      </c>
      <c r="O1317" s="8" t="str">
        <f>TEXT(Clean_Data[[#This Row],[OrderDate]], "yyyy-mm")</f>
        <v>2018-09</v>
      </c>
      <c r="P1317" s="7">
        <f>Clean_Data[[#This Row],[Profit]]/Clean_Data[[#This Row],[Revenue ]]</f>
        <v>-0.2</v>
      </c>
      <c r="Q1317" t="str">
        <f>"Q"&amp;ROUNDUP(MONTH(Clean_Data[[#This Row],[OrderDate]])/3,0)</f>
        <v>Q3</v>
      </c>
      <c r="R1317" t="str">
        <f>TEXT(Clean_Data[[#This Row],[OrderDate]], "dddd")</f>
        <v>Saturday</v>
      </c>
    </row>
    <row r="1318" spans="1:18" x14ac:dyDescent="0.25">
      <c r="A1318" t="s">
        <v>284</v>
      </c>
      <c r="B1318" s="4">
        <v>30</v>
      </c>
      <c r="C1318" s="4">
        <v>5</v>
      </c>
      <c r="D1318" s="3">
        <v>2</v>
      </c>
      <c r="E1318" t="s">
        <v>895</v>
      </c>
      <c r="F1318" t="s">
        <v>900</v>
      </c>
      <c r="G1318" t="s">
        <v>898</v>
      </c>
      <c r="H1318" s="6">
        <f>_xlfn.XLOOKUP(A1318,Orders[OrderID],Orders[OrderDate])</f>
        <v>43113</v>
      </c>
      <c r="I1318" t="str">
        <f>_xlfn.XLOOKUP(A1318,Orders[OrderID],Orders[CustomerName])</f>
        <v>Jesal</v>
      </c>
      <c r="J1318" t="str">
        <f>_xlfn.XLOOKUP(A1318,Orders[OrderID],Orders[State])</f>
        <v>West Bengal</v>
      </c>
      <c r="K1318" t="str">
        <f>_xlfn.XLOOKUP(A1318,Orders[OrderID],Orders[City])</f>
        <v>Kolkata</v>
      </c>
      <c r="L1318" s="3">
        <f>YEAR(Clean_Data[[#This Row],[OrderDate]])</f>
        <v>2018</v>
      </c>
      <c r="M1318" s="3">
        <f>MONTH(Clean_Data[[#This Row],[OrderDate]])</f>
        <v>1</v>
      </c>
      <c r="N1318" s="8" t="str">
        <f>TEXT(Clean_Data[[#This Row],[OrderDate]],"mmm")</f>
        <v>Jan</v>
      </c>
      <c r="O1318" s="8" t="str">
        <f>TEXT(Clean_Data[[#This Row],[OrderDate]], "yyyy-mm")</f>
        <v>2018-01</v>
      </c>
      <c r="P1318" s="7">
        <f>Clean_Data[[#This Row],[Profit]]/Clean_Data[[#This Row],[Revenue ]]</f>
        <v>0.16666666666666666</v>
      </c>
      <c r="Q1318" t="str">
        <f>"Q"&amp;ROUNDUP(MONTH(Clean_Data[[#This Row],[OrderDate]])/3,0)</f>
        <v>Q1</v>
      </c>
      <c r="R1318" t="str">
        <f>TEXT(Clean_Data[[#This Row],[OrderDate]], "dddd")</f>
        <v>Saturday</v>
      </c>
    </row>
    <row r="1319" spans="1:18" x14ac:dyDescent="0.25">
      <c r="A1319" t="s">
        <v>316</v>
      </c>
      <c r="B1319" s="4">
        <v>662</v>
      </c>
      <c r="C1319" s="4">
        <v>240</v>
      </c>
      <c r="D1319" s="3">
        <v>2</v>
      </c>
      <c r="E1319" t="s">
        <v>888</v>
      </c>
      <c r="F1319" t="s">
        <v>891</v>
      </c>
      <c r="G1319" t="s">
        <v>887</v>
      </c>
      <c r="H1319" s="6">
        <f>_xlfn.XLOOKUP(A1319,Orders[OrderID],Orders[OrderDate])</f>
        <v>43125</v>
      </c>
      <c r="I1319" t="str">
        <f>_xlfn.XLOOKUP(A1319,Orders[OrderID],Orders[CustomerName])</f>
        <v>Manisha</v>
      </c>
      <c r="J1319" t="str">
        <f>_xlfn.XLOOKUP(A1319,Orders[OrderID],Orders[State])</f>
        <v>Rajasthan</v>
      </c>
      <c r="K1319" t="str">
        <f>_xlfn.XLOOKUP(A1319,Orders[OrderID],Orders[City])</f>
        <v>Udaipur</v>
      </c>
      <c r="L1319" s="3">
        <f>YEAR(Clean_Data[[#This Row],[OrderDate]])</f>
        <v>2018</v>
      </c>
      <c r="M1319" s="3">
        <f>MONTH(Clean_Data[[#This Row],[OrderDate]])</f>
        <v>1</v>
      </c>
      <c r="N1319" s="8" t="str">
        <f>TEXT(Clean_Data[[#This Row],[OrderDate]],"mmm")</f>
        <v>Jan</v>
      </c>
      <c r="O1319" s="8" t="str">
        <f>TEXT(Clean_Data[[#This Row],[OrderDate]], "yyyy-mm")</f>
        <v>2018-01</v>
      </c>
      <c r="P1319" s="7">
        <f>Clean_Data[[#This Row],[Profit]]/Clean_Data[[#This Row],[Revenue ]]</f>
        <v>0.36253776435045315</v>
      </c>
      <c r="Q1319" t="str">
        <f>"Q"&amp;ROUNDUP(MONTH(Clean_Data[[#This Row],[OrderDate]])/3,0)</f>
        <v>Q1</v>
      </c>
      <c r="R1319" t="str">
        <f>TEXT(Clean_Data[[#This Row],[OrderDate]], "dddd")</f>
        <v>Thursday</v>
      </c>
    </row>
    <row r="1320" spans="1:18" x14ac:dyDescent="0.25">
      <c r="A1320" t="s">
        <v>486</v>
      </c>
      <c r="B1320" s="4">
        <v>30</v>
      </c>
      <c r="C1320" s="4">
        <v>-23</v>
      </c>
      <c r="D1320" s="3">
        <v>2</v>
      </c>
      <c r="E1320" t="s">
        <v>895</v>
      </c>
      <c r="F1320" t="s">
        <v>897</v>
      </c>
      <c r="G1320" t="s">
        <v>898</v>
      </c>
      <c r="H1320" s="6">
        <f>_xlfn.XLOOKUP(A1320,Orders[OrderID],Orders[OrderDate])</f>
        <v>43330</v>
      </c>
      <c r="I1320" t="str">
        <f>_xlfn.XLOOKUP(A1320,Orders[OrderID],Orders[CustomerName])</f>
        <v>Akshay</v>
      </c>
      <c r="J1320" t="str">
        <f>_xlfn.XLOOKUP(A1320,Orders[OrderID],Orders[State])</f>
        <v>Bihar</v>
      </c>
      <c r="K1320" t="str">
        <f>_xlfn.XLOOKUP(A1320,Orders[OrderID],Orders[City])</f>
        <v>Patna</v>
      </c>
      <c r="L1320" s="3">
        <f>YEAR(Clean_Data[[#This Row],[OrderDate]])</f>
        <v>2018</v>
      </c>
      <c r="M1320" s="3">
        <f>MONTH(Clean_Data[[#This Row],[OrderDate]])</f>
        <v>8</v>
      </c>
      <c r="N1320" s="8" t="str">
        <f>TEXT(Clean_Data[[#This Row],[OrderDate]],"mmm")</f>
        <v>Aug</v>
      </c>
      <c r="O1320" s="8" t="str">
        <f>TEXT(Clean_Data[[#This Row],[OrderDate]], "yyyy-mm")</f>
        <v>2018-08</v>
      </c>
      <c r="P1320" s="7">
        <f>Clean_Data[[#This Row],[Profit]]/Clean_Data[[#This Row],[Revenue ]]</f>
        <v>-0.76666666666666672</v>
      </c>
      <c r="Q1320" t="str">
        <f>"Q"&amp;ROUNDUP(MONTH(Clean_Data[[#This Row],[OrderDate]])/3,0)</f>
        <v>Q3</v>
      </c>
      <c r="R1320" t="str">
        <f>TEXT(Clean_Data[[#This Row],[OrderDate]], "dddd")</f>
        <v>Saturday</v>
      </c>
    </row>
    <row r="1321" spans="1:18" x14ac:dyDescent="0.25">
      <c r="A1321" t="s">
        <v>112</v>
      </c>
      <c r="B1321" s="4">
        <v>29</v>
      </c>
      <c r="C1321" s="4">
        <v>9</v>
      </c>
      <c r="D1321" s="3">
        <v>3</v>
      </c>
      <c r="E1321" t="s">
        <v>895</v>
      </c>
      <c r="F1321" t="s">
        <v>897</v>
      </c>
      <c r="G1321" t="s">
        <v>898</v>
      </c>
      <c r="H1321" s="6">
        <f>_xlfn.XLOOKUP(A1321,Orders[OrderID],Orders[OrderDate])</f>
        <v>43180</v>
      </c>
      <c r="I1321" t="str">
        <f>_xlfn.XLOOKUP(A1321,Orders[OrderID],Orders[CustomerName])</f>
        <v>Pournamasi</v>
      </c>
      <c r="J1321" t="str">
        <f>_xlfn.XLOOKUP(A1321,Orders[OrderID],Orders[State])</f>
        <v>Madhya Pradesh</v>
      </c>
      <c r="K1321" t="str">
        <f>_xlfn.XLOOKUP(A1321,Orders[OrderID],Orders[City])</f>
        <v>Indore</v>
      </c>
      <c r="L1321" s="3">
        <f>YEAR(Clean_Data[[#This Row],[OrderDate]])</f>
        <v>2018</v>
      </c>
      <c r="M1321" s="3">
        <f>MONTH(Clean_Data[[#This Row],[OrderDate]])</f>
        <v>3</v>
      </c>
      <c r="N1321" s="8" t="str">
        <f>TEXT(Clean_Data[[#This Row],[OrderDate]],"mmm")</f>
        <v>Mar</v>
      </c>
      <c r="O1321" s="8" t="str">
        <f>TEXT(Clean_Data[[#This Row],[OrderDate]], "yyyy-mm")</f>
        <v>2018-03</v>
      </c>
      <c r="P1321" s="7">
        <f>Clean_Data[[#This Row],[Profit]]/Clean_Data[[#This Row],[Revenue ]]</f>
        <v>0.31034482758620691</v>
      </c>
      <c r="Q1321" t="str">
        <f>"Q"&amp;ROUNDUP(MONTH(Clean_Data[[#This Row],[OrderDate]])/3,0)</f>
        <v>Q1</v>
      </c>
      <c r="R1321" t="str">
        <f>TEXT(Clean_Data[[#This Row],[OrderDate]], "dddd")</f>
        <v>Wednesday</v>
      </c>
    </row>
    <row r="1322" spans="1:18" x14ac:dyDescent="0.25">
      <c r="A1322" t="s">
        <v>337</v>
      </c>
      <c r="B1322" s="4">
        <v>28</v>
      </c>
      <c r="C1322" s="4">
        <v>1</v>
      </c>
      <c r="D1322" s="3">
        <v>1</v>
      </c>
      <c r="E1322" t="s">
        <v>885</v>
      </c>
      <c r="F1322" t="s">
        <v>905</v>
      </c>
      <c r="G1322" t="s">
        <v>898</v>
      </c>
      <c r="H1322" s="6">
        <f>_xlfn.XLOOKUP(A1322,Orders[OrderID],Orders[OrderDate])</f>
        <v>43367</v>
      </c>
      <c r="I1322" t="str">
        <f>_xlfn.XLOOKUP(A1322,Orders[OrderID],Orders[CustomerName])</f>
        <v>Sukrith</v>
      </c>
      <c r="J1322" t="str">
        <f>_xlfn.XLOOKUP(A1322,Orders[OrderID],Orders[State])</f>
        <v>Maharashtra</v>
      </c>
      <c r="K1322" t="str">
        <f>_xlfn.XLOOKUP(A1322,Orders[OrderID],Orders[City])</f>
        <v>Mumbai</v>
      </c>
      <c r="L1322" s="3">
        <f>YEAR(Clean_Data[[#This Row],[OrderDate]])</f>
        <v>2018</v>
      </c>
      <c r="M1322" s="3">
        <f>MONTH(Clean_Data[[#This Row],[OrderDate]])</f>
        <v>9</v>
      </c>
      <c r="N1322" s="8" t="str">
        <f>TEXT(Clean_Data[[#This Row],[OrderDate]],"mmm")</f>
        <v>Sep</v>
      </c>
      <c r="O1322" s="8" t="str">
        <f>TEXT(Clean_Data[[#This Row],[OrderDate]], "yyyy-mm")</f>
        <v>2018-09</v>
      </c>
      <c r="P1322" s="7">
        <f>Clean_Data[[#This Row],[Profit]]/Clean_Data[[#This Row],[Revenue ]]</f>
        <v>3.5714285714285712E-2</v>
      </c>
      <c r="Q1322" t="str">
        <f>"Q"&amp;ROUNDUP(MONTH(Clean_Data[[#This Row],[OrderDate]])/3,0)</f>
        <v>Q3</v>
      </c>
      <c r="R1322" t="str">
        <f>TEXT(Clean_Data[[#This Row],[OrderDate]], "dddd")</f>
        <v>Monday</v>
      </c>
    </row>
    <row r="1323" spans="1:18" x14ac:dyDescent="0.25">
      <c r="A1323" t="s">
        <v>140</v>
      </c>
      <c r="B1323" s="4">
        <v>28</v>
      </c>
      <c r="C1323" s="4">
        <v>-3</v>
      </c>
      <c r="D1323" s="3">
        <v>2</v>
      </c>
      <c r="E1323" t="s">
        <v>895</v>
      </c>
      <c r="F1323" t="s">
        <v>897</v>
      </c>
      <c r="G1323" t="s">
        <v>898</v>
      </c>
      <c r="H1323" s="6">
        <f>_xlfn.XLOOKUP(A1323,Orders[OrderID],Orders[OrderDate])</f>
        <v>43228</v>
      </c>
      <c r="I1323" t="str">
        <f>_xlfn.XLOOKUP(A1323,Orders[OrderID],Orders[CustomerName])</f>
        <v>Farah</v>
      </c>
      <c r="J1323" t="str">
        <f>_xlfn.XLOOKUP(A1323,Orders[OrderID],Orders[State])</f>
        <v>Nagaland</v>
      </c>
      <c r="K1323" t="str">
        <f>_xlfn.XLOOKUP(A1323,Orders[OrderID],Orders[City])</f>
        <v>Kohima</v>
      </c>
      <c r="L1323" s="3">
        <f>YEAR(Clean_Data[[#This Row],[OrderDate]])</f>
        <v>2018</v>
      </c>
      <c r="M1323" s="3">
        <f>MONTH(Clean_Data[[#This Row],[OrderDate]])</f>
        <v>5</v>
      </c>
      <c r="N1323" s="8" t="str">
        <f>TEXT(Clean_Data[[#This Row],[OrderDate]],"mmm")</f>
        <v>May</v>
      </c>
      <c r="O1323" s="8" t="str">
        <f>TEXT(Clean_Data[[#This Row],[OrderDate]], "yyyy-mm")</f>
        <v>2018-05</v>
      </c>
      <c r="P1323" s="7">
        <f>Clean_Data[[#This Row],[Profit]]/Clean_Data[[#This Row],[Revenue ]]</f>
        <v>-0.10714285714285714</v>
      </c>
      <c r="Q1323" t="str">
        <f>"Q"&amp;ROUNDUP(MONTH(Clean_Data[[#This Row],[OrderDate]])/3,0)</f>
        <v>Q2</v>
      </c>
      <c r="R1323" t="str">
        <f>TEXT(Clean_Data[[#This Row],[OrderDate]], "dddd")</f>
        <v>Tuesday</v>
      </c>
    </row>
    <row r="1324" spans="1:18" x14ac:dyDescent="0.25">
      <c r="A1324" t="s">
        <v>847</v>
      </c>
      <c r="B1324" s="4">
        <v>24</v>
      </c>
      <c r="C1324" s="4">
        <v>2</v>
      </c>
      <c r="D1324" s="3">
        <v>4</v>
      </c>
      <c r="E1324" t="s">
        <v>895</v>
      </c>
      <c r="F1324" t="s">
        <v>899</v>
      </c>
      <c r="G1324" t="s">
        <v>887</v>
      </c>
      <c r="H1324" s="6">
        <f>_xlfn.XLOOKUP(A1324,Orders[OrderID],Orders[OrderDate])</f>
        <v>43432</v>
      </c>
      <c r="I1324" t="str">
        <f>_xlfn.XLOOKUP(A1324,Orders[OrderID],Orders[CustomerName])</f>
        <v>Sumeet</v>
      </c>
      <c r="J1324" t="str">
        <f>_xlfn.XLOOKUP(A1324,Orders[OrderID],Orders[State])</f>
        <v>Maharashtra</v>
      </c>
      <c r="K1324" t="str">
        <f>_xlfn.XLOOKUP(A1324,Orders[OrderID],Orders[City])</f>
        <v>Mumbai</v>
      </c>
      <c r="L1324" s="3">
        <f>YEAR(Clean_Data[[#This Row],[OrderDate]])</f>
        <v>2018</v>
      </c>
      <c r="M1324" s="3">
        <f>MONTH(Clean_Data[[#This Row],[OrderDate]])</f>
        <v>11</v>
      </c>
      <c r="N1324" s="8" t="str">
        <f>TEXT(Clean_Data[[#This Row],[OrderDate]],"mmm")</f>
        <v>Nov</v>
      </c>
      <c r="O1324" s="8" t="str">
        <f>TEXT(Clean_Data[[#This Row],[OrderDate]], "yyyy-mm")</f>
        <v>2018-11</v>
      </c>
      <c r="P1324" s="7">
        <f>Clean_Data[[#This Row],[Profit]]/Clean_Data[[#This Row],[Revenue ]]</f>
        <v>8.3333333333333329E-2</v>
      </c>
      <c r="Q1324" t="str">
        <f>"Q"&amp;ROUNDUP(MONTH(Clean_Data[[#This Row],[OrderDate]])/3,0)</f>
        <v>Q4</v>
      </c>
      <c r="R1324" t="str">
        <f>TEXT(Clean_Data[[#This Row],[OrderDate]], "dddd")</f>
        <v>Wednesday</v>
      </c>
    </row>
    <row r="1325" spans="1:18" x14ac:dyDescent="0.25">
      <c r="A1325" t="s">
        <v>224</v>
      </c>
      <c r="B1325" s="4">
        <v>28</v>
      </c>
      <c r="C1325" s="4">
        <v>-26</v>
      </c>
      <c r="D1325" s="3">
        <v>2</v>
      </c>
      <c r="E1325" t="s">
        <v>895</v>
      </c>
      <c r="F1325" t="s">
        <v>903</v>
      </c>
      <c r="G1325" t="s">
        <v>898</v>
      </c>
      <c r="H1325" s="6">
        <f>_xlfn.XLOOKUP(A1325,Orders[OrderID],Orders[OrderDate])</f>
        <v>43226</v>
      </c>
      <c r="I1325" t="str">
        <f>_xlfn.XLOOKUP(A1325,Orders[OrderID],Orders[CustomerName])</f>
        <v>Chirag</v>
      </c>
      <c r="J1325" t="str">
        <f>_xlfn.XLOOKUP(A1325,Orders[OrderID],Orders[State])</f>
        <v>Maharashtra</v>
      </c>
      <c r="K1325" t="str">
        <f>_xlfn.XLOOKUP(A1325,Orders[OrderID],Orders[City])</f>
        <v>Mumbai</v>
      </c>
      <c r="L1325" s="3">
        <f>YEAR(Clean_Data[[#This Row],[OrderDate]])</f>
        <v>2018</v>
      </c>
      <c r="M1325" s="3">
        <f>MONTH(Clean_Data[[#This Row],[OrderDate]])</f>
        <v>5</v>
      </c>
      <c r="N1325" s="8" t="str">
        <f>TEXT(Clean_Data[[#This Row],[OrderDate]],"mmm")</f>
        <v>May</v>
      </c>
      <c r="O1325" s="8" t="str">
        <f>TEXT(Clean_Data[[#This Row],[OrderDate]], "yyyy-mm")</f>
        <v>2018-05</v>
      </c>
      <c r="P1325" s="7">
        <f>Clean_Data[[#This Row],[Profit]]/Clean_Data[[#This Row],[Revenue ]]</f>
        <v>-0.9285714285714286</v>
      </c>
      <c r="Q1325" t="str">
        <f>"Q"&amp;ROUNDUP(MONTH(Clean_Data[[#This Row],[OrderDate]])/3,0)</f>
        <v>Q2</v>
      </c>
      <c r="R1325" t="str">
        <f>TEXT(Clean_Data[[#This Row],[OrderDate]], "dddd")</f>
        <v>Sunday</v>
      </c>
    </row>
    <row r="1326" spans="1:18" x14ac:dyDescent="0.25">
      <c r="A1326" t="s">
        <v>449</v>
      </c>
      <c r="B1326" s="4">
        <v>27</v>
      </c>
      <c r="C1326" s="4">
        <v>5</v>
      </c>
      <c r="D1326" s="3">
        <v>1</v>
      </c>
      <c r="E1326" t="s">
        <v>895</v>
      </c>
      <c r="F1326" t="s">
        <v>903</v>
      </c>
      <c r="G1326" t="s">
        <v>898</v>
      </c>
      <c r="H1326" s="6">
        <f>_xlfn.XLOOKUP(A1326,Orders[OrderID],Orders[OrderDate])</f>
        <v>43162</v>
      </c>
      <c r="I1326" t="str">
        <f>_xlfn.XLOOKUP(A1326,Orders[OrderID],Orders[CustomerName])</f>
        <v>Nidhi</v>
      </c>
      <c r="J1326" t="str">
        <f>_xlfn.XLOOKUP(A1326,Orders[OrderID],Orders[State])</f>
        <v>Nagaland</v>
      </c>
      <c r="K1326" t="str">
        <f>_xlfn.XLOOKUP(A1326,Orders[OrderID],Orders[City])</f>
        <v>Kohima</v>
      </c>
      <c r="L1326" s="3">
        <f>YEAR(Clean_Data[[#This Row],[OrderDate]])</f>
        <v>2018</v>
      </c>
      <c r="M1326" s="3">
        <f>MONTH(Clean_Data[[#This Row],[OrderDate]])</f>
        <v>3</v>
      </c>
      <c r="N1326" s="8" t="str">
        <f>TEXT(Clean_Data[[#This Row],[OrderDate]],"mmm")</f>
        <v>Mar</v>
      </c>
      <c r="O1326" s="8" t="str">
        <f>TEXT(Clean_Data[[#This Row],[OrderDate]], "yyyy-mm")</f>
        <v>2018-03</v>
      </c>
      <c r="P1326" s="7">
        <f>Clean_Data[[#This Row],[Profit]]/Clean_Data[[#This Row],[Revenue ]]</f>
        <v>0.18518518518518517</v>
      </c>
      <c r="Q1326" t="str">
        <f>"Q"&amp;ROUNDUP(MONTH(Clean_Data[[#This Row],[OrderDate]])/3,0)</f>
        <v>Q1</v>
      </c>
      <c r="R1326" t="str">
        <f>TEXT(Clean_Data[[#This Row],[OrderDate]], "dddd")</f>
        <v>Saturday</v>
      </c>
    </row>
    <row r="1327" spans="1:18" x14ac:dyDescent="0.25">
      <c r="A1327" t="s">
        <v>844</v>
      </c>
      <c r="B1327" s="4">
        <v>27</v>
      </c>
      <c r="C1327" s="4">
        <v>-15</v>
      </c>
      <c r="D1327" s="3">
        <v>1</v>
      </c>
      <c r="E1327" t="s">
        <v>895</v>
      </c>
      <c r="F1327" t="s">
        <v>903</v>
      </c>
      <c r="G1327" t="s">
        <v>898</v>
      </c>
      <c r="H1327" s="6">
        <f>_xlfn.XLOOKUP(A1327,Orders[OrderID],Orders[OrderDate])</f>
        <v>43248</v>
      </c>
      <c r="I1327" t="str">
        <f>_xlfn.XLOOKUP(A1327,Orders[OrderID],Orders[CustomerName])</f>
        <v>Akanksha</v>
      </c>
      <c r="J1327" t="str">
        <f>_xlfn.XLOOKUP(A1327,Orders[OrderID],Orders[State])</f>
        <v>Andhra Pradesh</v>
      </c>
      <c r="K1327" t="str">
        <f>_xlfn.XLOOKUP(A1327,Orders[OrderID],Orders[City])</f>
        <v>Hyderabad</v>
      </c>
      <c r="L1327" s="3">
        <f>YEAR(Clean_Data[[#This Row],[OrderDate]])</f>
        <v>2018</v>
      </c>
      <c r="M1327" s="3">
        <f>MONTH(Clean_Data[[#This Row],[OrderDate]])</f>
        <v>5</v>
      </c>
      <c r="N1327" s="8" t="str">
        <f>TEXT(Clean_Data[[#This Row],[OrderDate]],"mmm")</f>
        <v>May</v>
      </c>
      <c r="O1327" s="8" t="str">
        <f>TEXT(Clean_Data[[#This Row],[OrderDate]], "yyyy-mm")</f>
        <v>2018-05</v>
      </c>
      <c r="P1327" s="7">
        <f>Clean_Data[[#This Row],[Profit]]/Clean_Data[[#This Row],[Revenue ]]</f>
        <v>-0.55555555555555558</v>
      </c>
      <c r="Q1327" t="str">
        <f>"Q"&amp;ROUNDUP(MONTH(Clean_Data[[#This Row],[OrderDate]])/3,0)</f>
        <v>Q2</v>
      </c>
      <c r="R1327" t="str">
        <f>TEXT(Clean_Data[[#This Row],[OrderDate]], "dddd")</f>
        <v>Monday</v>
      </c>
    </row>
    <row r="1328" spans="1:18" x14ac:dyDescent="0.25">
      <c r="A1328" t="s">
        <v>623</v>
      </c>
      <c r="B1328" s="4">
        <v>24</v>
      </c>
      <c r="C1328" s="4">
        <v>11</v>
      </c>
      <c r="D1328" s="3">
        <v>3</v>
      </c>
      <c r="E1328" t="s">
        <v>895</v>
      </c>
      <c r="F1328" t="s">
        <v>899</v>
      </c>
      <c r="G1328" t="s">
        <v>887</v>
      </c>
      <c r="H1328" s="6">
        <f>_xlfn.XLOOKUP(A1328,Orders[OrderID],Orders[OrderDate])</f>
        <v>43113</v>
      </c>
      <c r="I1328" t="str">
        <f>_xlfn.XLOOKUP(A1328,Orders[OrderID],Orders[CustomerName])</f>
        <v>Shantanu</v>
      </c>
      <c r="J1328" t="str">
        <f>_xlfn.XLOOKUP(A1328,Orders[OrderID],Orders[State])</f>
        <v>Maharashtra</v>
      </c>
      <c r="K1328" t="str">
        <f>_xlfn.XLOOKUP(A1328,Orders[OrderID],Orders[City])</f>
        <v>Mumbai</v>
      </c>
      <c r="L1328" s="3">
        <f>YEAR(Clean_Data[[#This Row],[OrderDate]])</f>
        <v>2018</v>
      </c>
      <c r="M1328" s="3">
        <f>MONTH(Clean_Data[[#This Row],[OrderDate]])</f>
        <v>1</v>
      </c>
      <c r="N1328" s="8" t="str">
        <f>TEXT(Clean_Data[[#This Row],[OrderDate]],"mmm")</f>
        <v>Jan</v>
      </c>
      <c r="O1328" s="8" t="str">
        <f>TEXT(Clean_Data[[#This Row],[OrderDate]], "yyyy-mm")</f>
        <v>2018-01</v>
      </c>
      <c r="P1328" s="7">
        <f>Clean_Data[[#This Row],[Profit]]/Clean_Data[[#This Row],[Revenue ]]</f>
        <v>0.45833333333333331</v>
      </c>
      <c r="Q1328" t="str">
        <f>"Q"&amp;ROUNDUP(MONTH(Clean_Data[[#This Row],[OrderDate]])/3,0)</f>
        <v>Q1</v>
      </c>
      <c r="R1328" t="str">
        <f>TEXT(Clean_Data[[#This Row],[OrderDate]], "dddd")</f>
        <v>Saturday</v>
      </c>
    </row>
    <row r="1329" spans="1:18" x14ac:dyDescent="0.25">
      <c r="A1329" t="s">
        <v>808</v>
      </c>
      <c r="B1329" s="4">
        <v>23</v>
      </c>
      <c r="C1329" s="4">
        <v>-6</v>
      </c>
      <c r="D1329" s="3">
        <v>4</v>
      </c>
      <c r="E1329" t="s">
        <v>895</v>
      </c>
      <c r="F1329" t="s">
        <v>899</v>
      </c>
      <c r="G1329" t="s">
        <v>887</v>
      </c>
      <c r="H1329" s="6">
        <f>_xlfn.XLOOKUP(A1329,Orders[OrderID],Orders[OrderDate])</f>
        <v>43309</v>
      </c>
      <c r="I1329" t="str">
        <f>_xlfn.XLOOKUP(A1329,Orders[OrderID],Orders[CustomerName])</f>
        <v>Dhirajendu</v>
      </c>
      <c r="J1329" t="str">
        <f>_xlfn.XLOOKUP(A1329,Orders[OrderID],Orders[State])</f>
        <v>Maharashtra</v>
      </c>
      <c r="K1329" t="str">
        <f>_xlfn.XLOOKUP(A1329,Orders[OrderID],Orders[City])</f>
        <v>Mumbai</v>
      </c>
      <c r="L1329" s="3">
        <f>YEAR(Clean_Data[[#This Row],[OrderDate]])</f>
        <v>2018</v>
      </c>
      <c r="M1329" s="3">
        <f>MONTH(Clean_Data[[#This Row],[OrderDate]])</f>
        <v>7</v>
      </c>
      <c r="N1329" s="8" t="str">
        <f>TEXT(Clean_Data[[#This Row],[OrderDate]],"mmm")</f>
        <v>Jul</v>
      </c>
      <c r="O1329" s="8" t="str">
        <f>TEXT(Clean_Data[[#This Row],[OrderDate]], "yyyy-mm")</f>
        <v>2018-07</v>
      </c>
      <c r="P1329" s="7">
        <f>Clean_Data[[#This Row],[Profit]]/Clean_Data[[#This Row],[Revenue ]]</f>
        <v>-0.2608695652173913</v>
      </c>
      <c r="Q1329" t="str">
        <f>"Q"&amp;ROUNDUP(MONTH(Clean_Data[[#This Row],[OrderDate]])/3,0)</f>
        <v>Q3</v>
      </c>
      <c r="R1329" t="str">
        <f>TEXT(Clean_Data[[#This Row],[OrderDate]], "dddd")</f>
        <v>Saturday</v>
      </c>
    </row>
    <row r="1330" spans="1:18" x14ac:dyDescent="0.25">
      <c r="A1330" t="s">
        <v>152</v>
      </c>
      <c r="B1330" s="4">
        <v>322</v>
      </c>
      <c r="C1330" s="4">
        <v>193</v>
      </c>
      <c r="D1330" s="3">
        <v>5</v>
      </c>
      <c r="E1330" t="s">
        <v>885</v>
      </c>
      <c r="F1330" t="s">
        <v>892</v>
      </c>
      <c r="G1330" t="s">
        <v>887</v>
      </c>
      <c r="H1330" s="6">
        <f>_xlfn.XLOOKUP(A1330,Orders[OrderID],Orders[OrderDate])</f>
        <v>43273</v>
      </c>
      <c r="I1330" t="str">
        <f>_xlfn.XLOOKUP(A1330,Orders[OrderID],Orders[CustomerName])</f>
        <v>Vijay</v>
      </c>
      <c r="J1330" t="str">
        <f>_xlfn.XLOOKUP(A1330,Orders[OrderID],Orders[State])</f>
        <v>Jammu and Kashmir</v>
      </c>
      <c r="K1330" t="str">
        <f>_xlfn.XLOOKUP(A1330,Orders[OrderID],Orders[City])</f>
        <v>Kashmir</v>
      </c>
      <c r="L1330" s="3">
        <f>YEAR(Clean_Data[[#This Row],[OrderDate]])</f>
        <v>2018</v>
      </c>
      <c r="M1330" s="3">
        <f>MONTH(Clean_Data[[#This Row],[OrderDate]])</f>
        <v>6</v>
      </c>
      <c r="N1330" s="8" t="str">
        <f>TEXT(Clean_Data[[#This Row],[OrderDate]],"mmm")</f>
        <v>Jun</v>
      </c>
      <c r="O1330" s="8" t="str">
        <f>TEXT(Clean_Data[[#This Row],[OrderDate]], "yyyy-mm")</f>
        <v>2018-06</v>
      </c>
      <c r="P1330" s="7">
        <f>Clean_Data[[#This Row],[Profit]]/Clean_Data[[#This Row],[Revenue ]]</f>
        <v>0.59937888198757761</v>
      </c>
      <c r="Q1330" t="str">
        <f>"Q"&amp;ROUNDUP(MONTH(Clean_Data[[#This Row],[OrderDate]])/3,0)</f>
        <v>Q2</v>
      </c>
      <c r="R1330" t="str">
        <f>TEXT(Clean_Data[[#This Row],[OrderDate]], "dddd")</f>
        <v>Friday</v>
      </c>
    </row>
    <row r="1331" spans="1:18" x14ac:dyDescent="0.25">
      <c r="A1331" t="s">
        <v>308</v>
      </c>
      <c r="B1331" s="4">
        <v>688</v>
      </c>
      <c r="C1331" s="4">
        <v>-103</v>
      </c>
      <c r="D1331" s="3">
        <v>6</v>
      </c>
      <c r="E1331" t="s">
        <v>885</v>
      </c>
      <c r="F1331" t="s">
        <v>905</v>
      </c>
      <c r="G1331" t="s">
        <v>907</v>
      </c>
      <c r="H1331" s="6">
        <f>_xlfn.XLOOKUP(A1331,Orders[OrderID],Orders[OrderDate])</f>
        <v>43438</v>
      </c>
      <c r="I1331" t="str">
        <f>_xlfn.XLOOKUP(A1331,Orders[OrderID],Orders[CustomerName])</f>
        <v>Vrinda</v>
      </c>
      <c r="J1331" t="str">
        <f>_xlfn.XLOOKUP(A1331,Orders[OrderID],Orders[State])</f>
        <v>Uttar Pradesh</v>
      </c>
      <c r="K1331" t="str">
        <f>_xlfn.XLOOKUP(A1331,Orders[OrderID],Orders[City])</f>
        <v>Mathura</v>
      </c>
      <c r="L1331" s="3">
        <f>YEAR(Clean_Data[[#This Row],[OrderDate]])</f>
        <v>2018</v>
      </c>
      <c r="M1331" s="3">
        <f>MONTH(Clean_Data[[#This Row],[OrderDate]])</f>
        <v>12</v>
      </c>
      <c r="N1331" s="8" t="str">
        <f>TEXT(Clean_Data[[#This Row],[OrderDate]],"mmm")</f>
        <v>Dec</v>
      </c>
      <c r="O1331" s="8" t="str">
        <f>TEXT(Clean_Data[[#This Row],[OrderDate]], "yyyy-mm")</f>
        <v>2018-12</v>
      </c>
      <c r="P1331" s="7">
        <f>Clean_Data[[#This Row],[Profit]]/Clean_Data[[#This Row],[Revenue ]]</f>
        <v>-0.14970930232558138</v>
      </c>
      <c r="Q1331" t="str">
        <f>"Q"&amp;ROUNDUP(MONTH(Clean_Data[[#This Row],[OrderDate]])/3,0)</f>
        <v>Q4</v>
      </c>
      <c r="R1331" t="str">
        <f>TEXT(Clean_Data[[#This Row],[OrderDate]], "dddd")</f>
        <v>Tuesday</v>
      </c>
    </row>
    <row r="1332" spans="1:18" x14ac:dyDescent="0.25">
      <c r="A1332" t="s">
        <v>333</v>
      </c>
      <c r="B1332" s="4">
        <v>23</v>
      </c>
      <c r="C1332" s="4">
        <v>-3</v>
      </c>
      <c r="D1332" s="3">
        <v>1</v>
      </c>
      <c r="E1332" t="s">
        <v>895</v>
      </c>
      <c r="F1332" t="s">
        <v>909</v>
      </c>
      <c r="G1332" t="s">
        <v>887</v>
      </c>
      <c r="H1332" s="6">
        <f>_xlfn.XLOOKUP(A1332,Orders[OrderID],Orders[OrderDate])</f>
        <v>43378</v>
      </c>
      <c r="I1332" t="str">
        <f>_xlfn.XLOOKUP(A1332,Orders[OrderID],Orders[CustomerName])</f>
        <v>Yash</v>
      </c>
      <c r="J1332" t="str">
        <f>_xlfn.XLOOKUP(A1332,Orders[OrderID],Orders[State])</f>
        <v>Maharashtra</v>
      </c>
      <c r="K1332" t="str">
        <f>_xlfn.XLOOKUP(A1332,Orders[OrderID],Orders[City])</f>
        <v>Mumbai</v>
      </c>
      <c r="L1332" s="3">
        <f>YEAR(Clean_Data[[#This Row],[OrderDate]])</f>
        <v>2018</v>
      </c>
      <c r="M1332" s="3">
        <f>MONTH(Clean_Data[[#This Row],[OrderDate]])</f>
        <v>10</v>
      </c>
      <c r="N1332" s="8" t="str">
        <f>TEXT(Clean_Data[[#This Row],[OrderDate]],"mmm")</f>
        <v>Oct</v>
      </c>
      <c r="O1332" s="8" t="str">
        <f>TEXT(Clean_Data[[#This Row],[OrderDate]], "yyyy-mm")</f>
        <v>2018-10</v>
      </c>
      <c r="P1332" s="7">
        <f>Clean_Data[[#This Row],[Profit]]/Clean_Data[[#This Row],[Revenue ]]</f>
        <v>-0.13043478260869565</v>
      </c>
      <c r="Q1332" t="str">
        <f>"Q"&amp;ROUNDUP(MONTH(Clean_Data[[#This Row],[OrderDate]])/3,0)</f>
        <v>Q4</v>
      </c>
      <c r="R1332" t="str">
        <f>TEXT(Clean_Data[[#This Row],[OrderDate]], "dddd")</f>
        <v>Friday</v>
      </c>
    </row>
    <row r="1333" spans="1:18" x14ac:dyDescent="0.25">
      <c r="A1333" t="s">
        <v>417</v>
      </c>
      <c r="B1333" s="4">
        <v>26</v>
      </c>
      <c r="C1333" s="4">
        <v>3</v>
      </c>
      <c r="D1333" s="3">
        <v>3</v>
      </c>
      <c r="E1333" t="s">
        <v>895</v>
      </c>
      <c r="F1333" t="s">
        <v>901</v>
      </c>
      <c r="G1333" t="s">
        <v>898</v>
      </c>
      <c r="H1333" s="6">
        <f>_xlfn.XLOOKUP(A1333,Orders[OrderID],Orders[OrderDate])</f>
        <v>43118</v>
      </c>
      <c r="I1333" t="str">
        <f>_xlfn.XLOOKUP(A1333,Orders[OrderID],Orders[CustomerName])</f>
        <v>Surbhi</v>
      </c>
      <c r="J1333" t="str">
        <f>_xlfn.XLOOKUP(A1333,Orders[OrderID],Orders[State])</f>
        <v>Gujarat</v>
      </c>
      <c r="K1333" t="str">
        <f>_xlfn.XLOOKUP(A1333,Orders[OrderID],Orders[City])</f>
        <v>Ahmedabad</v>
      </c>
      <c r="L1333" s="3">
        <f>YEAR(Clean_Data[[#This Row],[OrderDate]])</f>
        <v>2018</v>
      </c>
      <c r="M1333" s="3">
        <f>MONTH(Clean_Data[[#This Row],[OrderDate]])</f>
        <v>1</v>
      </c>
      <c r="N1333" s="8" t="str">
        <f>TEXT(Clean_Data[[#This Row],[OrderDate]],"mmm")</f>
        <v>Jan</v>
      </c>
      <c r="O1333" s="8" t="str">
        <f>TEXT(Clean_Data[[#This Row],[OrderDate]], "yyyy-mm")</f>
        <v>2018-01</v>
      </c>
      <c r="P1333" s="7">
        <f>Clean_Data[[#This Row],[Profit]]/Clean_Data[[#This Row],[Revenue ]]</f>
        <v>0.11538461538461539</v>
      </c>
      <c r="Q1333" t="str">
        <f>"Q"&amp;ROUNDUP(MONTH(Clean_Data[[#This Row],[OrderDate]])/3,0)</f>
        <v>Q1</v>
      </c>
      <c r="R1333" t="str">
        <f>TEXT(Clean_Data[[#This Row],[OrderDate]], "dddd")</f>
        <v>Thursday</v>
      </c>
    </row>
    <row r="1334" spans="1:18" x14ac:dyDescent="0.25">
      <c r="A1334" t="s">
        <v>373</v>
      </c>
      <c r="B1334" s="4">
        <v>68</v>
      </c>
      <c r="C1334" s="4">
        <v>-56</v>
      </c>
      <c r="D1334" s="3">
        <v>2</v>
      </c>
      <c r="E1334" t="s">
        <v>885</v>
      </c>
      <c r="F1334" t="s">
        <v>894</v>
      </c>
      <c r="G1334" t="s">
        <v>887</v>
      </c>
      <c r="H1334" s="6">
        <f>_xlfn.XLOOKUP(A1334,Orders[OrderID],Orders[OrderDate])</f>
        <v>43326</v>
      </c>
      <c r="I1334" t="str">
        <f>_xlfn.XLOOKUP(A1334,Orders[OrderID],Orders[CustomerName])</f>
        <v>Nishant</v>
      </c>
      <c r="J1334" t="str">
        <f>_xlfn.XLOOKUP(A1334,Orders[OrderID],Orders[State])</f>
        <v>Maharashtra</v>
      </c>
      <c r="K1334" t="str">
        <f>_xlfn.XLOOKUP(A1334,Orders[OrderID],Orders[City])</f>
        <v>Mumbai</v>
      </c>
      <c r="L1334" s="3">
        <f>YEAR(Clean_Data[[#This Row],[OrderDate]])</f>
        <v>2018</v>
      </c>
      <c r="M1334" s="3">
        <f>MONTH(Clean_Data[[#This Row],[OrderDate]])</f>
        <v>8</v>
      </c>
      <c r="N1334" s="8" t="str">
        <f>TEXT(Clean_Data[[#This Row],[OrderDate]],"mmm")</f>
        <v>Aug</v>
      </c>
      <c r="O1334" s="8" t="str">
        <f>TEXT(Clean_Data[[#This Row],[OrderDate]], "yyyy-mm")</f>
        <v>2018-08</v>
      </c>
      <c r="P1334" s="7">
        <f>Clean_Data[[#This Row],[Profit]]/Clean_Data[[#This Row],[Revenue ]]</f>
        <v>-0.82352941176470584</v>
      </c>
      <c r="Q1334" t="str">
        <f>"Q"&amp;ROUNDUP(MONTH(Clean_Data[[#This Row],[OrderDate]])/3,0)</f>
        <v>Q3</v>
      </c>
      <c r="R1334" t="str">
        <f>TEXT(Clean_Data[[#This Row],[OrderDate]], "dddd")</f>
        <v>Tuesday</v>
      </c>
    </row>
    <row r="1335" spans="1:18" x14ac:dyDescent="0.25">
      <c r="A1335" t="s">
        <v>407</v>
      </c>
      <c r="B1335" s="4">
        <v>462</v>
      </c>
      <c r="C1335" s="4">
        <v>169</v>
      </c>
      <c r="D1335" s="3">
        <v>4</v>
      </c>
      <c r="E1335" t="s">
        <v>895</v>
      </c>
      <c r="F1335" t="s">
        <v>897</v>
      </c>
      <c r="G1335" t="s">
        <v>887</v>
      </c>
      <c r="H1335" s="6">
        <f>_xlfn.XLOOKUP(A1335,Orders[OrderID],Orders[OrderDate])</f>
        <v>43383</v>
      </c>
      <c r="I1335" t="str">
        <f>_xlfn.XLOOKUP(A1335,Orders[OrderID],Orders[CustomerName])</f>
        <v>Swapnil</v>
      </c>
      <c r="J1335" t="str">
        <f>_xlfn.XLOOKUP(A1335,Orders[OrderID],Orders[State])</f>
        <v>Madhya Pradesh</v>
      </c>
      <c r="K1335" t="str">
        <f>_xlfn.XLOOKUP(A1335,Orders[OrderID],Orders[City])</f>
        <v>Indore</v>
      </c>
      <c r="L1335" s="3">
        <f>YEAR(Clean_Data[[#This Row],[OrderDate]])</f>
        <v>2018</v>
      </c>
      <c r="M1335" s="3">
        <f>MONTH(Clean_Data[[#This Row],[OrderDate]])</f>
        <v>10</v>
      </c>
      <c r="N1335" s="8" t="str">
        <f>TEXT(Clean_Data[[#This Row],[OrderDate]],"mmm")</f>
        <v>Oct</v>
      </c>
      <c r="O1335" s="8" t="str">
        <f>TEXT(Clean_Data[[#This Row],[OrderDate]], "yyyy-mm")</f>
        <v>2018-10</v>
      </c>
      <c r="P1335" s="7">
        <f>Clean_Data[[#This Row],[Profit]]/Clean_Data[[#This Row],[Revenue ]]</f>
        <v>0.36580086580086579</v>
      </c>
      <c r="Q1335" t="str">
        <f>"Q"&amp;ROUNDUP(MONTH(Clean_Data[[#This Row],[OrderDate]])/3,0)</f>
        <v>Q4</v>
      </c>
      <c r="R1335" t="str">
        <f>TEXT(Clean_Data[[#This Row],[OrderDate]], "dddd")</f>
        <v>Wednesday</v>
      </c>
    </row>
    <row r="1336" spans="1:18" x14ac:dyDescent="0.25">
      <c r="A1336" t="s">
        <v>217</v>
      </c>
      <c r="B1336" s="4">
        <v>941</v>
      </c>
      <c r="C1336" s="4">
        <v>203</v>
      </c>
      <c r="D1336" s="3">
        <v>3</v>
      </c>
      <c r="E1336" t="s">
        <v>888</v>
      </c>
      <c r="F1336" t="s">
        <v>902</v>
      </c>
      <c r="G1336" t="s">
        <v>898</v>
      </c>
      <c r="H1336" s="6">
        <f>_xlfn.XLOOKUP(A1336,Orders[OrderID],Orders[OrderDate])</f>
        <v>43278</v>
      </c>
      <c r="I1336" t="str">
        <f>_xlfn.XLOOKUP(A1336,Orders[OrderID],Orders[CustomerName])</f>
        <v>Shaily</v>
      </c>
      <c r="J1336" t="str">
        <f>_xlfn.XLOOKUP(A1336,Orders[OrderID],Orders[State])</f>
        <v>Maharashtra</v>
      </c>
      <c r="K1336" t="str">
        <f>_xlfn.XLOOKUP(A1336,Orders[OrderID],Orders[City])</f>
        <v>Mumbai</v>
      </c>
      <c r="L1336" s="3">
        <f>YEAR(Clean_Data[[#This Row],[OrderDate]])</f>
        <v>2018</v>
      </c>
      <c r="M1336" s="3">
        <f>MONTH(Clean_Data[[#This Row],[OrderDate]])</f>
        <v>6</v>
      </c>
      <c r="N1336" s="8" t="str">
        <f>TEXT(Clean_Data[[#This Row],[OrderDate]],"mmm")</f>
        <v>Jun</v>
      </c>
      <c r="O1336" s="8" t="str">
        <f>TEXT(Clean_Data[[#This Row],[OrderDate]], "yyyy-mm")</f>
        <v>2018-06</v>
      </c>
      <c r="P1336" s="7">
        <f>Clean_Data[[#This Row],[Profit]]/Clean_Data[[#This Row],[Revenue ]]</f>
        <v>0.21572794899043571</v>
      </c>
      <c r="Q1336" t="str">
        <f>"Q"&amp;ROUNDUP(MONTH(Clean_Data[[#This Row],[OrderDate]])/3,0)</f>
        <v>Q2</v>
      </c>
      <c r="R1336" t="str">
        <f>TEXT(Clean_Data[[#This Row],[OrderDate]], "dddd")</f>
        <v>Wednesday</v>
      </c>
    </row>
    <row r="1337" spans="1:18" x14ac:dyDescent="0.25">
      <c r="A1337" t="s">
        <v>507</v>
      </c>
      <c r="B1337" s="4">
        <v>23</v>
      </c>
      <c r="C1337" s="4">
        <v>4</v>
      </c>
      <c r="D1337" s="3">
        <v>2</v>
      </c>
      <c r="E1337" t="s">
        <v>895</v>
      </c>
      <c r="F1337" t="s">
        <v>901</v>
      </c>
      <c r="G1337" t="s">
        <v>887</v>
      </c>
      <c r="H1337" s="6">
        <f>_xlfn.XLOOKUP(A1337,Orders[OrderID],Orders[OrderDate])</f>
        <v>43439</v>
      </c>
      <c r="I1337" t="str">
        <f>_xlfn.XLOOKUP(A1337,Orders[OrderID],Orders[CustomerName])</f>
        <v>Aman</v>
      </c>
      <c r="J1337" t="str">
        <f>_xlfn.XLOOKUP(A1337,Orders[OrderID],Orders[State])</f>
        <v>Maharashtra</v>
      </c>
      <c r="K1337" t="str">
        <f>_xlfn.XLOOKUP(A1337,Orders[OrderID],Orders[City])</f>
        <v>Mumbai</v>
      </c>
      <c r="L1337" s="3">
        <f>YEAR(Clean_Data[[#This Row],[OrderDate]])</f>
        <v>2018</v>
      </c>
      <c r="M1337" s="3">
        <f>MONTH(Clean_Data[[#This Row],[OrderDate]])</f>
        <v>12</v>
      </c>
      <c r="N1337" s="8" t="str">
        <f>TEXT(Clean_Data[[#This Row],[OrderDate]],"mmm")</f>
        <v>Dec</v>
      </c>
      <c r="O1337" s="8" t="str">
        <f>TEXT(Clean_Data[[#This Row],[OrderDate]], "yyyy-mm")</f>
        <v>2018-12</v>
      </c>
      <c r="P1337" s="7">
        <f>Clean_Data[[#This Row],[Profit]]/Clean_Data[[#This Row],[Revenue ]]</f>
        <v>0.17391304347826086</v>
      </c>
      <c r="Q1337" t="str">
        <f>"Q"&amp;ROUNDUP(MONTH(Clean_Data[[#This Row],[OrderDate]])/3,0)</f>
        <v>Q4</v>
      </c>
      <c r="R1337" t="str">
        <f>TEXT(Clean_Data[[#This Row],[OrderDate]], "dddd")</f>
        <v>Wednesday</v>
      </c>
    </row>
    <row r="1338" spans="1:18" x14ac:dyDescent="0.25">
      <c r="A1338" t="s">
        <v>36</v>
      </c>
      <c r="B1338" s="4">
        <v>720</v>
      </c>
      <c r="C1338" s="4">
        <v>43</v>
      </c>
      <c r="D1338" s="3">
        <v>2</v>
      </c>
      <c r="E1338" t="s">
        <v>885</v>
      </c>
      <c r="F1338" t="s">
        <v>892</v>
      </c>
      <c r="G1338" t="s">
        <v>898</v>
      </c>
      <c r="H1338" s="6">
        <f>_xlfn.XLOOKUP(A1338,Orders[OrderID],Orders[OrderDate])</f>
        <v>43121</v>
      </c>
      <c r="I1338" t="str">
        <f>_xlfn.XLOOKUP(A1338,Orders[OrderID],Orders[CustomerName])</f>
        <v>Shreyshi</v>
      </c>
      <c r="J1338" t="str">
        <f>_xlfn.XLOOKUP(A1338,Orders[OrderID],Orders[State])</f>
        <v>Gujarat</v>
      </c>
      <c r="K1338" t="str">
        <f>_xlfn.XLOOKUP(A1338,Orders[OrderID],Orders[City])</f>
        <v>Surat</v>
      </c>
      <c r="L1338" s="3">
        <f>YEAR(Clean_Data[[#This Row],[OrderDate]])</f>
        <v>2018</v>
      </c>
      <c r="M1338" s="3">
        <f>MONTH(Clean_Data[[#This Row],[OrderDate]])</f>
        <v>1</v>
      </c>
      <c r="N1338" s="8" t="str">
        <f>TEXT(Clean_Data[[#This Row],[OrderDate]],"mmm")</f>
        <v>Jan</v>
      </c>
      <c r="O1338" s="8" t="str">
        <f>TEXT(Clean_Data[[#This Row],[OrderDate]], "yyyy-mm")</f>
        <v>2018-01</v>
      </c>
      <c r="P1338" s="7">
        <f>Clean_Data[[#This Row],[Profit]]/Clean_Data[[#This Row],[Revenue ]]</f>
        <v>5.9722222222222225E-2</v>
      </c>
      <c r="Q1338" t="str">
        <f>"Q"&amp;ROUNDUP(MONTH(Clean_Data[[#This Row],[OrderDate]])/3,0)</f>
        <v>Q1</v>
      </c>
      <c r="R1338" t="str">
        <f>TEXT(Clean_Data[[#This Row],[OrderDate]], "dddd")</f>
        <v>Sunday</v>
      </c>
    </row>
    <row r="1339" spans="1:18" x14ac:dyDescent="0.25">
      <c r="A1339" t="s">
        <v>114</v>
      </c>
      <c r="B1339" s="4">
        <v>724</v>
      </c>
      <c r="C1339" s="4">
        <v>-447</v>
      </c>
      <c r="D1339" s="3">
        <v>4</v>
      </c>
      <c r="E1339" t="s">
        <v>885</v>
      </c>
      <c r="F1339" t="s">
        <v>886</v>
      </c>
      <c r="G1339" t="s">
        <v>898</v>
      </c>
      <c r="H1339" s="6">
        <f>_xlfn.XLOOKUP(A1339,Orders[OrderID],Orders[OrderDate])</f>
        <v>43354</v>
      </c>
      <c r="I1339" t="str">
        <f>_xlfn.XLOOKUP(A1339,Orders[OrderID],Orders[CustomerName])</f>
        <v>Surabhi</v>
      </c>
      <c r="J1339" t="str">
        <f>_xlfn.XLOOKUP(A1339,Orders[OrderID],Orders[State])</f>
        <v>Maharashtra</v>
      </c>
      <c r="K1339" t="str">
        <f>_xlfn.XLOOKUP(A1339,Orders[OrderID],Orders[City])</f>
        <v>Mumbai</v>
      </c>
      <c r="L1339" s="3">
        <f>YEAR(Clean_Data[[#This Row],[OrderDate]])</f>
        <v>2018</v>
      </c>
      <c r="M1339" s="3">
        <f>MONTH(Clean_Data[[#This Row],[OrderDate]])</f>
        <v>9</v>
      </c>
      <c r="N1339" s="8" t="str">
        <f>TEXT(Clean_Data[[#This Row],[OrderDate]],"mmm")</f>
        <v>Sep</v>
      </c>
      <c r="O1339" s="8" t="str">
        <f>TEXT(Clean_Data[[#This Row],[OrderDate]], "yyyy-mm")</f>
        <v>2018-09</v>
      </c>
      <c r="P1339" s="7">
        <f>Clean_Data[[#This Row],[Profit]]/Clean_Data[[#This Row],[Revenue ]]</f>
        <v>-0.61740331491712708</v>
      </c>
      <c r="Q1339" t="str">
        <f>"Q"&amp;ROUNDUP(MONTH(Clean_Data[[#This Row],[OrderDate]])/3,0)</f>
        <v>Q3</v>
      </c>
      <c r="R1339" t="str">
        <f>TEXT(Clean_Data[[#This Row],[OrderDate]], "dddd")</f>
        <v>Tuesday</v>
      </c>
    </row>
    <row r="1340" spans="1:18" x14ac:dyDescent="0.25">
      <c r="A1340" t="s">
        <v>296</v>
      </c>
      <c r="B1340" s="4">
        <v>724</v>
      </c>
      <c r="C1340" s="4">
        <v>253</v>
      </c>
      <c r="D1340" s="3">
        <v>2</v>
      </c>
      <c r="E1340" t="s">
        <v>888</v>
      </c>
      <c r="F1340" t="s">
        <v>891</v>
      </c>
      <c r="G1340" t="s">
        <v>898</v>
      </c>
      <c r="H1340" s="6">
        <f>_xlfn.XLOOKUP(A1340,Orders[OrderID],Orders[OrderDate])</f>
        <v>43418</v>
      </c>
      <c r="I1340" t="str">
        <f>_xlfn.XLOOKUP(A1340,Orders[OrderID],Orders[CustomerName])</f>
        <v>Chikku</v>
      </c>
      <c r="J1340" t="str">
        <f>_xlfn.XLOOKUP(A1340,Orders[OrderID],Orders[State])</f>
        <v>Madhya Pradesh</v>
      </c>
      <c r="K1340" t="str">
        <f>_xlfn.XLOOKUP(A1340,Orders[OrderID],Orders[City])</f>
        <v>Indore</v>
      </c>
      <c r="L1340" s="3">
        <f>YEAR(Clean_Data[[#This Row],[OrderDate]])</f>
        <v>2018</v>
      </c>
      <c r="M1340" s="3">
        <f>MONTH(Clean_Data[[#This Row],[OrderDate]])</f>
        <v>11</v>
      </c>
      <c r="N1340" s="8" t="str">
        <f>TEXT(Clean_Data[[#This Row],[OrderDate]],"mmm")</f>
        <v>Nov</v>
      </c>
      <c r="O1340" s="8" t="str">
        <f>TEXT(Clean_Data[[#This Row],[OrderDate]], "yyyy-mm")</f>
        <v>2018-11</v>
      </c>
      <c r="P1340" s="7">
        <f>Clean_Data[[#This Row],[Profit]]/Clean_Data[[#This Row],[Revenue ]]</f>
        <v>0.34944751381215472</v>
      </c>
      <c r="Q1340" t="str">
        <f>"Q"&amp;ROUNDUP(MONTH(Clean_Data[[#This Row],[OrderDate]])/3,0)</f>
        <v>Q4</v>
      </c>
      <c r="R1340" t="str">
        <f>TEXT(Clean_Data[[#This Row],[OrderDate]], "dddd")</f>
        <v>Wednesday</v>
      </c>
    </row>
    <row r="1341" spans="1:18" x14ac:dyDescent="0.25">
      <c r="A1341" t="s">
        <v>187</v>
      </c>
      <c r="B1341" s="4">
        <v>26</v>
      </c>
      <c r="C1341" s="4">
        <v>10</v>
      </c>
      <c r="D1341" s="3">
        <v>4</v>
      </c>
      <c r="E1341" t="s">
        <v>895</v>
      </c>
      <c r="F1341" t="s">
        <v>899</v>
      </c>
      <c r="G1341" t="s">
        <v>898</v>
      </c>
      <c r="H1341" s="6">
        <f>_xlfn.XLOOKUP(A1341,Orders[OrderID],Orders[OrderDate])</f>
        <v>43383</v>
      </c>
      <c r="I1341" t="str">
        <f>_xlfn.XLOOKUP(A1341,Orders[OrderID],Orders[CustomerName])</f>
        <v>Nripraj</v>
      </c>
      <c r="J1341" t="str">
        <f>_xlfn.XLOOKUP(A1341,Orders[OrderID],Orders[State])</f>
        <v>Punjab</v>
      </c>
      <c r="K1341" t="str">
        <f>_xlfn.XLOOKUP(A1341,Orders[OrderID],Orders[City])</f>
        <v>Chandigarh</v>
      </c>
      <c r="L1341" s="3">
        <f>YEAR(Clean_Data[[#This Row],[OrderDate]])</f>
        <v>2018</v>
      </c>
      <c r="M1341" s="3">
        <f>MONTH(Clean_Data[[#This Row],[OrderDate]])</f>
        <v>10</v>
      </c>
      <c r="N1341" s="8" t="str">
        <f>TEXT(Clean_Data[[#This Row],[OrderDate]],"mmm")</f>
        <v>Oct</v>
      </c>
      <c r="O1341" s="8" t="str">
        <f>TEXT(Clean_Data[[#This Row],[OrderDate]], "yyyy-mm")</f>
        <v>2018-10</v>
      </c>
      <c r="P1341" s="7">
        <f>Clean_Data[[#This Row],[Profit]]/Clean_Data[[#This Row],[Revenue ]]</f>
        <v>0.38461538461538464</v>
      </c>
      <c r="Q1341" t="str">
        <f>"Q"&amp;ROUNDUP(MONTH(Clean_Data[[#This Row],[OrderDate]])/3,0)</f>
        <v>Q4</v>
      </c>
      <c r="R1341" t="str">
        <f>TEXT(Clean_Data[[#This Row],[OrderDate]], "dddd")</f>
        <v>Wednesday</v>
      </c>
    </row>
    <row r="1342" spans="1:18" x14ac:dyDescent="0.25">
      <c r="A1342" t="s">
        <v>689</v>
      </c>
      <c r="B1342" s="4">
        <v>22</v>
      </c>
      <c r="C1342" s="4">
        <v>-2</v>
      </c>
      <c r="D1342" s="3">
        <v>3</v>
      </c>
      <c r="E1342" t="s">
        <v>895</v>
      </c>
      <c r="F1342" t="s">
        <v>899</v>
      </c>
      <c r="G1342" t="s">
        <v>887</v>
      </c>
      <c r="H1342" s="6">
        <f>_xlfn.XLOOKUP(A1342,Orders[OrderID],Orders[OrderDate])</f>
        <v>43205</v>
      </c>
      <c r="I1342" t="str">
        <f>_xlfn.XLOOKUP(A1342,Orders[OrderID],Orders[CustomerName])</f>
        <v>Kanak</v>
      </c>
      <c r="J1342" t="str">
        <f>_xlfn.XLOOKUP(A1342,Orders[OrderID],Orders[State])</f>
        <v>Goa</v>
      </c>
      <c r="K1342" t="str">
        <f>_xlfn.XLOOKUP(A1342,Orders[OrderID],Orders[City])</f>
        <v>Goa</v>
      </c>
      <c r="L1342" s="3">
        <f>YEAR(Clean_Data[[#This Row],[OrderDate]])</f>
        <v>2018</v>
      </c>
      <c r="M1342" s="3">
        <f>MONTH(Clean_Data[[#This Row],[OrderDate]])</f>
        <v>4</v>
      </c>
      <c r="N1342" s="8" t="str">
        <f>TEXT(Clean_Data[[#This Row],[OrderDate]],"mmm")</f>
        <v>Apr</v>
      </c>
      <c r="O1342" s="8" t="str">
        <f>TEXT(Clean_Data[[#This Row],[OrderDate]], "yyyy-mm")</f>
        <v>2018-04</v>
      </c>
      <c r="P1342" s="7">
        <f>Clean_Data[[#This Row],[Profit]]/Clean_Data[[#This Row],[Revenue ]]</f>
        <v>-9.0909090909090912E-2</v>
      </c>
      <c r="Q1342" t="str">
        <f>"Q"&amp;ROUNDUP(MONTH(Clean_Data[[#This Row],[OrderDate]])/3,0)</f>
        <v>Q2</v>
      </c>
      <c r="R1342" t="str">
        <f>TEXT(Clean_Data[[#This Row],[OrderDate]], "dddd")</f>
        <v>Sunday</v>
      </c>
    </row>
    <row r="1343" spans="1:18" x14ac:dyDescent="0.25">
      <c r="A1343" t="s">
        <v>300</v>
      </c>
      <c r="B1343" s="4">
        <v>711</v>
      </c>
      <c r="C1343" s="4">
        <v>-8</v>
      </c>
      <c r="D1343" s="3">
        <v>4</v>
      </c>
      <c r="E1343" t="s">
        <v>895</v>
      </c>
      <c r="F1343" t="s">
        <v>897</v>
      </c>
      <c r="G1343" t="s">
        <v>907</v>
      </c>
      <c r="H1343" s="6">
        <f>_xlfn.XLOOKUP(A1343,Orders[OrderID],Orders[OrderDate])</f>
        <v>43216</v>
      </c>
      <c r="I1343" t="str">
        <f>_xlfn.XLOOKUP(A1343,Orders[OrderID],Orders[CustomerName])</f>
        <v>Amit</v>
      </c>
      <c r="J1343" t="str">
        <f>_xlfn.XLOOKUP(A1343,Orders[OrderID],Orders[State])</f>
        <v>Sikkim</v>
      </c>
      <c r="K1343" t="str">
        <f>_xlfn.XLOOKUP(A1343,Orders[OrderID],Orders[City])</f>
        <v>Gangtok</v>
      </c>
      <c r="L1343" s="3">
        <f>YEAR(Clean_Data[[#This Row],[OrderDate]])</f>
        <v>2018</v>
      </c>
      <c r="M1343" s="3">
        <f>MONTH(Clean_Data[[#This Row],[OrderDate]])</f>
        <v>4</v>
      </c>
      <c r="N1343" s="8" t="str">
        <f>TEXT(Clean_Data[[#This Row],[OrderDate]],"mmm")</f>
        <v>Apr</v>
      </c>
      <c r="O1343" s="8" t="str">
        <f>TEXT(Clean_Data[[#This Row],[OrderDate]], "yyyy-mm")</f>
        <v>2018-04</v>
      </c>
      <c r="P1343" s="7">
        <f>Clean_Data[[#This Row],[Profit]]/Clean_Data[[#This Row],[Revenue ]]</f>
        <v>-1.1251758087201125E-2</v>
      </c>
      <c r="Q1343" t="str">
        <f>"Q"&amp;ROUNDUP(MONTH(Clean_Data[[#This Row],[OrderDate]])/3,0)</f>
        <v>Q2</v>
      </c>
      <c r="R1343" t="str">
        <f>TEXT(Clean_Data[[#This Row],[OrderDate]], "dddd")</f>
        <v>Thursday</v>
      </c>
    </row>
    <row r="1344" spans="1:18" x14ac:dyDescent="0.25">
      <c r="A1344" t="s">
        <v>212</v>
      </c>
      <c r="B1344" s="4">
        <v>107</v>
      </c>
      <c r="C1344" s="4">
        <v>31</v>
      </c>
      <c r="D1344" s="3">
        <v>5</v>
      </c>
      <c r="E1344" t="s">
        <v>895</v>
      </c>
      <c r="F1344" t="s">
        <v>906</v>
      </c>
      <c r="G1344" t="s">
        <v>887</v>
      </c>
      <c r="H1344" s="6">
        <f>_xlfn.XLOOKUP(A1344,Orders[OrderID],Orders[OrderDate])</f>
        <v>43329</v>
      </c>
      <c r="I1344" t="str">
        <f>_xlfn.XLOOKUP(A1344,Orders[OrderID],Orders[CustomerName])</f>
        <v>Shivam</v>
      </c>
      <c r="J1344" t="str">
        <f>_xlfn.XLOOKUP(A1344,Orders[OrderID],Orders[State])</f>
        <v>Uttar Pradesh</v>
      </c>
      <c r="K1344" t="str">
        <f>_xlfn.XLOOKUP(A1344,Orders[OrderID],Orders[City])</f>
        <v>Lucknow</v>
      </c>
      <c r="L1344" s="3">
        <f>YEAR(Clean_Data[[#This Row],[OrderDate]])</f>
        <v>2018</v>
      </c>
      <c r="M1344" s="3">
        <f>MONTH(Clean_Data[[#This Row],[OrderDate]])</f>
        <v>8</v>
      </c>
      <c r="N1344" s="8" t="str">
        <f>TEXT(Clean_Data[[#This Row],[OrderDate]],"mmm")</f>
        <v>Aug</v>
      </c>
      <c r="O1344" s="8" t="str">
        <f>TEXT(Clean_Data[[#This Row],[OrderDate]], "yyyy-mm")</f>
        <v>2018-08</v>
      </c>
      <c r="P1344" s="7">
        <f>Clean_Data[[#This Row],[Profit]]/Clean_Data[[#This Row],[Revenue ]]</f>
        <v>0.28971962616822428</v>
      </c>
      <c r="Q1344" t="str">
        <f>"Q"&amp;ROUNDUP(MONTH(Clean_Data[[#This Row],[OrderDate]])/3,0)</f>
        <v>Q3</v>
      </c>
      <c r="R1344" t="str">
        <f>TEXT(Clean_Data[[#This Row],[OrderDate]], "dddd")</f>
        <v>Friday</v>
      </c>
    </row>
    <row r="1345" spans="1:18" x14ac:dyDescent="0.25">
      <c r="A1345" t="s">
        <v>273</v>
      </c>
      <c r="B1345" s="4">
        <v>765</v>
      </c>
      <c r="C1345" s="4">
        <v>-153</v>
      </c>
      <c r="D1345" s="3">
        <v>2</v>
      </c>
      <c r="E1345" t="s">
        <v>885</v>
      </c>
      <c r="F1345" t="s">
        <v>894</v>
      </c>
      <c r="G1345" t="s">
        <v>907</v>
      </c>
      <c r="H1345" s="6">
        <f>_xlfn.XLOOKUP(A1345,Orders[OrderID],Orders[OrderDate])</f>
        <v>43340</v>
      </c>
      <c r="I1345" t="str">
        <f>_xlfn.XLOOKUP(A1345,Orders[OrderID],Orders[CustomerName])</f>
        <v>Sanjova</v>
      </c>
      <c r="J1345" t="str">
        <f>_xlfn.XLOOKUP(A1345,Orders[OrderID],Orders[State])</f>
        <v>Maharashtra</v>
      </c>
      <c r="K1345" t="str">
        <f>_xlfn.XLOOKUP(A1345,Orders[OrderID],Orders[City])</f>
        <v>Pune</v>
      </c>
      <c r="L1345" s="3">
        <f>YEAR(Clean_Data[[#This Row],[OrderDate]])</f>
        <v>2018</v>
      </c>
      <c r="M1345" s="3">
        <f>MONTH(Clean_Data[[#This Row],[OrderDate]])</f>
        <v>8</v>
      </c>
      <c r="N1345" s="8" t="str">
        <f>TEXT(Clean_Data[[#This Row],[OrderDate]],"mmm")</f>
        <v>Aug</v>
      </c>
      <c r="O1345" s="8" t="str">
        <f>TEXT(Clean_Data[[#This Row],[OrderDate]], "yyyy-mm")</f>
        <v>2018-08</v>
      </c>
      <c r="P1345" s="7">
        <f>Clean_Data[[#This Row],[Profit]]/Clean_Data[[#This Row],[Revenue ]]</f>
        <v>-0.2</v>
      </c>
      <c r="Q1345" t="str">
        <f>"Q"&amp;ROUNDUP(MONTH(Clean_Data[[#This Row],[OrderDate]])/3,0)</f>
        <v>Q3</v>
      </c>
      <c r="R1345" t="str">
        <f>TEXT(Clean_Data[[#This Row],[OrderDate]], "dddd")</f>
        <v>Tuesday</v>
      </c>
    </row>
    <row r="1346" spans="1:18" x14ac:dyDescent="0.25">
      <c r="A1346" t="s">
        <v>710</v>
      </c>
      <c r="B1346" s="4">
        <v>22</v>
      </c>
      <c r="C1346" s="4">
        <v>8</v>
      </c>
      <c r="D1346" s="3">
        <v>2</v>
      </c>
      <c r="E1346" t="s">
        <v>895</v>
      </c>
      <c r="F1346" t="s">
        <v>904</v>
      </c>
      <c r="G1346" t="s">
        <v>887</v>
      </c>
      <c r="H1346" s="6">
        <f>_xlfn.XLOOKUP(A1346,Orders[OrderID],Orders[OrderDate])</f>
        <v>43419</v>
      </c>
      <c r="I1346" t="str">
        <f>_xlfn.XLOOKUP(A1346,Orders[OrderID],Orders[CustomerName])</f>
        <v>Aromal</v>
      </c>
      <c r="J1346" t="str">
        <f>_xlfn.XLOOKUP(A1346,Orders[OrderID],Orders[State])</f>
        <v>Maharashtra</v>
      </c>
      <c r="K1346" t="str">
        <f>_xlfn.XLOOKUP(A1346,Orders[OrderID],Orders[City])</f>
        <v>Mumbai</v>
      </c>
      <c r="L1346" s="3">
        <f>YEAR(Clean_Data[[#This Row],[OrderDate]])</f>
        <v>2018</v>
      </c>
      <c r="M1346" s="3">
        <f>MONTH(Clean_Data[[#This Row],[OrderDate]])</f>
        <v>11</v>
      </c>
      <c r="N1346" s="8" t="str">
        <f>TEXT(Clean_Data[[#This Row],[OrderDate]],"mmm")</f>
        <v>Nov</v>
      </c>
      <c r="O1346" s="8" t="str">
        <f>TEXT(Clean_Data[[#This Row],[OrderDate]], "yyyy-mm")</f>
        <v>2018-11</v>
      </c>
      <c r="P1346" s="7">
        <f>Clean_Data[[#This Row],[Profit]]/Clean_Data[[#This Row],[Revenue ]]</f>
        <v>0.36363636363636365</v>
      </c>
      <c r="Q1346" t="str">
        <f>"Q"&amp;ROUNDUP(MONTH(Clean_Data[[#This Row],[OrderDate]])/3,0)</f>
        <v>Q4</v>
      </c>
      <c r="R1346" t="str">
        <f>TEXT(Clean_Data[[#This Row],[OrderDate]], "dddd")</f>
        <v>Thursday</v>
      </c>
    </row>
    <row r="1347" spans="1:18" x14ac:dyDescent="0.25">
      <c r="A1347" t="s">
        <v>639</v>
      </c>
      <c r="B1347" s="4">
        <v>26</v>
      </c>
      <c r="C1347" s="4">
        <v>-5</v>
      </c>
      <c r="D1347" s="3">
        <v>2</v>
      </c>
      <c r="E1347" t="s">
        <v>895</v>
      </c>
      <c r="F1347" t="s">
        <v>903</v>
      </c>
      <c r="G1347" t="s">
        <v>898</v>
      </c>
      <c r="H1347" s="6">
        <f>_xlfn.XLOOKUP(A1347,Orders[OrderID],Orders[OrderDate])</f>
        <v>43301</v>
      </c>
      <c r="I1347" t="str">
        <f>_xlfn.XLOOKUP(A1347,Orders[OrderID],Orders[CustomerName])</f>
        <v>Anisha</v>
      </c>
      <c r="J1347" t="str">
        <f>_xlfn.XLOOKUP(A1347,Orders[OrderID],Orders[State])</f>
        <v>Nagaland</v>
      </c>
      <c r="K1347" t="str">
        <f>_xlfn.XLOOKUP(A1347,Orders[OrderID],Orders[City])</f>
        <v>Kohima</v>
      </c>
      <c r="L1347" s="3">
        <f>YEAR(Clean_Data[[#This Row],[OrderDate]])</f>
        <v>2018</v>
      </c>
      <c r="M1347" s="3">
        <f>MONTH(Clean_Data[[#This Row],[OrderDate]])</f>
        <v>7</v>
      </c>
      <c r="N1347" s="8" t="str">
        <f>TEXT(Clean_Data[[#This Row],[OrderDate]],"mmm")</f>
        <v>Jul</v>
      </c>
      <c r="O1347" s="8" t="str">
        <f>TEXT(Clean_Data[[#This Row],[OrderDate]], "yyyy-mm")</f>
        <v>2018-07</v>
      </c>
      <c r="P1347" s="7">
        <f>Clean_Data[[#This Row],[Profit]]/Clean_Data[[#This Row],[Revenue ]]</f>
        <v>-0.19230769230769232</v>
      </c>
      <c r="Q1347" t="str">
        <f>"Q"&amp;ROUNDUP(MONTH(Clean_Data[[#This Row],[OrderDate]])/3,0)</f>
        <v>Q3</v>
      </c>
      <c r="R1347" t="str">
        <f>TEXT(Clean_Data[[#This Row],[OrderDate]], "dddd")</f>
        <v>Friday</v>
      </c>
    </row>
    <row r="1348" spans="1:18" x14ac:dyDescent="0.25">
      <c r="A1348" t="s">
        <v>34</v>
      </c>
      <c r="B1348" s="4">
        <v>22</v>
      </c>
      <c r="C1348" s="4">
        <v>8</v>
      </c>
      <c r="D1348" s="3">
        <v>3</v>
      </c>
      <c r="E1348" t="s">
        <v>895</v>
      </c>
      <c r="F1348" t="s">
        <v>899</v>
      </c>
      <c r="G1348" t="s">
        <v>887</v>
      </c>
      <c r="H1348" s="6">
        <f>_xlfn.XLOOKUP(A1348,Orders[OrderID],Orders[OrderDate])</f>
        <v>43417</v>
      </c>
      <c r="I1348" t="str">
        <f>_xlfn.XLOOKUP(A1348,Orders[OrderID],Orders[CustomerName])</f>
        <v>Uudhav</v>
      </c>
      <c r="J1348" t="str">
        <f>_xlfn.XLOOKUP(A1348,Orders[OrderID],Orders[State])</f>
        <v>Maharashtra</v>
      </c>
      <c r="K1348" t="str">
        <f>_xlfn.XLOOKUP(A1348,Orders[OrderID],Orders[City])</f>
        <v>Mumbai</v>
      </c>
      <c r="L1348" s="3">
        <f>YEAR(Clean_Data[[#This Row],[OrderDate]])</f>
        <v>2018</v>
      </c>
      <c r="M1348" s="3">
        <f>MONTH(Clean_Data[[#This Row],[OrderDate]])</f>
        <v>11</v>
      </c>
      <c r="N1348" s="8" t="str">
        <f>TEXT(Clean_Data[[#This Row],[OrderDate]],"mmm")</f>
        <v>Nov</v>
      </c>
      <c r="O1348" s="8" t="str">
        <f>TEXT(Clean_Data[[#This Row],[OrderDate]], "yyyy-mm")</f>
        <v>2018-11</v>
      </c>
      <c r="P1348" s="7">
        <f>Clean_Data[[#This Row],[Profit]]/Clean_Data[[#This Row],[Revenue ]]</f>
        <v>0.36363636363636365</v>
      </c>
      <c r="Q1348" t="str">
        <f>"Q"&amp;ROUNDUP(MONTH(Clean_Data[[#This Row],[OrderDate]])/3,0)</f>
        <v>Q4</v>
      </c>
      <c r="R1348" t="str">
        <f>TEXT(Clean_Data[[#This Row],[OrderDate]], "dddd")</f>
        <v>Tuesday</v>
      </c>
    </row>
    <row r="1349" spans="1:18" x14ac:dyDescent="0.25">
      <c r="A1349" t="s">
        <v>282</v>
      </c>
      <c r="B1349" s="4">
        <v>743</v>
      </c>
      <c r="C1349" s="4">
        <v>89</v>
      </c>
      <c r="D1349" s="3">
        <v>5</v>
      </c>
      <c r="E1349" t="s">
        <v>885</v>
      </c>
      <c r="F1349" t="s">
        <v>892</v>
      </c>
      <c r="G1349" t="s">
        <v>898</v>
      </c>
      <c r="H1349" s="6">
        <f>_xlfn.XLOOKUP(A1349,Orders[OrderID],Orders[OrderDate])</f>
        <v>43386</v>
      </c>
      <c r="I1349" t="str">
        <f>_xlfn.XLOOKUP(A1349,Orders[OrderID],Orders[CustomerName])</f>
        <v>Praneet</v>
      </c>
      <c r="J1349" t="str">
        <f>_xlfn.XLOOKUP(A1349,Orders[OrderID],Orders[State])</f>
        <v>Maharashtra</v>
      </c>
      <c r="K1349" t="str">
        <f>_xlfn.XLOOKUP(A1349,Orders[OrderID],Orders[City])</f>
        <v>Mumbai</v>
      </c>
      <c r="L1349" s="3">
        <f>YEAR(Clean_Data[[#This Row],[OrderDate]])</f>
        <v>2018</v>
      </c>
      <c r="M1349" s="3">
        <f>MONTH(Clean_Data[[#This Row],[OrderDate]])</f>
        <v>10</v>
      </c>
      <c r="N1349" s="8" t="str">
        <f>TEXT(Clean_Data[[#This Row],[OrderDate]],"mmm")</f>
        <v>Oct</v>
      </c>
      <c r="O1349" s="8" t="str">
        <f>TEXT(Clean_Data[[#This Row],[OrderDate]], "yyyy-mm")</f>
        <v>2018-10</v>
      </c>
      <c r="P1349" s="7">
        <f>Clean_Data[[#This Row],[Profit]]/Clean_Data[[#This Row],[Revenue ]]</f>
        <v>0.11978465679676985</v>
      </c>
      <c r="Q1349" t="str">
        <f>"Q"&amp;ROUNDUP(MONTH(Clean_Data[[#This Row],[OrderDate]])/3,0)</f>
        <v>Q4</v>
      </c>
      <c r="R1349" t="str">
        <f>TEXT(Clean_Data[[#This Row],[OrderDate]], "dddd")</f>
        <v>Saturday</v>
      </c>
    </row>
    <row r="1350" spans="1:18" x14ac:dyDescent="0.25">
      <c r="A1350" t="s">
        <v>537</v>
      </c>
      <c r="B1350" s="4">
        <v>22</v>
      </c>
      <c r="C1350" s="4">
        <v>-15</v>
      </c>
      <c r="D1350" s="3">
        <v>4</v>
      </c>
      <c r="E1350" t="s">
        <v>895</v>
      </c>
      <c r="F1350" t="s">
        <v>900</v>
      </c>
      <c r="G1350" t="s">
        <v>887</v>
      </c>
      <c r="H1350" s="6">
        <f>_xlfn.XLOOKUP(A1350,Orders[OrderID],Orders[OrderDate])</f>
        <v>43279</v>
      </c>
      <c r="I1350" t="str">
        <f>_xlfn.XLOOKUP(A1350,Orders[OrderID],Orders[CustomerName])</f>
        <v>Ekta</v>
      </c>
      <c r="J1350" t="str">
        <f>_xlfn.XLOOKUP(A1350,Orders[OrderID],Orders[State])</f>
        <v>Madhya Pradesh</v>
      </c>
      <c r="K1350" t="str">
        <f>_xlfn.XLOOKUP(A1350,Orders[OrderID],Orders[City])</f>
        <v>Indore</v>
      </c>
      <c r="L1350" s="3">
        <f>YEAR(Clean_Data[[#This Row],[OrderDate]])</f>
        <v>2018</v>
      </c>
      <c r="M1350" s="3">
        <f>MONTH(Clean_Data[[#This Row],[OrderDate]])</f>
        <v>6</v>
      </c>
      <c r="N1350" s="8" t="str">
        <f>TEXT(Clean_Data[[#This Row],[OrderDate]],"mmm")</f>
        <v>Jun</v>
      </c>
      <c r="O1350" s="8" t="str">
        <f>TEXT(Clean_Data[[#This Row],[OrderDate]], "yyyy-mm")</f>
        <v>2018-06</v>
      </c>
      <c r="P1350" s="7">
        <f>Clean_Data[[#This Row],[Profit]]/Clean_Data[[#This Row],[Revenue ]]</f>
        <v>-0.68181818181818177</v>
      </c>
      <c r="Q1350" t="str">
        <f>"Q"&amp;ROUNDUP(MONTH(Clean_Data[[#This Row],[OrderDate]])/3,0)</f>
        <v>Q2</v>
      </c>
      <c r="R1350" t="str">
        <f>TEXT(Clean_Data[[#This Row],[OrderDate]], "dddd")</f>
        <v>Thursday</v>
      </c>
    </row>
    <row r="1351" spans="1:18" x14ac:dyDescent="0.25">
      <c r="A1351" t="s">
        <v>197</v>
      </c>
      <c r="B1351" s="4">
        <v>781</v>
      </c>
      <c r="C1351" s="4">
        <v>594</v>
      </c>
      <c r="D1351" s="3">
        <v>6</v>
      </c>
      <c r="E1351" t="s">
        <v>885</v>
      </c>
      <c r="F1351" t="s">
        <v>892</v>
      </c>
      <c r="G1351" t="s">
        <v>907</v>
      </c>
      <c r="H1351" s="6">
        <f>_xlfn.XLOOKUP(A1351,Orders[OrderID],Orders[OrderDate])</f>
        <v>43199</v>
      </c>
      <c r="I1351" t="str">
        <f>_xlfn.XLOOKUP(A1351,Orders[OrderID],Orders[CustomerName])</f>
        <v>Yogesh</v>
      </c>
      <c r="J1351" t="str">
        <f>_xlfn.XLOOKUP(A1351,Orders[OrderID],Orders[State])</f>
        <v>Bihar</v>
      </c>
      <c r="K1351" t="str">
        <f>_xlfn.XLOOKUP(A1351,Orders[OrderID],Orders[City])</f>
        <v>Patna</v>
      </c>
      <c r="L1351" s="3">
        <f>YEAR(Clean_Data[[#This Row],[OrderDate]])</f>
        <v>2018</v>
      </c>
      <c r="M1351" s="3">
        <f>MONTH(Clean_Data[[#This Row],[OrderDate]])</f>
        <v>4</v>
      </c>
      <c r="N1351" s="8" t="str">
        <f>TEXT(Clean_Data[[#This Row],[OrderDate]],"mmm")</f>
        <v>Apr</v>
      </c>
      <c r="O1351" s="8" t="str">
        <f>TEXT(Clean_Data[[#This Row],[OrderDate]], "yyyy-mm")</f>
        <v>2018-04</v>
      </c>
      <c r="P1351" s="7">
        <f>Clean_Data[[#This Row],[Profit]]/Clean_Data[[#This Row],[Revenue ]]</f>
        <v>0.76056338028169013</v>
      </c>
      <c r="Q1351" t="str">
        <f>"Q"&amp;ROUNDUP(MONTH(Clean_Data[[#This Row],[OrderDate]])/3,0)</f>
        <v>Q2</v>
      </c>
      <c r="R1351" t="str">
        <f>TEXT(Clean_Data[[#This Row],[OrderDate]], "dddd")</f>
        <v>Monday</v>
      </c>
    </row>
    <row r="1352" spans="1:18" x14ac:dyDescent="0.25">
      <c r="A1352" t="s">
        <v>553</v>
      </c>
      <c r="B1352" s="4">
        <v>25</v>
      </c>
      <c r="C1352" s="4">
        <v>-2</v>
      </c>
      <c r="D1352" s="3">
        <v>5</v>
      </c>
      <c r="E1352" t="s">
        <v>895</v>
      </c>
      <c r="F1352" t="s">
        <v>899</v>
      </c>
      <c r="G1352" t="s">
        <v>898</v>
      </c>
      <c r="H1352" s="6">
        <f>_xlfn.XLOOKUP(A1352,Orders[OrderID],Orders[OrderDate])</f>
        <v>43228</v>
      </c>
      <c r="I1352" t="str">
        <f>_xlfn.XLOOKUP(A1352,Orders[OrderID],Orders[CustomerName])</f>
        <v>Tushina</v>
      </c>
      <c r="J1352" t="str">
        <f>_xlfn.XLOOKUP(A1352,Orders[OrderID],Orders[State])</f>
        <v>Goa</v>
      </c>
      <c r="K1352" t="str">
        <f>_xlfn.XLOOKUP(A1352,Orders[OrderID],Orders[City])</f>
        <v>Goa</v>
      </c>
      <c r="L1352" s="3">
        <f>YEAR(Clean_Data[[#This Row],[OrderDate]])</f>
        <v>2018</v>
      </c>
      <c r="M1352" s="3">
        <f>MONTH(Clean_Data[[#This Row],[OrderDate]])</f>
        <v>5</v>
      </c>
      <c r="N1352" s="8" t="str">
        <f>TEXT(Clean_Data[[#This Row],[OrderDate]],"mmm")</f>
        <v>May</v>
      </c>
      <c r="O1352" s="8" t="str">
        <f>TEXT(Clean_Data[[#This Row],[OrderDate]], "yyyy-mm")</f>
        <v>2018-05</v>
      </c>
      <c r="P1352" s="7">
        <f>Clean_Data[[#This Row],[Profit]]/Clean_Data[[#This Row],[Revenue ]]</f>
        <v>-0.08</v>
      </c>
      <c r="Q1352" t="str">
        <f>"Q"&amp;ROUNDUP(MONTH(Clean_Data[[#This Row],[OrderDate]])/3,0)</f>
        <v>Q2</v>
      </c>
      <c r="R1352" t="str">
        <f>TEXT(Clean_Data[[#This Row],[OrderDate]], "dddd")</f>
        <v>Tuesday</v>
      </c>
    </row>
    <row r="1353" spans="1:18" x14ac:dyDescent="0.25">
      <c r="A1353" t="s">
        <v>680</v>
      </c>
      <c r="B1353" s="4">
        <v>25</v>
      </c>
      <c r="C1353" s="4">
        <v>2</v>
      </c>
      <c r="D1353" s="3">
        <v>2</v>
      </c>
      <c r="E1353" t="s">
        <v>895</v>
      </c>
      <c r="F1353" t="s">
        <v>899</v>
      </c>
      <c r="G1353" t="s">
        <v>898</v>
      </c>
      <c r="H1353" s="6">
        <f>_xlfn.XLOOKUP(A1353,Orders[OrderID],Orders[OrderDate])</f>
        <v>43438</v>
      </c>
      <c r="I1353" t="str">
        <f>_xlfn.XLOOKUP(A1353,Orders[OrderID],Orders[CustomerName])</f>
        <v>Shivani</v>
      </c>
      <c r="J1353" t="str">
        <f>_xlfn.XLOOKUP(A1353,Orders[OrderID],Orders[State])</f>
        <v>Madhya Pradesh</v>
      </c>
      <c r="K1353" t="str">
        <f>_xlfn.XLOOKUP(A1353,Orders[OrderID],Orders[City])</f>
        <v>Indore</v>
      </c>
      <c r="L1353" s="3">
        <f>YEAR(Clean_Data[[#This Row],[OrderDate]])</f>
        <v>2018</v>
      </c>
      <c r="M1353" s="3">
        <f>MONTH(Clean_Data[[#This Row],[OrderDate]])</f>
        <v>12</v>
      </c>
      <c r="N1353" s="8" t="str">
        <f>TEXT(Clean_Data[[#This Row],[OrderDate]],"mmm")</f>
        <v>Dec</v>
      </c>
      <c r="O1353" s="8" t="str">
        <f>TEXT(Clean_Data[[#This Row],[OrderDate]], "yyyy-mm")</f>
        <v>2018-12</v>
      </c>
      <c r="P1353" s="7">
        <f>Clean_Data[[#This Row],[Profit]]/Clean_Data[[#This Row],[Revenue ]]</f>
        <v>0.08</v>
      </c>
      <c r="Q1353" t="str">
        <f>"Q"&amp;ROUNDUP(MONTH(Clean_Data[[#This Row],[OrderDate]])/3,0)</f>
        <v>Q4</v>
      </c>
      <c r="R1353" t="str">
        <f>TEXT(Clean_Data[[#This Row],[OrderDate]], "dddd")</f>
        <v>Tuesday</v>
      </c>
    </row>
    <row r="1354" spans="1:18" x14ac:dyDescent="0.25">
      <c r="A1354" t="s">
        <v>273</v>
      </c>
      <c r="B1354" s="4">
        <v>119</v>
      </c>
      <c r="C1354" s="4">
        <v>43</v>
      </c>
      <c r="D1354" s="3">
        <v>5</v>
      </c>
      <c r="E1354" t="s">
        <v>895</v>
      </c>
      <c r="F1354" t="s">
        <v>906</v>
      </c>
      <c r="G1354" t="s">
        <v>887</v>
      </c>
      <c r="H1354" s="6">
        <f>_xlfn.XLOOKUP(A1354,Orders[OrderID],Orders[OrderDate])</f>
        <v>43340</v>
      </c>
      <c r="I1354" t="str">
        <f>_xlfn.XLOOKUP(A1354,Orders[OrderID],Orders[CustomerName])</f>
        <v>Sanjova</v>
      </c>
      <c r="J1354" t="str">
        <f>_xlfn.XLOOKUP(A1354,Orders[OrderID],Orders[State])</f>
        <v>Maharashtra</v>
      </c>
      <c r="K1354" t="str">
        <f>_xlfn.XLOOKUP(A1354,Orders[OrderID],Orders[City])</f>
        <v>Pune</v>
      </c>
      <c r="L1354" s="3">
        <f>YEAR(Clean_Data[[#This Row],[OrderDate]])</f>
        <v>2018</v>
      </c>
      <c r="M1354" s="3">
        <f>MONTH(Clean_Data[[#This Row],[OrderDate]])</f>
        <v>8</v>
      </c>
      <c r="N1354" s="8" t="str">
        <f>TEXT(Clean_Data[[#This Row],[OrderDate]],"mmm")</f>
        <v>Aug</v>
      </c>
      <c r="O1354" s="8" t="str">
        <f>TEXT(Clean_Data[[#This Row],[OrderDate]], "yyyy-mm")</f>
        <v>2018-08</v>
      </c>
      <c r="P1354" s="7">
        <f>Clean_Data[[#This Row],[Profit]]/Clean_Data[[#This Row],[Revenue ]]</f>
        <v>0.36134453781512604</v>
      </c>
      <c r="Q1354" t="str">
        <f>"Q"&amp;ROUNDUP(MONTH(Clean_Data[[#This Row],[OrderDate]])/3,0)</f>
        <v>Q3</v>
      </c>
      <c r="R1354" t="str">
        <f>TEXT(Clean_Data[[#This Row],[OrderDate]], "dddd")</f>
        <v>Tuesday</v>
      </c>
    </row>
    <row r="1355" spans="1:18" x14ac:dyDescent="0.25">
      <c r="A1355" t="s">
        <v>263</v>
      </c>
      <c r="B1355" s="4">
        <v>785</v>
      </c>
      <c r="C1355" s="4">
        <v>52</v>
      </c>
      <c r="D1355" s="3">
        <v>2</v>
      </c>
      <c r="E1355" t="s">
        <v>885</v>
      </c>
      <c r="F1355" t="s">
        <v>894</v>
      </c>
      <c r="G1355" t="s">
        <v>907</v>
      </c>
      <c r="H1355" s="6">
        <f>_xlfn.XLOOKUP(A1355,Orders[OrderID],Orders[OrderDate])</f>
        <v>43240</v>
      </c>
      <c r="I1355" t="str">
        <f>_xlfn.XLOOKUP(A1355,Orders[OrderID],Orders[CustomerName])</f>
        <v>Pratyusmita</v>
      </c>
      <c r="J1355" t="str">
        <f>_xlfn.XLOOKUP(A1355,Orders[OrderID],Orders[State])</f>
        <v>Bihar</v>
      </c>
      <c r="K1355" t="str">
        <f>_xlfn.XLOOKUP(A1355,Orders[OrderID],Orders[City])</f>
        <v>Patna</v>
      </c>
      <c r="L1355" s="3">
        <f>YEAR(Clean_Data[[#This Row],[OrderDate]])</f>
        <v>2018</v>
      </c>
      <c r="M1355" s="3">
        <f>MONTH(Clean_Data[[#This Row],[OrderDate]])</f>
        <v>5</v>
      </c>
      <c r="N1355" s="8" t="str">
        <f>TEXT(Clean_Data[[#This Row],[OrderDate]],"mmm")</f>
        <v>May</v>
      </c>
      <c r="O1355" s="8" t="str">
        <f>TEXT(Clean_Data[[#This Row],[OrderDate]], "yyyy-mm")</f>
        <v>2018-05</v>
      </c>
      <c r="P1355" s="7">
        <f>Clean_Data[[#This Row],[Profit]]/Clean_Data[[#This Row],[Revenue ]]</f>
        <v>6.6242038216560509E-2</v>
      </c>
      <c r="Q1355" t="str">
        <f>"Q"&amp;ROUNDUP(MONTH(Clean_Data[[#This Row],[OrderDate]])/3,0)</f>
        <v>Q2</v>
      </c>
      <c r="R1355" t="str">
        <f>TEXT(Clean_Data[[#This Row],[OrderDate]], "dddd")</f>
        <v>Sunday</v>
      </c>
    </row>
    <row r="1356" spans="1:18" x14ac:dyDescent="0.25">
      <c r="A1356" t="s">
        <v>517</v>
      </c>
      <c r="B1356" s="4">
        <v>183</v>
      </c>
      <c r="C1356" s="4">
        <v>-66</v>
      </c>
      <c r="D1356" s="3">
        <v>5</v>
      </c>
      <c r="E1356" t="s">
        <v>885</v>
      </c>
      <c r="F1356" t="s">
        <v>894</v>
      </c>
      <c r="G1356" t="s">
        <v>898</v>
      </c>
      <c r="H1356" s="6">
        <f>_xlfn.XLOOKUP(A1356,Orders[OrderID],Orders[OrderDate])</f>
        <v>43221</v>
      </c>
      <c r="I1356" t="str">
        <f>_xlfn.XLOOKUP(A1356,Orders[OrderID],Orders[CustomerName])</f>
        <v>Yaanvi</v>
      </c>
      <c r="J1356" t="str">
        <f>_xlfn.XLOOKUP(A1356,Orders[OrderID],Orders[State])</f>
        <v>Madhya Pradesh</v>
      </c>
      <c r="K1356" t="str">
        <f>_xlfn.XLOOKUP(A1356,Orders[OrderID],Orders[City])</f>
        <v>Indore</v>
      </c>
      <c r="L1356" s="3">
        <f>YEAR(Clean_Data[[#This Row],[OrderDate]])</f>
        <v>2018</v>
      </c>
      <c r="M1356" s="3">
        <f>MONTH(Clean_Data[[#This Row],[OrderDate]])</f>
        <v>5</v>
      </c>
      <c r="N1356" s="8" t="str">
        <f>TEXT(Clean_Data[[#This Row],[OrderDate]],"mmm")</f>
        <v>May</v>
      </c>
      <c r="O1356" s="8" t="str">
        <f>TEXT(Clean_Data[[#This Row],[OrderDate]], "yyyy-mm")</f>
        <v>2018-05</v>
      </c>
      <c r="P1356" s="7">
        <f>Clean_Data[[#This Row],[Profit]]/Clean_Data[[#This Row],[Revenue ]]</f>
        <v>-0.36065573770491804</v>
      </c>
      <c r="Q1356" t="str">
        <f>"Q"&amp;ROUNDUP(MONTH(Clean_Data[[#This Row],[OrderDate]])/3,0)</f>
        <v>Q2</v>
      </c>
      <c r="R1356" t="str">
        <f>TEXT(Clean_Data[[#This Row],[OrderDate]], "dddd")</f>
        <v>Tuesday</v>
      </c>
    </row>
    <row r="1357" spans="1:18" x14ac:dyDescent="0.25">
      <c r="A1357" t="s">
        <v>555</v>
      </c>
      <c r="B1357" s="4">
        <v>22</v>
      </c>
      <c r="C1357" s="4">
        <v>4</v>
      </c>
      <c r="D1357" s="3">
        <v>1</v>
      </c>
      <c r="E1357" t="s">
        <v>895</v>
      </c>
      <c r="F1357" t="s">
        <v>903</v>
      </c>
      <c r="G1357" t="s">
        <v>887</v>
      </c>
      <c r="H1357" s="6">
        <f>_xlfn.XLOOKUP(A1357,Orders[OrderID],Orders[OrderDate])</f>
        <v>43140</v>
      </c>
      <c r="I1357" t="str">
        <f>_xlfn.XLOOKUP(A1357,Orders[OrderID],Orders[CustomerName])</f>
        <v>Kalyani</v>
      </c>
      <c r="J1357" t="str">
        <f>_xlfn.XLOOKUP(A1357,Orders[OrderID],Orders[State])</f>
        <v>Tamil Nadu</v>
      </c>
      <c r="K1357" t="str">
        <f>_xlfn.XLOOKUP(A1357,Orders[OrderID],Orders[City])</f>
        <v>Chennai</v>
      </c>
      <c r="L1357" s="3">
        <f>YEAR(Clean_Data[[#This Row],[OrderDate]])</f>
        <v>2018</v>
      </c>
      <c r="M1357" s="3">
        <f>MONTH(Clean_Data[[#This Row],[OrderDate]])</f>
        <v>2</v>
      </c>
      <c r="N1357" s="8" t="str">
        <f>TEXT(Clean_Data[[#This Row],[OrderDate]],"mmm")</f>
        <v>Feb</v>
      </c>
      <c r="O1357" s="8" t="str">
        <f>TEXT(Clean_Data[[#This Row],[OrderDate]], "yyyy-mm")</f>
        <v>2018-02</v>
      </c>
      <c r="P1357" s="7">
        <f>Clean_Data[[#This Row],[Profit]]/Clean_Data[[#This Row],[Revenue ]]</f>
        <v>0.18181818181818182</v>
      </c>
      <c r="Q1357" t="str">
        <f>"Q"&amp;ROUNDUP(MONTH(Clean_Data[[#This Row],[OrderDate]])/3,0)</f>
        <v>Q1</v>
      </c>
      <c r="R1357" t="str">
        <f>TEXT(Clean_Data[[#This Row],[OrderDate]], "dddd")</f>
        <v>Friday</v>
      </c>
    </row>
    <row r="1358" spans="1:18" x14ac:dyDescent="0.25">
      <c r="A1358" t="s">
        <v>214</v>
      </c>
      <c r="B1358" s="4">
        <v>642</v>
      </c>
      <c r="C1358" s="4">
        <v>180</v>
      </c>
      <c r="D1358" s="3">
        <v>5</v>
      </c>
      <c r="E1358" t="s">
        <v>895</v>
      </c>
      <c r="F1358" t="s">
        <v>897</v>
      </c>
      <c r="G1358" t="s">
        <v>887</v>
      </c>
      <c r="H1358" s="6">
        <f>_xlfn.XLOOKUP(A1358,Orders[OrderID],Orders[OrderDate])</f>
        <v>43173</v>
      </c>
      <c r="I1358" t="str">
        <f>_xlfn.XLOOKUP(A1358,Orders[OrderID],Orders[CustomerName])</f>
        <v>Anurag</v>
      </c>
      <c r="J1358" t="str">
        <f>_xlfn.XLOOKUP(A1358,Orders[OrderID],Orders[State])</f>
        <v>Madhya Pradesh</v>
      </c>
      <c r="K1358" t="str">
        <f>_xlfn.XLOOKUP(A1358,Orders[OrderID],Orders[City])</f>
        <v>Indore</v>
      </c>
      <c r="L1358" s="3">
        <f>YEAR(Clean_Data[[#This Row],[OrderDate]])</f>
        <v>2018</v>
      </c>
      <c r="M1358" s="3">
        <f>MONTH(Clean_Data[[#This Row],[OrderDate]])</f>
        <v>3</v>
      </c>
      <c r="N1358" s="8" t="str">
        <f>TEXT(Clean_Data[[#This Row],[OrderDate]],"mmm")</f>
        <v>Mar</v>
      </c>
      <c r="O1358" s="8" t="str">
        <f>TEXT(Clean_Data[[#This Row],[OrderDate]], "yyyy-mm")</f>
        <v>2018-03</v>
      </c>
      <c r="P1358" s="7">
        <f>Clean_Data[[#This Row],[Profit]]/Clean_Data[[#This Row],[Revenue ]]</f>
        <v>0.28037383177570091</v>
      </c>
      <c r="Q1358" t="str">
        <f>"Q"&amp;ROUNDUP(MONTH(Clean_Data[[#This Row],[OrderDate]])/3,0)</f>
        <v>Q1</v>
      </c>
      <c r="R1358" t="str">
        <f>TEXT(Clean_Data[[#This Row],[OrderDate]], "dddd")</f>
        <v>Wednesday</v>
      </c>
    </row>
    <row r="1359" spans="1:18" x14ac:dyDescent="0.25">
      <c r="A1359" t="s">
        <v>271</v>
      </c>
      <c r="B1359" s="4">
        <v>767</v>
      </c>
      <c r="C1359" s="4">
        <v>-353</v>
      </c>
      <c r="D1359" s="3">
        <v>5</v>
      </c>
      <c r="E1359" t="s">
        <v>895</v>
      </c>
      <c r="F1359" t="s">
        <v>896</v>
      </c>
      <c r="G1359" t="s">
        <v>887</v>
      </c>
      <c r="H1359" s="6">
        <f>_xlfn.XLOOKUP(A1359,Orders[OrderID],Orders[OrderDate])</f>
        <v>43357</v>
      </c>
      <c r="I1359" t="str">
        <f>_xlfn.XLOOKUP(A1359,Orders[OrderID],Orders[CustomerName])</f>
        <v>Rutuja</v>
      </c>
      <c r="J1359" t="str">
        <f>_xlfn.XLOOKUP(A1359,Orders[OrderID],Orders[State])</f>
        <v>Gujarat</v>
      </c>
      <c r="K1359" t="str">
        <f>_xlfn.XLOOKUP(A1359,Orders[OrderID],Orders[City])</f>
        <v>Ahmedabad</v>
      </c>
      <c r="L1359" s="3">
        <f>YEAR(Clean_Data[[#This Row],[OrderDate]])</f>
        <v>2018</v>
      </c>
      <c r="M1359" s="3">
        <f>MONTH(Clean_Data[[#This Row],[OrderDate]])</f>
        <v>9</v>
      </c>
      <c r="N1359" s="8" t="str">
        <f>TEXT(Clean_Data[[#This Row],[OrderDate]],"mmm")</f>
        <v>Sep</v>
      </c>
      <c r="O1359" s="8" t="str">
        <f>TEXT(Clean_Data[[#This Row],[OrderDate]], "yyyy-mm")</f>
        <v>2018-09</v>
      </c>
      <c r="P1359" s="7">
        <f>Clean_Data[[#This Row],[Profit]]/Clean_Data[[#This Row],[Revenue ]]</f>
        <v>-0.46023468057366362</v>
      </c>
      <c r="Q1359" t="str">
        <f>"Q"&amp;ROUNDUP(MONTH(Clean_Data[[#This Row],[OrderDate]])/3,0)</f>
        <v>Q3</v>
      </c>
      <c r="R1359" t="str">
        <f>TEXT(Clean_Data[[#This Row],[OrderDate]], "dddd")</f>
        <v>Friday</v>
      </c>
    </row>
    <row r="1360" spans="1:18" x14ac:dyDescent="0.25">
      <c r="A1360" t="s">
        <v>269</v>
      </c>
      <c r="B1360" s="4">
        <v>770</v>
      </c>
      <c r="C1360" s="4">
        <v>323</v>
      </c>
      <c r="D1360" s="3">
        <v>3</v>
      </c>
      <c r="E1360" t="s">
        <v>885</v>
      </c>
      <c r="F1360" t="s">
        <v>905</v>
      </c>
      <c r="G1360" t="s">
        <v>887</v>
      </c>
      <c r="H1360" s="6">
        <f>_xlfn.XLOOKUP(A1360,Orders[OrderID],Orders[OrderDate])</f>
        <v>43136</v>
      </c>
      <c r="I1360" t="str">
        <f>_xlfn.XLOOKUP(A1360,Orders[OrderID],Orders[CustomerName])</f>
        <v>Diwakar</v>
      </c>
      <c r="J1360" t="str">
        <f>_xlfn.XLOOKUP(A1360,Orders[OrderID],Orders[State])</f>
        <v>Delhi</v>
      </c>
      <c r="K1360" t="str">
        <f>_xlfn.XLOOKUP(A1360,Orders[OrderID],Orders[City])</f>
        <v>Delhi</v>
      </c>
      <c r="L1360" s="3">
        <f>YEAR(Clean_Data[[#This Row],[OrderDate]])</f>
        <v>2018</v>
      </c>
      <c r="M1360" s="3">
        <f>MONTH(Clean_Data[[#This Row],[OrderDate]])</f>
        <v>2</v>
      </c>
      <c r="N1360" s="8" t="str">
        <f>TEXT(Clean_Data[[#This Row],[OrderDate]],"mmm")</f>
        <v>Feb</v>
      </c>
      <c r="O1360" s="8" t="str">
        <f>TEXT(Clean_Data[[#This Row],[OrderDate]], "yyyy-mm")</f>
        <v>2018-02</v>
      </c>
      <c r="P1360" s="7">
        <f>Clean_Data[[#This Row],[Profit]]/Clean_Data[[#This Row],[Revenue ]]</f>
        <v>0.41948051948051945</v>
      </c>
      <c r="Q1360" t="str">
        <f>"Q"&amp;ROUNDUP(MONTH(Clean_Data[[#This Row],[OrderDate]])/3,0)</f>
        <v>Q1</v>
      </c>
      <c r="R1360" t="str">
        <f>TEXT(Clean_Data[[#This Row],[OrderDate]], "dddd")</f>
        <v>Monday</v>
      </c>
    </row>
    <row r="1361" spans="1:18" x14ac:dyDescent="0.25">
      <c r="A1361" t="s">
        <v>826</v>
      </c>
      <c r="B1361" s="4">
        <v>21</v>
      </c>
      <c r="C1361" s="4">
        <v>-17</v>
      </c>
      <c r="D1361" s="3">
        <v>3</v>
      </c>
      <c r="E1361" t="s">
        <v>895</v>
      </c>
      <c r="F1361" t="s">
        <v>909</v>
      </c>
      <c r="G1361" t="s">
        <v>887</v>
      </c>
      <c r="H1361" s="6">
        <f>_xlfn.XLOOKUP(A1361,Orders[OrderID],Orders[OrderDate])</f>
        <v>43358</v>
      </c>
      <c r="I1361" t="str">
        <f>_xlfn.XLOOKUP(A1361,Orders[OrderID],Orders[CustomerName])</f>
        <v>Shivangi</v>
      </c>
      <c r="J1361" t="str">
        <f>_xlfn.XLOOKUP(A1361,Orders[OrderID],Orders[State])</f>
        <v>Madhya Pradesh</v>
      </c>
      <c r="K1361" t="str">
        <f>_xlfn.XLOOKUP(A1361,Orders[OrderID],Orders[City])</f>
        <v>Indore</v>
      </c>
      <c r="L1361" s="3">
        <f>YEAR(Clean_Data[[#This Row],[OrderDate]])</f>
        <v>2018</v>
      </c>
      <c r="M1361" s="3">
        <f>MONTH(Clean_Data[[#This Row],[OrderDate]])</f>
        <v>9</v>
      </c>
      <c r="N1361" s="8" t="str">
        <f>TEXT(Clean_Data[[#This Row],[OrderDate]],"mmm")</f>
        <v>Sep</v>
      </c>
      <c r="O1361" s="8" t="str">
        <f>TEXT(Clean_Data[[#This Row],[OrderDate]], "yyyy-mm")</f>
        <v>2018-09</v>
      </c>
      <c r="P1361" s="7">
        <f>Clean_Data[[#This Row],[Profit]]/Clean_Data[[#This Row],[Revenue ]]</f>
        <v>-0.80952380952380953</v>
      </c>
      <c r="Q1361" t="str">
        <f>"Q"&amp;ROUNDUP(MONTH(Clean_Data[[#This Row],[OrderDate]])/3,0)</f>
        <v>Q3</v>
      </c>
      <c r="R1361" t="str">
        <f>TEXT(Clean_Data[[#This Row],[OrderDate]], "dddd")</f>
        <v>Saturday</v>
      </c>
    </row>
    <row r="1362" spans="1:18" x14ac:dyDescent="0.25">
      <c r="A1362" t="s">
        <v>671</v>
      </c>
      <c r="B1362" s="4">
        <v>21</v>
      </c>
      <c r="C1362" s="4">
        <v>-6</v>
      </c>
      <c r="D1362" s="3">
        <v>3</v>
      </c>
      <c r="E1362" t="s">
        <v>895</v>
      </c>
      <c r="F1362" t="s">
        <v>904</v>
      </c>
      <c r="G1362" t="s">
        <v>887</v>
      </c>
      <c r="H1362" s="6">
        <f>_xlfn.XLOOKUP(A1362,Orders[OrderID],Orders[OrderDate])</f>
        <v>43374</v>
      </c>
      <c r="I1362" t="str">
        <f>_xlfn.XLOOKUP(A1362,Orders[OrderID],Orders[CustomerName])</f>
        <v>Ishit</v>
      </c>
      <c r="J1362" t="str">
        <f>_xlfn.XLOOKUP(A1362,Orders[OrderID],Orders[State])</f>
        <v>Maharashtra</v>
      </c>
      <c r="K1362" t="str">
        <f>_xlfn.XLOOKUP(A1362,Orders[OrderID],Orders[City])</f>
        <v>Pune</v>
      </c>
      <c r="L1362" s="3">
        <f>YEAR(Clean_Data[[#This Row],[OrderDate]])</f>
        <v>2018</v>
      </c>
      <c r="M1362" s="3">
        <f>MONTH(Clean_Data[[#This Row],[OrderDate]])</f>
        <v>10</v>
      </c>
      <c r="N1362" s="8" t="str">
        <f>TEXT(Clean_Data[[#This Row],[OrderDate]],"mmm")</f>
        <v>Oct</v>
      </c>
      <c r="O1362" s="8" t="str">
        <f>TEXT(Clean_Data[[#This Row],[OrderDate]], "yyyy-mm")</f>
        <v>2018-10</v>
      </c>
      <c r="P1362" s="7">
        <f>Clean_Data[[#This Row],[Profit]]/Clean_Data[[#This Row],[Revenue ]]</f>
        <v>-0.2857142857142857</v>
      </c>
      <c r="Q1362" t="str">
        <f>"Q"&amp;ROUNDUP(MONTH(Clean_Data[[#This Row],[OrderDate]])/3,0)</f>
        <v>Q4</v>
      </c>
      <c r="R1362" t="str">
        <f>TEXT(Clean_Data[[#This Row],[OrderDate]], "dddd")</f>
        <v>Monday</v>
      </c>
    </row>
    <row r="1363" spans="1:18" x14ac:dyDescent="0.25">
      <c r="A1363" t="s">
        <v>26</v>
      </c>
      <c r="B1363" s="4">
        <v>492</v>
      </c>
      <c r="C1363" s="4">
        <v>187</v>
      </c>
      <c r="D1363" s="3">
        <v>2</v>
      </c>
      <c r="E1363" t="s">
        <v>885</v>
      </c>
      <c r="F1363" t="s">
        <v>905</v>
      </c>
      <c r="G1363" t="s">
        <v>898</v>
      </c>
      <c r="H1363" s="6">
        <f>_xlfn.XLOOKUP(A1363,Orders[OrderID],Orders[OrderDate])</f>
        <v>43186</v>
      </c>
      <c r="I1363" t="str">
        <f>_xlfn.XLOOKUP(A1363,Orders[OrderID],Orders[CustomerName])</f>
        <v>Sarita</v>
      </c>
      <c r="J1363" t="str">
        <f>_xlfn.XLOOKUP(A1363,Orders[OrderID],Orders[State])</f>
        <v>Maharashtra</v>
      </c>
      <c r="K1363" t="str">
        <f>_xlfn.XLOOKUP(A1363,Orders[OrderID],Orders[City])</f>
        <v>Pune</v>
      </c>
      <c r="L1363" s="3">
        <f>YEAR(Clean_Data[[#This Row],[OrderDate]])</f>
        <v>2018</v>
      </c>
      <c r="M1363" s="3">
        <f>MONTH(Clean_Data[[#This Row],[OrderDate]])</f>
        <v>3</v>
      </c>
      <c r="N1363" s="8" t="str">
        <f>TEXT(Clean_Data[[#This Row],[OrderDate]],"mmm")</f>
        <v>Mar</v>
      </c>
      <c r="O1363" s="8" t="str">
        <f>TEXT(Clean_Data[[#This Row],[OrderDate]], "yyyy-mm")</f>
        <v>2018-03</v>
      </c>
      <c r="P1363" s="7">
        <f>Clean_Data[[#This Row],[Profit]]/Clean_Data[[#This Row],[Revenue ]]</f>
        <v>0.38008130081300812</v>
      </c>
      <c r="Q1363" t="str">
        <f>"Q"&amp;ROUNDUP(MONTH(Clean_Data[[#This Row],[OrderDate]])/3,0)</f>
        <v>Q1</v>
      </c>
      <c r="R1363" t="str">
        <f>TEXT(Clean_Data[[#This Row],[OrderDate]], "dddd")</f>
        <v>Tuesday</v>
      </c>
    </row>
    <row r="1364" spans="1:18" x14ac:dyDescent="0.25">
      <c r="A1364" t="s">
        <v>239</v>
      </c>
      <c r="B1364" s="4">
        <v>816</v>
      </c>
      <c r="C1364" s="4">
        <v>-96</v>
      </c>
      <c r="D1364" s="3">
        <v>3</v>
      </c>
      <c r="E1364" t="s">
        <v>885</v>
      </c>
      <c r="F1364" t="s">
        <v>892</v>
      </c>
      <c r="G1364" t="s">
        <v>907</v>
      </c>
      <c r="H1364" s="6">
        <f>_xlfn.XLOOKUP(A1364,Orders[OrderID],Orders[OrderDate])</f>
        <v>43216</v>
      </c>
      <c r="I1364" t="str">
        <f>_xlfn.XLOOKUP(A1364,Orders[OrderID],Orders[CustomerName])</f>
        <v>Parth</v>
      </c>
      <c r="J1364" t="str">
        <f>_xlfn.XLOOKUP(A1364,Orders[OrderID],Orders[State])</f>
        <v>Maharashtra</v>
      </c>
      <c r="K1364" t="str">
        <f>_xlfn.XLOOKUP(A1364,Orders[OrderID],Orders[City])</f>
        <v>Pune</v>
      </c>
      <c r="L1364" s="3">
        <f>YEAR(Clean_Data[[#This Row],[OrderDate]])</f>
        <v>2018</v>
      </c>
      <c r="M1364" s="3">
        <f>MONTH(Clean_Data[[#This Row],[OrderDate]])</f>
        <v>4</v>
      </c>
      <c r="N1364" s="8" t="str">
        <f>TEXT(Clean_Data[[#This Row],[OrderDate]],"mmm")</f>
        <v>Apr</v>
      </c>
      <c r="O1364" s="8" t="str">
        <f>TEXT(Clean_Data[[#This Row],[OrderDate]], "yyyy-mm")</f>
        <v>2018-04</v>
      </c>
      <c r="P1364" s="7">
        <f>Clean_Data[[#This Row],[Profit]]/Clean_Data[[#This Row],[Revenue ]]</f>
        <v>-0.11764705882352941</v>
      </c>
      <c r="Q1364" t="str">
        <f>"Q"&amp;ROUNDUP(MONTH(Clean_Data[[#This Row],[OrderDate]])/3,0)</f>
        <v>Q2</v>
      </c>
      <c r="R1364" t="str">
        <f>TEXT(Clean_Data[[#This Row],[OrderDate]], "dddd")</f>
        <v>Thursday</v>
      </c>
    </row>
    <row r="1365" spans="1:18" x14ac:dyDescent="0.25">
      <c r="A1365" t="s">
        <v>526</v>
      </c>
      <c r="B1365" s="4">
        <v>25</v>
      </c>
      <c r="C1365" s="4">
        <v>2</v>
      </c>
      <c r="D1365" s="3">
        <v>3</v>
      </c>
      <c r="E1365" t="s">
        <v>895</v>
      </c>
      <c r="F1365" t="s">
        <v>900</v>
      </c>
      <c r="G1365" t="s">
        <v>893</v>
      </c>
      <c r="H1365" s="6">
        <f>_xlfn.XLOOKUP(A1365,Orders[OrderID],Orders[OrderDate])</f>
        <v>43150</v>
      </c>
      <c r="I1365" t="str">
        <f>_xlfn.XLOOKUP(A1365,Orders[OrderID],Orders[CustomerName])</f>
        <v>Kanak</v>
      </c>
      <c r="J1365" t="str">
        <f>_xlfn.XLOOKUP(A1365,Orders[OrderID],Orders[State])</f>
        <v>Goa</v>
      </c>
      <c r="K1365" t="str">
        <f>_xlfn.XLOOKUP(A1365,Orders[OrderID],Orders[City])</f>
        <v>Goa</v>
      </c>
      <c r="L1365" s="3">
        <f>YEAR(Clean_Data[[#This Row],[OrderDate]])</f>
        <v>2018</v>
      </c>
      <c r="M1365" s="3">
        <f>MONTH(Clean_Data[[#This Row],[OrderDate]])</f>
        <v>2</v>
      </c>
      <c r="N1365" s="8" t="str">
        <f>TEXT(Clean_Data[[#This Row],[OrderDate]],"mmm")</f>
        <v>Feb</v>
      </c>
      <c r="O1365" s="8" t="str">
        <f>TEXT(Clean_Data[[#This Row],[OrderDate]], "yyyy-mm")</f>
        <v>2018-02</v>
      </c>
      <c r="P1365" s="7">
        <f>Clean_Data[[#This Row],[Profit]]/Clean_Data[[#This Row],[Revenue ]]</f>
        <v>0.08</v>
      </c>
      <c r="Q1365" t="str">
        <f>"Q"&amp;ROUNDUP(MONTH(Clean_Data[[#This Row],[OrderDate]])/3,0)</f>
        <v>Q1</v>
      </c>
      <c r="R1365" t="str">
        <f>TEXT(Clean_Data[[#This Row],[OrderDate]], "dddd")</f>
        <v>Monday</v>
      </c>
    </row>
    <row r="1366" spans="1:18" x14ac:dyDescent="0.25">
      <c r="A1366" t="s">
        <v>75</v>
      </c>
      <c r="B1366" s="4">
        <v>802</v>
      </c>
      <c r="C1366" s="4">
        <v>120</v>
      </c>
      <c r="D1366" s="3">
        <v>7</v>
      </c>
      <c r="E1366" t="s">
        <v>885</v>
      </c>
      <c r="F1366" t="s">
        <v>905</v>
      </c>
      <c r="G1366" t="s">
        <v>887</v>
      </c>
      <c r="H1366" s="6">
        <f>_xlfn.XLOOKUP(A1366,Orders[OrderID],Orders[OrderDate])</f>
        <v>43444</v>
      </c>
      <c r="I1366" t="str">
        <f>_xlfn.XLOOKUP(A1366,Orders[OrderID],Orders[CustomerName])</f>
        <v>Ishpreet</v>
      </c>
      <c r="J1366" t="str">
        <f>_xlfn.XLOOKUP(A1366,Orders[OrderID],Orders[State])</f>
        <v>Maharashtra</v>
      </c>
      <c r="K1366" t="str">
        <f>_xlfn.XLOOKUP(A1366,Orders[OrderID],Orders[City])</f>
        <v>Mumbai</v>
      </c>
      <c r="L1366" s="3">
        <f>YEAR(Clean_Data[[#This Row],[OrderDate]])</f>
        <v>2018</v>
      </c>
      <c r="M1366" s="3">
        <f>MONTH(Clean_Data[[#This Row],[OrderDate]])</f>
        <v>12</v>
      </c>
      <c r="N1366" s="8" t="str">
        <f>TEXT(Clean_Data[[#This Row],[OrderDate]],"mmm")</f>
        <v>Dec</v>
      </c>
      <c r="O1366" s="8" t="str">
        <f>TEXT(Clean_Data[[#This Row],[OrderDate]], "yyyy-mm")</f>
        <v>2018-12</v>
      </c>
      <c r="P1366" s="7">
        <f>Clean_Data[[#This Row],[Profit]]/Clean_Data[[#This Row],[Revenue ]]</f>
        <v>0.14962593516209477</v>
      </c>
      <c r="Q1366" t="str">
        <f>"Q"&amp;ROUNDUP(MONTH(Clean_Data[[#This Row],[OrderDate]])/3,0)</f>
        <v>Q4</v>
      </c>
      <c r="R1366" t="str">
        <f>TEXT(Clean_Data[[#This Row],[OrderDate]], "dddd")</f>
        <v>Monday</v>
      </c>
    </row>
    <row r="1367" spans="1:18" x14ac:dyDescent="0.25">
      <c r="A1367" t="s">
        <v>259</v>
      </c>
      <c r="B1367" s="4">
        <v>811</v>
      </c>
      <c r="C1367" s="4">
        <v>154</v>
      </c>
      <c r="D1367" s="3">
        <v>7</v>
      </c>
      <c r="E1367" t="s">
        <v>885</v>
      </c>
      <c r="F1367" t="s">
        <v>905</v>
      </c>
      <c r="G1367" t="s">
        <v>898</v>
      </c>
      <c r="H1367" s="6">
        <f>_xlfn.XLOOKUP(A1367,Orders[OrderID],Orders[OrderDate])</f>
        <v>43121</v>
      </c>
      <c r="I1367" t="str">
        <f>_xlfn.XLOOKUP(A1367,Orders[OrderID],Orders[CustomerName])</f>
        <v>Paromita</v>
      </c>
      <c r="J1367" t="str">
        <f>_xlfn.XLOOKUP(A1367,Orders[OrderID],Orders[State])</f>
        <v>Punjab</v>
      </c>
      <c r="K1367" t="str">
        <f>_xlfn.XLOOKUP(A1367,Orders[OrderID],Orders[City])</f>
        <v>Amritsar</v>
      </c>
      <c r="L1367" s="3">
        <f>YEAR(Clean_Data[[#This Row],[OrderDate]])</f>
        <v>2018</v>
      </c>
      <c r="M1367" s="3">
        <f>MONTH(Clean_Data[[#This Row],[OrderDate]])</f>
        <v>1</v>
      </c>
      <c r="N1367" s="8" t="str">
        <f>TEXT(Clean_Data[[#This Row],[OrderDate]],"mmm")</f>
        <v>Jan</v>
      </c>
      <c r="O1367" s="8" t="str">
        <f>TEXT(Clean_Data[[#This Row],[OrderDate]], "yyyy-mm")</f>
        <v>2018-01</v>
      </c>
      <c r="P1367" s="7">
        <f>Clean_Data[[#This Row],[Profit]]/Clean_Data[[#This Row],[Revenue ]]</f>
        <v>0.18988902589395806</v>
      </c>
      <c r="Q1367" t="str">
        <f>"Q"&amp;ROUNDUP(MONTH(Clean_Data[[#This Row],[OrderDate]])/3,0)</f>
        <v>Q1</v>
      </c>
      <c r="R1367" t="str">
        <f>TEXT(Clean_Data[[#This Row],[OrderDate]], "dddd")</f>
        <v>Sunday</v>
      </c>
    </row>
    <row r="1368" spans="1:18" x14ac:dyDescent="0.25">
      <c r="A1368" t="s">
        <v>40</v>
      </c>
      <c r="B1368" s="4">
        <v>835</v>
      </c>
      <c r="C1368" s="4">
        <v>267</v>
      </c>
      <c r="D1368" s="3">
        <v>5</v>
      </c>
      <c r="E1368" t="s">
        <v>885</v>
      </c>
      <c r="F1368" t="s">
        <v>894</v>
      </c>
      <c r="G1368" t="s">
        <v>907</v>
      </c>
      <c r="H1368" s="6">
        <f>_xlfn.XLOOKUP(A1368,Orders[OrderID],Orders[OrderDate])</f>
        <v>43189</v>
      </c>
      <c r="I1368" t="str">
        <f>_xlfn.XLOOKUP(A1368,Orders[OrderID],Orders[CustomerName])</f>
        <v>Bhishm</v>
      </c>
      <c r="J1368" t="str">
        <f>_xlfn.XLOOKUP(A1368,Orders[OrderID],Orders[State])</f>
        <v>Maharashtra</v>
      </c>
      <c r="K1368" t="str">
        <f>_xlfn.XLOOKUP(A1368,Orders[OrderID],Orders[City])</f>
        <v>Mumbai</v>
      </c>
      <c r="L1368" s="3">
        <f>YEAR(Clean_Data[[#This Row],[OrderDate]])</f>
        <v>2018</v>
      </c>
      <c r="M1368" s="3">
        <f>MONTH(Clean_Data[[#This Row],[OrderDate]])</f>
        <v>3</v>
      </c>
      <c r="N1368" s="8" t="str">
        <f>TEXT(Clean_Data[[#This Row],[OrderDate]],"mmm")</f>
        <v>Mar</v>
      </c>
      <c r="O1368" s="8" t="str">
        <f>TEXT(Clean_Data[[#This Row],[OrderDate]], "yyyy-mm")</f>
        <v>2018-03</v>
      </c>
      <c r="P1368" s="7">
        <f>Clean_Data[[#This Row],[Profit]]/Clean_Data[[#This Row],[Revenue ]]</f>
        <v>0.31976047904191618</v>
      </c>
      <c r="Q1368" t="str">
        <f>"Q"&amp;ROUNDUP(MONTH(Clean_Data[[#This Row],[OrderDate]])/3,0)</f>
        <v>Q1</v>
      </c>
      <c r="R1368" t="str">
        <f>TEXT(Clean_Data[[#This Row],[OrderDate]], "dddd")</f>
        <v>Friday</v>
      </c>
    </row>
    <row r="1369" spans="1:18" x14ac:dyDescent="0.25">
      <c r="A1369" t="s">
        <v>716</v>
      </c>
      <c r="B1369" s="4">
        <v>21</v>
      </c>
      <c r="C1369" s="4">
        <v>-5</v>
      </c>
      <c r="D1369" s="3">
        <v>1</v>
      </c>
      <c r="E1369" t="s">
        <v>885</v>
      </c>
      <c r="F1369" t="s">
        <v>905</v>
      </c>
      <c r="G1369" t="s">
        <v>887</v>
      </c>
      <c r="H1369" s="6">
        <f>_xlfn.XLOOKUP(A1369,Orders[OrderID],Orders[OrderDate])</f>
        <v>43275</v>
      </c>
      <c r="I1369" t="str">
        <f>_xlfn.XLOOKUP(A1369,Orders[OrderID],Orders[CustomerName])</f>
        <v>Kritika</v>
      </c>
      <c r="J1369" t="str">
        <f>_xlfn.XLOOKUP(A1369,Orders[OrderID],Orders[State])</f>
        <v>Uttar Pradesh</v>
      </c>
      <c r="K1369" t="str">
        <f>_xlfn.XLOOKUP(A1369,Orders[OrderID],Orders[City])</f>
        <v>Lucknow</v>
      </c>
      <c r="L1369" s="3">
        <f>YEAR(Clean_Data[[#This Row],[OrderDate]])</f>
        <v>2018</v>
      </c>
      <c r="M1369" s="3">
        <f>MONTH(Clean_Data[[#This Row],[OrderDate]])</f>
        <v>6</v>
      </c>
      <c r="N1369" s="8" t="str">
        <f>TEXT(Clean_Data[[#This Row],[OrderDate]],"mmm")</f>
        <v>Jun</v>
      </c>
      <c r="O1369" s="8" t="str">
        <f>TEXT(Clean_Data[[#This Row],[OrderDate]], "yyyy-mm")</f>
        <v>2018-06</v>
      </c>
      <c r="P1369" s="7">
        <f>Clean_Data[[#This Row],[Profit]]/Clean_Data[[#This Row],[Revenue ]]</f>
        <v>-0.23809523809523808</v>
      </c>
      <c r="Q1369" t="str">
        <f>"Q"&amp;ROUNDUP(MONTH(Clean_Data[[#This Row],[OrderDate]])/3,0)</f>
        <v>Q2</v>
      </c>
      <c r="R1369" t="str">
        <f>TEXT(Clean_Data[[#This Row],[OrderDate]], "dddd")</f>
        <v>Sunday</v>
      </c>
    </row>
    <row r="1370" spans="1:18" x14ac:dyDescent="0.25">
      <c r="A1370" t="s">
        <v>416</v>
      </c>
      <c r="B1370" s="4">
        <v>450</v>
      </c>
      <c r="C1370" s="4">
        <v>-190</v>
      </c>
      <c r="D1370" s="3">
        <v>4</v>
      </c>
      <c r="E1370" t="s">
        <v>888</v>
      </c>
      <c r="F1370" t="s">
        <v>891</v>
      </c>
      <c r="G1370" t="s">
        <v>887</v>
      </c>
      <c r="H1370" s="6">
        <f>_xlfn.XLOOKUP(A1370,Orders[OrderID],Orders[OrderDate])</f>
        <v>43180</v>
      </c>
      <c r="I1370" t="str">
        <f>_xlfn.XLOOKUP(A1370,Orders[OrderID],Orders[CustomerName])</f>
        <v>Jahan</v>
      </c>
      <c r="J1370" t="str">
        <f>_xlfn.XLOOKUP(A1370,Orders[OrderID],Orders[State])</f>
        <v>Madhya Pradesh</v>
      </c>
      <c r="K1370" t="str">
        <f>_xlfn.XLOOKUP(A1370,Orders[OrderID],Orders[City])</f>
        <v>Bhopal</v>
      </c>
      <c r="L1370" s="3">
        <f>YEAR(Clean_Data[[#This Row],[OrderDate]])</f>
        <v>2018</v>
      </c>
      <c r="M1370" s="3">
        <f>MONTH(Clean_Data[[#This Row],[OrderDate]])</f>
        <v>3</v>
      </c>
      <c r="N1370" s="8" t="str">
        <f>TEXT(Clean_Data[[#This Row],[OrderDate]],"mmm")</f>
        <v>Mar</v>
      </c>
      <c r="O1370" s="8" t="str">
        <f>TEXT(Clean_Data[[#This Row],[OrderDate]], "yyyy-mm")</f>
        <v>2018-03</v>
      </c>
      <c r="P1370" s="7">
        <f>Clean_Data[[#This Row],[Profit]]/Clean_Data[[#This Row],[Revenue ]]</f>
        <v>-0.42222222222222222</v>
      </c>
      <c r="Q1370" t="str">
        <f>"Q"&amp;ROUNDUP(MONTH(Clean_Data[[#This Row],[OrderDate]])/3,0)</f>
        <v>Q1</v>
      </c>
      <c r="R1370" t="str">
        <f>TEXT(Clean_Data[[#This Row],[OrderDate]], "dddd")</f>
        <v>Wednesday</v>
      </c>
    </row>
    <row r="1371" spans="1:18" x14ac:dyDescent="0.25">
      <c r="A1371" t="s">
        <v>122</v>
      </c>
      <c r="B1371" s="4">
        <v>24</v>
      </c>
      <c r="C1371" s="4">
        <v>-1</v>
      </c>
      <c r="D1371" s="3">
        <v>4</v>
      </c>
      <c r="E1371" t="s">
        <v>895</v>
      </c>
      <c r="F1371" t="s">
        <v>901</v>
      </c>
      <c r="G1371" t="s">
        <v>893</v>
      </c>
      <c r="H1371" s="6">
        <f>_xlfn.XLOOKUP(A1371,Orders[OrderID],Orders[OrderDate])</f>
        <v>43367</v>
      </c>
      <c r="I1371" t="str">
        <f>_xlfn.XLOOKUP(A1371,Orders[OrderID],Orders[CustomerName])</f>
        <v>Siddharth</v>
      </c>
      <c r="J1371" t="str">
        <f>_xlfn.XLOOKUP(A1371,Orders[OrderID],Orders[State])</f>
        <v>Madhya Pradesh</v>
      </c>
      <c r="K1371" t="str">
        <f>_xlfn.XLOOKUP(A1371,Orders[OrderID],Orders[City])</f>
        <v>Indore</v>
      </c>
      <c r="L1371" s="3">
        <f>YEAR(Clean_Data[[#This Row],[OrderDate]])</f>
        <v>2018</v>
      </c>
      <c r="M1371" s="3">
        <f>MONTH(Clean_Data[[#This Row],[OrderDate]])</f>
        <v>9</v>
      </c>
      <c r="N1371" s="8" t="str">
        <f>TEXT(Clean_Data[[#This Row],[OrderDate]],"mmm")</f>
        <v>Sep</v>
      </c>
      <c r="O1371" s="8" t="str">
        <f>TEXT(Clean_Data[[#This Row],[OrderDate]], "yyyy-mm")</f>
        <v>2018-09</v>
      </c>
      <c r="P1371" s="7">
        <f>Clean_Data[[#This Row],[Profit]]/Clean_Data[[#This Row],[Revenue ]]</f>
        <v>-4.1666666666666664E-2</v>
      </c>
      <c r="Q1371" t="str">
        <f>"Q"&amp;ROUNDUP(MONTH(Clean_Data[[#This Row],[OrderDate]])/3,0)</f>
        <v>Q3</v>
      </c>
      <c r="R1371" t="str">
        <f>TEXT(Clean_Data[[#This Row],[OrderDate]], "dddd")</f>
        <v>Monday</v>
      </c>
    </row>
    <row r="1372" spans="1:18" x14ac:dyDescent="0.25">
      <c r="A1372" t="s">
        <v>254</v>
      </c>
      <c r="B1372" s="4">
        <v>832</v>
      </c>
      <c r="C1372" s="4">
        <v>0</v>
      </c>
      <c r="D1372" s="3">
        <v>3</v>
      </c>
      <c r="E1372" t="s">
        <v>895</v>
      </c>
      <c r="F1372" t="s">
        <v>896</v>
      </c>
      <c r="G1372" t="s">
        <v>898</v>
      </c>
      <c r="H1372" s="6">
        <f>_xlfn.XLOOKUP(A1372,Orders[OrderID],Orders[OrderDate])</f>
        <v>43247</v>
      </c>
      <c r="I1372" t="str">
        <f>_xlfn.XLOOKUP(A1372,Orders[OrderID],Orders[CustomerName])</f>
        <v>Mitali</v>
      </c>
      <c r="J1372" t="str">
        <f>_xlfn.XLOOKUP(A1372,Orders[OrderID],Orders[State])</f>
        <v>Nagaland</v>
      </c>
      <c r="K1372" t="str">
        <f>_xlfn.XLOOKUP(A1372,Orders[OrderID],Orders[City])</f>
        <v>Kohima</v>
      </c>
      <c r="L1372" s="3">
        <f>YEAR(Clean_Data[[#This Row],[OrderDate]])</f>
        <v>2018</v>
      </c>
      <c r="M1372" s="3">
        <f>MONTH(Clean_Data[[#This Row],[OrderDate]])</f>
        <v>5</v>
      </c>
      <c r="N1372" s="8" t="str">
        <f>TEXT(Clean_Data[[#This Row],[OrderDate]],"mmm")</f>
        <v>May</v>
      </c>
      <c r="O1372" s="8" t="str">
        <f>TEXT(Clean_Data[[#This Row],[OrderDate]], "yyyy-mm")</f>
        <v>2018-05</v>
      </c>
      <c r="P1372" s="7">
        <f>Clean_Data[[#This Row],[Profit]]/Clean_Data[[#This Row],[Revenue ]]</f>
        <v>0</v>
      </c>
      <c r="Q1372" t="str">
        <f>"Q"&amp;ROUNDUP(MONTH(Clean_Data[[#This Row],[OrderDate]])/3,0)</f>
        <v>Q2</v>
      </c>
      <c r="R1372" t="str">
        <f>TEXT(Clean_Data[[#This Row],[OrderDate]], "dddd")</f>
        <v>Sunday</v>
      </c>
    </row>
    <row r="1373" spans="1:18" x14ac:dyDescent="0.25">
      <c r="A1373" t="s">
        <v>252</v>
      </c>
      <c r="B1373" s="4">
        <v>833</v>
      </c>
      <c r="C1373" s="4">
        <v>93</v>
      </c>
      <c r="D1373" s="3">
        <v>3</v>
      </c>
      <c r="E1373" t="s">
        <v>895</v>
      </c>
      <c r="F1373" t="s">
        <v>896</v>
      </c>
      <c r="G1373" t="s">
        <v>898</v>
      </c>
      <c r="H1373" s="6">
        <f>_xlfn.XLOOKUP(A1373,Orders[OrderID],Orders[OrderDate])</f>
        <v>43157</v>
      </c>
      <c r="I1373" t="str">
        <f>_xlfn.XLOOKUP(A1373,Orders[OrderID],Orders[CustomerName])</f>
        <v>Sahil</v>
      </c>
      <c r="J1373" t="str">
        <f>_xlfn.XLOOKUP(A1373,Orders[OrderID],Orders[State])</f>
        <v>Punjab</v>
      </c>
      <c r="K1373" t="str">
        <f>_xlfn.XLOOKUP(A1373,Orders[OrderID],Orders[City])</f>
        <v>Chandigarh</v>
      </c>
      <c r="L1373" s="3">
        <f>YEAR(Clean_Data[[#This Row],[OrderDate]])</f>
        <v>2018</v>
      </c>
      <c r="M1373" s="3">
        <f>MONTH(Clean_Data[[#This Row],[OrderDate]])</f>
        <v>2</v>
      </c>
      <c r="N1373" s="8" t="str">
        <f>TEXT(Clean_Data[[#This Row],[OrderDate]],"mmm")</f>
        <v>Feb</v>
      </c>
      <c r="O1373" s="8" t="str">
        <f>TEXT(Clean_Data[[#This Row],[OrderDate]], "yyyy-mm")</f>
        <v>2018-02</v>
      </c>
      <c r="P1373" s="7">
        <f>Clean_Data[[#This Row],[Profit]]/Clean_Data[[#This Row],[Revenue ]]</f>
        <v>0.11164465786314526</v>
      </c>
      <c r="Q1373" t="str">
        <f>"Q"&amp;ROUNDUP(MONTH(Clean_Data[[#This Row],[OrderDate]])/3,0)</f>
        <v>Q1</v>
      </c>
      <c r="R1373" t="str">
        <f>TEXT(Clean_Data[[#This Row],[OrderDate]], "dddd")</f>
        <v>Monday</v>
      </c>
    </row>
    <row r="1374" spans="1:18" x14ac:dyDescent="0.25">
      <c r="A1374" t="s">
        <v>859</v>
      </c>
      <c r="B1374" s="4">
        <v>20</v>
      </c>
      <c r="C1374" s="4">
        <v>6</v>
      </c>
      <c r="D1374" s="3">
        <v>1</v>
      </c>
      <c r="E1374" t="s">
        <v>895</v>
      </c>
      <c r="F1374" t="s">
        <v>906</v>
      </c>
      <c r="G1374" t="s">
        <v>887</v>
      </c>
      <c r="H1374" s="6">
        <f>_xlfn.XLOOKUP(A1374,Orders[OrderID],Orders[OrderDate])</f>
        <v>43171</v>
      </c>
      <c r="I1374" t="str">
        <f>_xlfn.XLOOKUP(A1374,Orders[OrderID],Orders[CustomerName])</f>
        <v>Rachna</v>
      </c>
      <c r="J1374" t="str">
        <f>_xlfn.XLOOKUP(A1374,Orders[OrderID],Orders[State])</f>
        <v>Haryana</v>
      </c>
      <c r="K1374" t="str">
        <f>_xlfn.XLOOKUP(A1374,Orders[OrderID],Orders[City])</f>
        <v>Chandigarh</v>
      </c>
      <c r="L1374" s="3">
        <f>YEAR(Clean_Data[[#This Row],[OrderDate]])</f>
        <v>2018</v>
      </c>
      <c r="M1374" s="3">
        <f>MONTH(Clean_Data[[#This Row],[OrderDate]])</f>
        <v>3</v>
      </c>
      <c r="N1374" s="8" t="str">
        <f>TEXT(Clean_Data[[#This Row],[OrderDate]],"mmm")</f>
        <v>Mar</v>
      </c>
      <c r="O1374" s="8" t="str">
        <f>TEXT(Clean_Data[[#This Row],[OrderDate]], "yyyy-mm")</f>
        <v>2018-03</v>
      </c>
      <c r="P1374" s="7">
        <f>Clean_Data[[#This Row],[Profit]]/Clean_Data[[#This Row],[Revenue ]]</f>
        <v>0.3</v>
      </c>
      <c r="Q1374" t="str">
        <f>"Q"&amp;ROUNDUP(MONTH(Clean_Data[[#This Row],[OrderDate]])/3,0)</f>
        <v>Q1</v>
      </c>
      <c r="R1374" t="str">
        <f>TEXT(Clean_Data[[#This Row],[OrderDate]], "dddd")</f>
        <v>Monday</v>
      </c>
    </row>
    <row r="1375" spans="1:18" x14ac:dyDescent="0.25">
      <c r="A1375" t="s">
        <v>639</v>
      </c>
      <c r="B1375" s="4">
        <v>23</v>
      </c>
      <c r="C1375" s="4">
        <v>-5</v>
      </c>
      <c r="D1375" s="3">
        <v>7</v>
      </c>
      <c r="E1375" t="s">
        <v>895</v>
      </c>
      <c r="F1375" t="s">
        <v>899</v>
      </c>
      <c r="G1375" t="s">
        <v>893</v>
      </c>
      <c r="H1375" s="6">
        <f>_xlfn.XLOOKUP(A1375,Orders[OrderID],Orders[OrderDate])</f>
        <v>43301</v>
      </c>
      <c r="I1375" t="str">
        <f>_xlfn.XLOOKUP(A1375,Orders[OrderID],Orders[CustomerName])</f>
        <v>Anisha</v>
      </c>
      <c r="J1375" t="str">
        <f>_xlfn.XLOOKUP(A1375,Orders[OrderID],Orders[State])</f>
        <v>Nagaland</v>
      </c>
      <c r="K1375" t="str">
        <f>_xlfn.XLOOKUP(A1375,Orders[OrderID],Orders[City])</f>
        <v>Kohima</v>
      </c>
      <c r="L1375" s="3">
        <f>YEAR(Clean_Data[[#This Row],[OrderDate]])</f>
        <v>2018</v>
      </c>
      <c r="M1375" s="3">
        <f>MONTH(Clean_Data[[#This Row],[OrderDate]])</f>
        <v>7</v>
      </c>
      <c r="N1375" s="8" t="str">
        <f>TEXT(Clean_Data[[#This Row],[OrderDate]],"mmm")</f>
        <v>Jul</v>
      </c>
      <c r="O1375" s="8" t="str">
        <f>TEXT(Clean_Data[[#This Row],[OrderDate]], "yyyy-mm")</f>
        <v>2018-07</v>
      </c>
      <c r="P1375" s="7">
        <f>Clean_Data[[#This Row],[Profit]]/Clean_Data[[#This Row],[Revenue ]]</f>
        <v>-0.21739130434782608</v>
      </c>
      <c r="Q1375" t="str">
        <f>"Q"&amp;ROUNDUP(MONTH(Clean_Data[[#This Row],[OrderDate]])/3,0)</f>
        <v>Q3</v>
      </c>
      <c r="R1375" t="str">
        <f>TEXT(Clean_Data[[#This Row],[OrderDate]], "dddd")</f>
        <v>Friday</v>
      </c>
    </row>
    <row r="1376" spans="1:18" x14ac:dyDescent="0.25">
      <c r="A1376" t="s">
        <v>142</v>
      </c>
      <c r="B1376" s="4">
        <v>550</v>
      </c>
      <c r="C1376" s="4">
        <v>-242</v>
      </c>
      <c r="D1376" s="3">
        <v>5</v>
      </c>
      <c r="E1376" t="s">
        <v>888</v>
      </c>
      <c r="F1376" t="s">
        <v>908</v>
      </c>
      <c r="G1376" t="s">
        <v>898</v>
      </c>
      <c r="H1376" s="6">
        <f>_xlfn.XLOOKUP(A1376,Orders[OrderID],Orders[OrderDate])</f>
        <v>43412</v>
      </c>
      <c r="I1376" t="str">
        <f>_xlfn.XLOOKUP(A1376,Orders[OrderID],Orders[CustomerName])</f>
        <v>Abhijeet</v>
      </c>
      <c r="J1376" t="str">
        <f>_xlfn.XLOOKUP(A1376,Orders[OrderID],Orders[State])</f>
        <v>Madhya Pradesh</v>
      </c>
      <c r="K1376" t="str">
        <f>_xlfn.XLOOKUP(A1376,Orders[OrderID],Orders[City])</f>
        <v>Bhopal</v>
      </c>
      <c r="L1376" s="3">
        <f>YEAR(Clean_Data[[#This Row],[OrderDate]])</f>
        <v>2018</v>
      </c>
      <c r="M1376" s="3">
        <f>MONTH(Clean_Data[[#This Row],[OrderDate]])</f>
        <v>11</v>
      </c>
      <c r="N1376" s="8" t="str">
        <f>TEXT(Clean_Data[[#This Row],[OrderDate]],"mmm")</f>
        <v>Nov</v>
      </c>
      <c r="O1376" s="8" t="str">
        <f>TEXT(Clean_Data[[#This Row],[OrderDate]], "yyyy-mm")</f>
        <v>2018-11</v>
      </c>
      <c r="P1376" s="7">
        <f>Clean_Data[[#This Row],[Profit]]/Clean_Data[[#This Row],[Revenue ]]</f>
        <v>-0.44</v>
      </c>
      <c r="Q1376" t="str">
        <f>"Q"&amp;ROUNDUP(MONTH(Clean_Data[[#This Row],[OrderDate]])/3,0)</f>
        <v>Q4</v>
      </c>
      <c r="R1376" t="str">
        <f>TEXT(Clean_Data[[#This Row],[OrderDate]], "dddd")</f>
        <v>Thursday</v>
      </c>
    </row>
    <row r="1377" spans="1:18" x14ac:dyDescent="0.25">
      <c r="A1377" t="s">
        <v>200</v>
      </c>
      <c r="B1377" s="4">
        <v>148</v>
      </c>
      <c r="C1377" s="4">
        <v>-91</v>
      </c>
      <c r="D1377" s="3">
        <v>2</v>
      </c>
      <c r="E1377" t="s">
        <v>885</v>
      </c>
      <c r="F1377" t="s">
        <v>894</v>
      </c>
      <c r="G1377" t="s">
        <v>887</v>
      </c>
      <c r="H1377" s="6">
        <f>_xlfn.XLOOKUP(A1377,Orders[OrderID],Orders[OrderDate])</f>
        <v>43314</v>
      </c>
      <c r="I1377" t="str">
        <f>_xlfn.XLOOKUP(A1377,Orders[OrderID],Orders[CustomerName])</f>
        <v>Ayush</v>
      </c>
      <c r="J1377" t="str">
        <f>_xlfn.XLOOKUP(A1377,Orders[OrderID],Orders[State])</f>
        <v>Punjab</v>
      </c>
      <c r="K1377" t="str">
        <f>_xlfn.XLOOKUP(A1377,Orders[OrderID],Orders[City])</f>
        <v>Chandigarh</v>
      </c>
      <c r="L1377" s="3">
        <f>YEAR(Clean_Data[[#This Row],[OrderDate]])</f>
        <v>2018</v>
      </c>
      <c r="M1377" s="3">
        <f>MONTH(Clean_Data[[#This Row],[OrderDate]])</f>
        <v>8</v>
      </c>
      <c r="N1377" s="8" t="str">
        <f>TEXT(Clean_Data[[#This Row],[OrderDate]],"mmm")</f>
        <v>Aug</v>
      </c>
      <c r="O1377" s="8" t="str">
        <f>TEXT(Clean_Data[[#This Row],[OrderDate]], "yyyy-mm")</f>
        <v>2018-08</v>
      </c>
      <c r="P1377" s="7">
        <f>Clean_Data[[#This Row],[Profit]]/Clean_Data[[#This Row],[Revenue ]]</f>
        <v>-0.61486486486486491</v>
      </c>
      <c r="Q1377" t="str">
        <f>"Q"&amp;ROUNDUP(MONTH(Clean_Data[[#This Row],[OrderDate]])/3,0)</f>
        <v>Q3</v>
      </c>
      <c r="R1377" t="str">
        <f>TEXT(Clean_Data[[#This Row],[OrderDate]], "dddd")</f>
        <v>Thursday</v>
      </c>
    </row>
    <row r="1378" spans="1:18" x14ac:dyDescent="0.25">
      <c r="A1378" t="s">
        <v>248</v>
      </c>
      <c r="B1378" s="4">
        <v>846</v>
      </c>
      <c r="C1378" s="4">
        <v>9</v>
      </c>
      <c r="D1378" s="3">
        <v>2</v>
      </c>
      <c r="E1378" t="s">
        <v>888</v>
      </c>
      <c r="F1378" t="s">
        <v>889</v>
      </c>
      <c r="G1378" t="s">
        <v>907</v>
      </c>
      <c r="H1378" s="6">
        <f>_xlfn.XLOOKUP(A1378,Orders[OrderID],Orders[OrderDate])</f>
        <v>43442</v>
      </c>
      <c r="I1378" t="str">
        <f>_xlfn.XLOOKUP(A1378,Orders[OrderID],Orders[CustomerName])</f>
        <v>Aishwarya</v>
      </c>
      <c r="J1378" t="str">
        <f>_xlfn.XLOOKUP(A1378,Orders[OrderID],Orders[State])</f>
        <v>Uttar Pradesh</v>
      </c>
      <c r="K1378" t="str">
        <f>_xlfn.XLOOKUP(A1378,Orders[OrderID],Orders[City])</f>
        <v>Prayagraj</v>
      </c>
      <c r="L1378" s="3">
        <f>YEAR(Clean_Data[[#This Row],[OrderDate]])</f>
        <v>2018</v>
      </c>
      <c r="M1378" s="3">
        <f>MONTH(Clean_Data[[#This Row],[OrderDate]])</f>
        <v>12</v>
      </c>
      <c r="N1378" s="8" t="str">
        <f>TEXT(Clean_Data[[#This Row],[OrderDate]],"mmm")</f>
        <v>Dec</v>
      </c>
      <c r="O1378" s="8" t="str">
        <f>TEXT(Clean_Data[[#This Row],[OrderDate]], "yyyy-mm")</f>
        <v>2018-12</v>
      </c>
      <c r="P1378" s="7">
        <f>Clean_Data[[#This Row],[Profit]]/Clean_Data[[#This Row],[Revenue ]]</f>
        <v>1.0638297872340425E-2</v>
      </c>
      <c r="Q1378" t="str">
        <f>"Q"&amp;ROUNDUP(MONTH(Clean_Data[[#This Row],[OrderDate]])/3,0)</f>
        <v>Q4</v>
      </c>
      <c r="R1378" t="str">
        <f>TEXT(Clean_Data[[#This Row],[OrderDate]], "dddd")</f>
        <v>Saturday</v>
      </c>
    </row>
    <row r="1379" spans="1:18" x14ac:dyDescent="0.25">
      <c r="A1379" t="s">
        <v>126</v>
      </c>
      <c r="B1379" s="4">
        <v>856</v>
      </c>
      <c r="C1379" s="4">
        <v>385</v>
      </c>
      <c r="D1379" s="3">
        <v>6</v>
      </c>
      <c r="E1379" t="s">
        <v>885</v>
      </c>
      <c r="F1379" t="s">
        <v>892</v>
      </c>
      <c r="G1379" t="s">
        <v>887</v>
      </c>
      <c r="H1379" s="6">
        <f>_xlfn.XLOOKUP(A1379,Orders[OrderID],Orders[OrderDate])</f>
        <v>43198</v>
      </c>
      <c r="I1379" t="str">
        <f>_xlfn.XLOOKUP(A1379,Orders[OrderID],Orders[CustomerName])</f>
        <v>Aarushi</v>
      </c>
      <c r="J1379" t="str">
        <f>_xlfn.XLOOKUP(A1379,Orders[OrderID],Orders[State])</f>
        <v>Tamil Nadu</v>
      </c>
      <c r="K1379" t="str">
        <f>_xlfn.XLOOKUP(A1379,Orders[OrderID],Orders[City])</f>
        <v>Chennai</v>
      </c>
      <c r="L1379" s="3">
        <f>YEAR(Clean_Data[[#This Row],[OrderDate]])</f>
        <v>2018</v>
      </c>
      <c r="M1379" s="3">
        <f>MONTH(Clean_Data[[#This Row],[OrderDate]])</f>
        <v>4</v>
      </c>
      <c r="N1379" s="8" t="str">
        <f>TEXT(Clean_Data[[#This Row],[OrderDate]],"mmm")</f>
        <v>Apr</v>
      </c>
      <c r="O1379" s="8" t="str">
        <f>TEXT(Clean_Data[[#This Row],[OrderDate]], "yyyy-mm")</f>
        <v>2018-04</v>
      </c>
      <c r="P1379" s="7">
        <f>Clean_Data[[#This Row],[Profit]]/Clean_Data[[#This Row],[Revenue ]]</f>
        <v>0.44976635514018692</v>
      </c>
      <c r="Q1379" t="str">
        <f>"Q"&amp;ROUNDUP(MONTH(Clean_Data[[#This Row],[OrderDate]])/3,0)</f>
        <v>Q2</v>
      </c>
      <c r="R1379" t="str">
        <f>TEXT(Clean_Data[[#This Row],[OrderDate]], "dddd")</f>
        <v>Sunday</v>
      </c>
    </row>
    <row r="1380" spans="1:18" x14ac:dyDescent="0.25">
      <c r="A1380" t="s">
        <v>242</v>
      </c>
      <c r="B1380" s="4">
        <v>871</v>
      </c>
      <c r="C1380" s="4">
        <v>131</v>
      </c>
      <c r="D1380" s="3">
        <v>2</v>
      </c>
      <c r="E1380" t="s">
        <v>888</v>
      </c>
      <c r="F1380" t="s">
        <v>891</v>
      </c>
      <c r="G1380" t="s">
        <v>898</v>
      </c>
      <c r="H1380" s="6">
        <f>_xlfn.XLOOKUP(A1380,Orders[OrderID],Orders[OrderDate])</f>
        <v>43444</v>
      </c>
      <c r="I1380" t="str">
        <f>_xlfn.XLOOKUP(A1380,Orders[OrderID],Orders[CustomerName])</f>
        <v>Swapnil</v>
      </c>
      <c r="J1380" t="str">
        <f>_xlfn.XLOOKUP(A1380,Orders[OrderID],Orders[State])</f>
        <v>Delhi</v>
      </c>
      <c r="K1380" t="str">
        <f>_xlfn.XLOOKUP(A1380,Orders[OrderID],Orders[City])</f>
        <v>Delhi</v>
      </c>
      <c r="L1380" s="3">
        <f>YEAR(Clean_Data[[#This Row],[OrderDate]])</f>
        <v>2018</v>
      </c>
      <c r="M1380" s="3">
        <f>MONTH(Clean_Data[[#This Row],[OrderDate]])</f>
        <v>12</v>
      </c>
      <c r="N1380" s="8" t="str">
        <f>TEXT(Clean_Data[[#This Row],[OrderDate]],"mmm")</f>
        <v>Dec</v>
      </c>
      <c r="O1380" s="8" t="str">
        <f>TEXT(Clean_Data[[#This Row],[OrderDate]], "yyyy-mm")</f>
        <v>2018-12</v>
      </c>
      <c r="P1380" s="7">
        <f>Clean_Data[[#This Row],[Profit]]/Clean_Data[[#This Row],[Revenue ]]</f>
        <v>0.15040183696900114</v>
      </c>
      <c r="Q1380" t="str">
        <f>"Q"&amp;ROUNDUP(MONTH(Clean_Data[[#This Row],[OrderDate]])/3,0)</f>
        <v>Q4</v>
      </c>
      <c r="R1380" t="str">
        <f>TEXT(Clean_Data[[#This Row],[OrderDate]], "dddd")</f>
        <v>Monday</v>
      </c>
    </row>
    <row r="1381" spans="1:18" x14ac:dyDescent="0.25">
      <c r="A1381" t="s">
        <v>425</v>
      </c>
      <c r="B1381" s="4">
        <v>19</v>
      </c>
      <c r="C1381" s="4">
        <v>-18</v>
      </c>
      <c r="D1381" s="3">
        <v>4</v>
      </c>
      <c r="E1381" t="s">
        <v>895</v>
      </c>
      <c r="F1381" t="s">
        <v>900</v>
      </c>
      <c r="G1381" t="s">
        <v>887</v>
      </c>
      <c r="H1381" s="6">
        <f>_xlfn.XLOOKUP(A1381,Orders[OrderID],Orders[OrderDate])</f>
        <v>43169</v>
      </c>
      <c r="I1381" t="str">
        <f>_xlfn.XLOOKUP(A1381,Orders[OrderID],Orders[CustomerName])</f>
        <v>Sonal</v>
      </c>
      <c r="J1381" t="str">
        <f>_xlfn.XLOOKUP(A1381,Orders[OrderID],Orders[State])</f>
        <v>Bihar</v>
      </c>
      <c r="K1381" t="str">
        <f>_xlfn.XLOOKUP(A1381,Orders[OrderID],Orders[City])</f>
        <v>Patna</v>
      </c>
      <c r="L1381" s="3">
        <f>YEAR(Clean_Data[[#This Row],[OrderDate]])</f>
        <v>2018</v>
      </c>
      <c r="M1381" s="3">
        <f>MONTH(Clean_Data[[#This Row],[OrderDate]])</f>
        <v>3</v>
      </c>
      <c r="N1381" s="8" t="str">
        <f>TEXT(Clean_Data[[#This Row],[OrderDate]],"mmm")</f>
        <v>Mar</v>
      </c>
      <c r="O1381" s="8" t="str">
        <f>TEXT(Clean_Data[[#This Row],[OrderDate]], "yyyy-mm")</f>
        <v>2018-03</v>
      </c>
      <c r="P1381" s="7">
        <f>Clean_Data[[#This Row],[Profit]]/Clean_Data[[#This Row],[Revenue ]]</f>
        <v>-0.94736842105263153</v>
      </c>
      <c r="Q1381" t="str">
        <f>"Q"&amp;ROUNDUP(MONTH(Clean_Data[[#This Row],[OrderDate]])/3,0)</f>
        <v>Q1</v>
      </c>
      <c r="R1381" t="str">
        <f>TEXT(Clean_Data[[#This Row],[OrderDate]], "dddd")</f>
        <v>Saturday</v>
      </c>
    </row>
    <row r="1382" spans="1:18" x14ac:dyDescent="0.25">
      <c r="A1382" t="s">
        <v>343</v>
      </c>
      <c r="B1382" s="4">
        <v>610</v>
      </c>
      <c r="C1382" s="4">
        <v>-66</v>
      </c>
      <c r="D1382" s="3">
        <v>2</v>
      </c>
      <c r="E1382" t="s">
        <v>888</v>
      </c>
      <c r="F1382" t="s">
        <v>902</v>
      </c>
      <c r="G1382" t="s">
        <v>887</v>
      </c>
      <c r="H1382" s="6">
        <f>_xlfn.XLOOKUP(A1382,Orders[OrderID],Orders[OrderDate])</f>
        <v>43245</v>
      </c>
      <c r="I1382" t="str">
        <f>_xlfn.XLOOKUP(A1382,Orders[OrderID],Orders[CustomerName])</f>
        <v>Piyali</v>
      </c>
      <c r="J1382" t="str">
        <f>_xlfn.XLOOKUP(A1382,Orders[OrderID],Orders[State])</f>
        <v>Sikkim</v>
      </c>
      <c r="K1382" t="str">
        <f>_xlfn.XLOOKUP(A1382,Orders[OrderID],Orders[City])</f>
        <v>Gangtok</v>
      </c>
      <c r="L1382" s="3">
        <f>YEAR(Clean_Data[[#This Row],[OrderDate]])</f>
        <v>2018</v>
      </c>
      <c r="M1382" s="3">
        <f>MONTH(Clean_Data[[#This Row],[OrderDate]])</f>
        <v>5</v>
      </c>
      <c r="N1382" s="8" t="str">
        <f>TEXT(Clean_Data[[#This Row],[OrderDate]],"mmm")</f>
        <v>May</v>
      </c>
      <c r="O1382" s="8" t="str">
        <f>TEXT(Clean_Data[[#This Row],[OrderDate]], "yyyy-mm")</f>
        <v>2018-05</v>
      </c>
      <c r="P1382" s="7">
        <f>Clean_Data[[#This Row],[Profit]]/Clean_Data[[#This Row],[Revenue ]]</f>
        <v>-0.10819672131147541</v>
      </c>
      <c r="Q1382" t="str">
        <f>"Q"&amp;ROUNDUP(MONTH(Clean_Data[[#This Row],[OrderDate]])/3,0)</f>
        <v>Q2</v>
      </c>
      <c r="R1382" t="str">
        <f>TEXT(Clean_Data[[#This Row],[OrderDate]], "dddd")</f>
        <v>Friday</v>
      </c>
    </row>
    <row r="1383" spans="1:18" x14ac:dyDescent="0.25">
      <c r="A1383" t="s">
        <v>239</v>
      </c>
      <c r="B1383" s="4">
        <v>880</v>
      </c>
      <c r="C1383" s="4">
        <v>97</v>
      </c>
      <c r="D1383" s="3">
        <v>8</v>
      </c>
      <c r="E1383" t="s">
        <v>888</v>
      </c>
      <c r="F1383" t="s">
        <v>908</v>
      </c>
      <c r="G1383" t="s">
        <v>907</v>
      </c>
      <c r="H1383" s="6">
        <f>_xlfn.XLOOKUP(A1383,Orders[OrderID],Orders[OrderDate])</f>
        <v>43216</v>
      </c>
      <c r="I1383" t="str">
        <f>_xlfn.XLOOKUP(A1383,Orders[OrderID],Orders[CustomerName])</f>
        <v>Parth</v>
      </c>
      <c r="J1383" t="str">
        <f>_xlfn.XLOOKUP(A1383,Orders[OrderID],Orders[State])</f>
        <v>Maharashtra</v>
      </c>
      <c r="K1383" t="str">
        <f>_xlfn.XLOOKUP(A1383,Orders[OrderID],Orders[City])</f>
        <v>Pune</v>
      </c>
      <c r="L1383" s="3">
        <f>YEAR(Clean_Data[[#This Row],[OrderDate]])</f>
        <v>2018</v>
      </c>
      <c r="M1383" s="3">
        <f>MONTH(Clean_Data[[#This Row],[OrderDate]])</f>
        <v>4</v>
      </c>
      <c r="N1383" s="8" t="str">
        <f>TEXT(Clean_Data[[#This Row],[OrderDate]],"mmm")</f>
        <v>Apr</v>
      </c>
      <c r="O1383" s="8" t="str">
        <f>TEXT(Clean_Data[[#This Row],[OrderDate]], "yyyy-mm")</f>
        <v>2018-04</v>
      </c>
      <c r="P1383" s="7">
        <f>Clean_Data[[#This Row],[Profit]]/Clean_Data[[#This Row],[Revenue ]]</f>
        <v>0.11022727272727273</v>
      </c>
      <c r="Q1383" t="str">
        <f>"Q"&amp;ROUNDUP(MONTH(Clean_Data[[#This Row],[OrderDate]])/3,0)</f>
        <v>Q2</v>
      </c>
      <c r="R1383" t="str">
        <f>TEXT(Clean_Data[[#This Row],[OrderDate]], "dddd")</f>
        <v>Thursday</v>
      </c>
    </row>
    <row r="1384" spans="1:18" x14ac:dyDescent="0.25">
      <c r="A1384" t="s">
        <v>175</v>
      </c>
      <c r="B1384" s="4">
        <v>22</v>
      </c>
      <c r="C1384" s="4">
        <v>-8</v>
      </c>
      <c r="D1384" s="3">
        <v>4</v>
      </c>
      <c r="E1384" t="s">
        <v>895</v>
      </c>
      <c r="F1384" t="s">
        <v>899</v>
      </c>
      <c r="G1384" t="s">
        <v>893</v>
      </c>
      <c r="H1384" s="6">
        <f>_xlfn.XLOOKUP(A1384,Orders[OrderID],Orders[OrderDate])</f>
        <v>43114</v>
      </c>
      <c r="I1384" t="str">
        <f>_xlfn.XLOOKUP(A1384,Orders[OrderID],Orders[CustomerName])</f>
        <v>Krutika</v>
      </c>
      <c r="J1384" t="str">
        <f>_xlfn.XLOOKUP(A1384,Orders[OrderID],Orders[State])</f>
        <v>Andhra Pradesh</v>
      </c>
      <c r="K1384" t="str">
        <f>_xlfn.XLOOKUP(A1384,Orders[OrderID],Orders[City])</f>
        <v>Hyderabad</v>
      </c>
      <c r="L1384" s="3">
        <f>YEAR(Clean_Data[[#This Row],[OrderDate]])</f>
        <v>2018</v>
      </c>
      <c r="M1384" s="3">
        <f>MONTH(Clean_Data[[#This Row],[OrderDate]])</f>
        <v>1</v>
      </c>
      <c r="N1384" s="8" t="str">
        <f>TEXT(Clean_Data[[#This Row],[OrderDate]],"mmm")</f>
        <v>Jan</v>
      </c>
      <c r="O1384" s="8" t="str">
        <f>TEXT(Clean_Data[[#This Row],[OrderDate]], "yyyy-mm")</f>
        <v>2018-01</v>
      </c>
      <c r="P1384" s="7">
        <f>Clean_Data[[#This Row],[Profit]]/Clean_Data[[#This Row],[Revenue ]]</f>
        <v>-0.36363636363636365</v>
      </c>
      <c r="Q1384" t="str">
        <f>"Q"&amp;ROUNDUP(MONTH(Clean_Data[[#This Row],[OrderDate]])/3,0)</f>
        <v>Q1</v>
      </c>
      <c r="R1384" t="str">
        <f>TEXT(Clean_Data[[#This Row],[OrderDate]], "dddd")</f>
        <v>Sunday</v>
      </c>
    </row>
    <row r="1385" spans="1:18" x14ac:dyDescent="0.25">
      <c r="A1385" t="s">
        <v>850</v>
      </c>
      <c r="B1385" s="4">
        <v>22</v>
      </c>
      <c r="C1385" s="4">
        <v>11</v>
      </c>
      <c r="D1385" s="3">
        <v>2</v>
      </c>
      <c r="E1385" t="s">
        <v>895</v>
      </c>
      <c r="F1385" t="s">
        <v>901</v>
      </c>
      <c r="G1385" t="s">
        <v>893</v>
      </c>
      <c r="H1385" s="6">
        <f>_xlfn.XLOOKUP(A1385,Orders[OrderID],Orders[OrderDate])</f>
        <v>43405</v>
      </c>
      <c r="I1385" t="str">
        <f>_xlfn.XLOOKUP(A1385,Orders[OrderID],Orders[CustomerName])</f>
        <v>Ashvini</v>
      </c>
      <c r="J1385" t="str">
        <f>_xlfn.XLOOKUP(A1385,Orders[OrderID],Orders[State])</f>
        <v>Maharashtra</v>
      </c>
      <c r="K1385" t="str">
        <f>_xlfn.XLOOKUP(A1385,Orders[OrderID],Orders[City])</f>
        <v>Mumbai</v>
      </c>
      <c r="L1385" s="3">
        <f>YEAR(Clean_Data[[#This Row],[OrderDate]])</f>
        <v>2018</v>
      </c>
      <c r="M1385" s="3">
        <f>MONTH(Clean_Data[[#This Row],[OrderDate]])</f>
        <v>11</v>
      </c>
      <c r="N1385" s="8" t="str">
        <f>TEXT(Clean_Data[[#This Row],[OrderDate]],"mmm")</f>
        <v>Nov</v>
      </c>
      <c r="O1385" s="8" t="str">
        <f>TEXT(Clean_Data[[#This Row],[OrderDate]], "yyyy-mm")</f>
        <v>2018-11</v>
      </c>
      <c r="P1385" s="7">
        <f>Clean_Data[[#This Row],[Profit]]/Clean_Data[[#This Row],[Revenue ]]</f>
        <v>0.5</v>
      </c>
      <c r="Q1385" t="str">
        <f>"Q"&amp;ROUNDUP(MONTH(Clean_Data[[#This Row],[OrderDate]])/3,0)</f>
        <v>Q4</v>
      </c>
      <c r="R1385" t="str">
        <f>TEXT(Clean_Data[[#This Row],[OrderDate]], "dddd")</f>
        <v>Thursday</v>
      </c>
    </row>
    <row r="1386" spans="1:18" x14ac:dyDescent="0.25">
      <c r="A1386" t="s">
        <v>855</v>
      </c>
      <c r="B1386" s="4">
        <v>21</v>
      </c>
      <c r="C1386" s="4">
        <v>4</v>
      </c>
      <c r="D1386" s="3">
        <v>3</v>
      </c>
      <c r="E1386" t="s">
        <v>895</v>
      </c>
      <c r="F1386" t="s">
        <v>899</v>
      </c>
      <c r="G1386" t="s">
        <v>893</v>
      </c>
      <c r="H1386" s="6">
        <f>_xlfn.XLOOKUP(A1386,Orders[OrderID],Orders[OrderDate])</f>
        <v>43178</v>
      </c>
      <c r="I1386" t="str">
        <f>_xlfn.XLOOKUP(A1386,Orders[OrderID],Orders[CustomerName])</f>
        <v>Subhashree</v>
      </c>
      <c r="J1386" t="str">
        <f>_xlfn.XLOOKUP(A1386,Orders[OrderID],Orders[State])</f>
        <v>Jammu and Kashmir</v>
      </c>
      <c r="K1386" t="str">
        <f>_xlfn.XLOOKUP(A1386,Orders[OrderID],Orders[City])</f>
        <v>Kashmir</v>
      </c>
      <c r="L1386" s="3">
        <f>YEAR(Clean_Data[[#This Row],[OrderDate]])</f>
        <v>2018</v>
      </c>
      <c r="M1386" s="3">
        <f>MONTH(Clean_Data[[#This Row],[OrderDate]])</f>
        <v>3</v>
      </c>
      <c r="N1386" s="8" t="str">
        <f>TEXT(Clean_Data[[#This Row],[OrderDate]],"mmm")</f>
        <v>Mar</v>
      </c>
      <c r="O1386" s="8" t="str">
        <f>TEXT(Clean_Data[[#This Row],[OrderDate]], "yyyy-mm")</f>
        <v>2018-03</v>
      </c>
      <c r="P1386" s="7">
        <f>Clean_Data[[#This Row],[Profit]]/Clean_Data[[#This Row],[Revenue ]]</f>
        <v>0.19047619047619047</v>
      </c>
      <c r="Q1386" t="str">
        <f>"Q"&amp;ROUNDUP(MONTH(Clean_Data[[#This Row],[OrderDate]])/3,0)</f>
        <v>Q1</v>
      </c>
      <c r="R1386" t="str">
        <f>TEXT(Clean_Data[[#This Row],[OrderDate]], "dddd")</f>
        <v>Monday</v>
      </c>
    </row>
    <row r="1387" spans="1:18" x14ac:dyDescent="0.25">
      <c r="A1387" t="s">
        <v>122</v>
      </c>
      <c r="B1387" s="4">
        <v>18</v>
      </c>
      <c r="C1387" s="4">
        <v>1</v>
      </c>
      <c r="D1387" s="3">
        <v>3</v>
      </c>
      <c r="E1387" t="s">
        <v>895</v>
      </c>
      <c r="F1387" t="s">
        <v>899</v>
      </c>
      <c r="G1387" t="s">
        <v>887</v>
      </c>
      <c r="H1387" s="6">
        <f>_xlfn.XLOOKUP(A1387,Orders[OrderID],Orders[OrderDate])</f>
        <v>43367</v>
      </c>
      <c r="I1387" t="str">
        <f>_xlfn.XLOOKUP(A1387,Orders[OrderID],Orders[CustomerName])</f>
        <v>Siddharth</v>
      </c>
      <c r="J1387" t="str">
        <f>_xlfn.XLOOKUP(A1387,Orders[OrderID],Orders[State])</f>
        <v>Madhya Pradesh</v>
      </c>
      <c r="K1387" t="str">
        <f>_xlfn.XLOOKUP(A1387,Orders[OrderID],Orders[City])</f>
        <v>Indore</v>
      </c>
      <c r="L1387" s="3">
        <f>YEAR(Clean_Data[[#This Row],[OrderDate]])</f>
        <v>2018</v>
      </c>
      <c r="M1387" s="3">
        <f>MONTH(Clean_Data[[#This Row],[OrderDate]])</f>
        <v>9</v>
      </c>
      <c r="N1387" s="8" t="str">
        <f>TEXT(Clean_Data[[#This Row],[OrderDate]],"mmm")</f>
        <v>Sep</v>
      </c>
      <c r="O1387" s="8" t="str">
        <f>TEXT(Clean_Data[[#This Row],[OrderDate]], "yyyy-mm")</f>
        <v>2018-09</v>
      </c>
      <c r="P1387" s="7">
        <f>Clean_Data[[#This Row],[Profit]]/Clean_Data[[#This Row],[Revenue ]]</f>
        <v>5.5555555555555552E-2</v>
      </c>
      <c r="Q1387" t="str">
        <f>"Q"&amp;ROUNDUP(MONTH(Clean_Data[[#This Row],[OrderDate]])/3,0)</f>
        <v>Q3</v>
      </c>
      <c r="R1387" t="str">
        <f>TEXT(Clean_Data[[#This Row],[OrderDate]], "dddd")</f>
        <v>Monday</v>
      </c>
    </row>
    <row r="1388" spans="1:18" x14ac:dyDescent="0.25">
      <c r="A1388" t="s">
        <v>231</v>
      </c>
      <c r="B1388" s="4">
        <v>911</v>
      </c>
      <c r="C1388" s="4">
        <v>202</v>
      </c>
      <c r="D1388" s="3">
        <v>7</v>
      </c>
      <c r="E1388" t="s">
        <v>888</v>
      </c>
      <c r="F1388" t="s">
        <v>889</v>
      </c>
      <c r="G1388" t="s">
        <v>887</v>
      </c>
      <c r="H1388" s="6">
        <f>_xlfn.XLOOKUP(A1388,Orders[OrderID],Orders[OrderDate])</f>
        <v>43383</v>
      </c>
      <c r="I1388" t="str">
        <f>_xlfn.XLOOKUP(A1388,Orders[OrderID],Orders[CustomerName])</f>
        <v>Hrisheekesh</v>
      </c>
      <c r="J1388" t="str">
        <f>_xlfn.XLOOKUP(A1388,Orders[OrderID],Orders[State])</f>
        <v>Maharashtra</v>
      </c>
      <c r="K1388" t="str">
        <f>_xlfn.XLOOKUP(A1388,Orders[OrderID],Orders[City])</f>
        <v>Mumbai</v>
      </c>
      <c r="L1388" s="3">
        <f>YEAR(Clean_Data[[#This Row],[OrderDate]])</f>
        <v>2018</v>
      </c>
      <c r="M1388" s="3">
        <f>MONTH(Clean_Data[[#This Row],[OrderDate]])</f>
        <v>10</v>
      </c>
      <c r="N1388" s="8" t="str">
        <f>TEXT(Clean_Data[[#This Row],[OrderDate]],"mmm")</f>
        <v>Oct</v>
      </c>
      <c r="O1388" s="8" t="str">
        <f>TEXT(Clean_Data[[#This Row],[OrderDate]], "yyyy-mm")</f>
        <v>2018-10</v>
      </c>
      <c r="P1388" s="7">
        <f>Clean_Data[[#This Row],[Profit]]/Clean_Data[[#This Row],[Revenue ]]</f>
        <v>0.22173435784851811</v>
      </c>
      <c r="Q1388" t="str">
        <f>"Q"&amp;ROUNDUP(MONTH(Clean_Data[[#This Row],[OrderDate]])/3,0)</f>
        <v>Q4</v>
      </c>
      <c r="R1388" t="str">
        <f>TEXT(Clean_Data[[#This Row],[OrderDate]], "dddd")</f>
        <v>Wednesday</v>
      </c>
    </row>
    <row r="1389" spans="1:18" x14ac:dyDescent="0.25">
      <c r="A1389" t="s">
        <v>376</v>
      </c>
      <c r="B1389" s="4">
        <v>18</v>
      </c>
      <c r="C1389" s="4">
        <v>2</v>
      </c>
      <c r="D1389" s="3">
        <v>3</v>
      </c>
      <c r="E1389" t="s">
        <v>895</v>
      </c>
      <c r="F1389" t="s">
        <v>899</v>
      </c>
      <c r="G1389" t="s">
        <v>887</v>
      </c>
      <c r="H1389" s="6">
        <f>_xlfn.XLOOKUP(A1389,Orders[OrderID],Orders[OrderDate])</f>
        <v>43142</v>
      </c>
      <c r="I1389" t="str">
        <f>_xlfn.XLOOKUP(A1389,Orders[OrderID],Orders[CustomerName])</f>
        <v>Kartikay</v>
      </c>
      <c r="J1389" t="str">
        <f>_xlfn.XLOOKUP(A1389,Orders[OrderID],Orders[State])</f>
        <v>Bihar</v>
      </c>
      <c r="K1389" t="str">
        <f>_xlfn.XLOOKUP(A1389,Orders[OrderID],Orders[City])</f>
        <v>Patna</v>
      </c>
      <c r="L1389" s="3">
        <f>YEAR(Clean_Data[[#This Row],[OrderDate]])</f>
        <v>2018</v>
      </c>
      <c r="M1389" s="3">
        <f>MONTH(Clean_Data[[#This Row],[OrderDate]])</f>
        <v>2</v>
      </c>
      <c r="N1389" s="8" t="str">
        <f>TEXT(Clean_Data[[#This Row],[OrderDate]],"mmm")</f>
        <v>Feb</v>
      </c>
      <c r="O1389" s="8" t="str">
        <f>TEXT(Clean_Data[[#This Row],[OrderDate]], "yyyy-mm")</f>
        <v>2018-02</v>
      </c>
      <c r="P1389" s="7">
        <f>Clean_Data[[#This Row],[Profit]]/Clean_Data[[#This Row],[Revenue ]]</f>
        <v>0.1111111111111111</v>
      </c>
      <c r="Q1389" t="str">
        <f>"Q"&amp;ROUNDUP(MONTH(Clean_Data[[#This Row],[OrderDate]])/3,0)</f>
        <v>Q1</v>
      </c>
      <c r="R1389" t="str">
        <f>TEXT(Clean_Data[[#This Row],[OrderDate]], "dddd")</f>
        <v>Sunday</v>
      </c>
    </row>
    <row r="1390" spans="1:18" x14ac:dyDescent="0.25">
      <c r="A1390" t="s">
        <v>233</v>
      </c>
      <c r="B1390" s="4">
        <v>911</v>
      </c>
      <c r="C1390" s="4">
        <v>355</v>
      </c>
      <c r="D1390" s="3">
        <v>5</v>
      </c>
      <c r="E1390" t="s">
        <v>885</v>
      </c>
      <c r="F1390" t="s">
        <v>894</v>
      </c>
      <c r="G1390" t="s">
        <v>907</v>
      </c>
      <c r="H1390" s="6">
        <f>_xlfn.XLOOKUP(A1390,Orders[OrderID],Orders[OrderDate])</f>
        <v>43394</v>
      </c>
      <c r="I1390" t="str">
        <f>_xlfn.XLOOKUP(A1390,Orders[OrderID],Orders[CustomerName])</f>
        <v>Kartik</v>
      </c>
      <c r="J1390" t="str">
        <f>_xlfn.XLOOKUP(A1390,Orders[OrderID],Orders[State])</f>
        <v>Madhya Pradesh</v>
      </c>
      <c r="K1390" t="str">
        <f>_xlfn.XLOOKUP(A1390,Orders[OrderID],Orders[City])</f>
        <v>Indore</v>
      </c>
      <c r="L1390" s="3">
        <f>YEAR(Clean_Data[[#This Row],[OrderDate]])</f>
        <v>2018</v>
      </c>
      <c r="M1390" s="3">
        <f>MONTH(Clean_Data[[#This Row],[OrderDate]])</f>
        <v>10</v>
      </c>
      <c r="N1390" s="8" t="str">
        <f>TEXT(Clean_Data[[#This Row],[OrderDate]],"mmm")</f>
        <v>Oct</v>
      </c>
      <c r="O1390" s="8" t="str">
        <f>TEXT(Clean_Data[[#This Row],[OrderDate]], "yyyy-mm")</f>
        <v>2018-10</v>
      </c>
      <c r="P1390" s="7">
        <f>Clean_Data[[#This Row],[Profit]]/Clean_Data[[#This Row],[Revenue ]]</f>
        <v>0.3896816684961581</v>
      </c>
      <c r="Q1390" t="str">
        <f>"Q"&amp;ROUNDUP(MONTH(Clean_Data[[#This Row],[OrderDate]])/3,0)</f>
        <v>Q4</v>
      </c>
      <c r="R1390" t="str">
        <f>TEXT(Clean_Data[[#This Row],[OrderDate]], "dddd")</f>
        <v>Sunday</v>
      </c>
    </row>
    <row r="1391" spans="1:18" x14ac:dyDescent="0.25">
      <c r="A1391" t="s">
        <v>641</v>
      </c>
      <c r="B1391" s="4">
        <v>143</v>
      </c>
      <c r="C1391" s="4">
        <v>-129</v>
      </c>
      <c r="D1391" s="3">
        <v>2</v>
      </c>
      <c r="E1391" t="s">
        <v>885</v>
      </c>
      <c r="F1391" t="s">
        <v>894</v>
      </c>
      <c r="G1391" t="s">
        <v>887</v>
      </c>
      <c r="H1391" s="6">
        <f>_xlfn.XLOOKUP(A1391,Orders[OrderID],Orders[OrderDate])</f>
        <v>43214</v>
      </c>
      <c r="I1391" t="str">
        <f>_xlfn.XLOOKUP(A1391,Orders[OrderID],Orders[CustomerName])</f>
        <v>Sahil</v>
      </c>
      <c r="J1391" t="str">
        <f>_xlfn.XLOOKUP(A1391,Orders[OrderID],Orders[State])</f>
        <v>Punjab</v>
      </c>
      <c r="K1391" t="str">
        <f>_xlfn.XLOOKUP(A1391,Orders[OrderID],Orders[City])</f>
        <v>Chandigarh</v>
      </c>
      <c r="L1391" s="3">
        <f>YEAR(Clean_Data[[#This Row],[OrderDate]])</f>
        <v>2018</v>
      </c>
      <c r="M1391" s="3">
        <f>MONTH(Clean_Data[[#This Row],[OrderDate]])</f>
        <v>4</v>
      </c>
      <c r="N1391" s="8" t="str">
        <f>TEXT(Clean_Data[[#This Row],[OrderDate]],"mmm")</f>
        <v>Apr</v>
      </c>
      <c r="O1391" s="8" t="str">
        <f>TEXT(Clean_Data[[#This Row],[OrderDate]], "yyyy-mm")</f>
        <v>2018-04</v>
      </c>
      <c r="P1391" s="7">
        <f>Clean_Data[[#This Row],[Profit]]/Clean_Data[[#This Row],[Revenue ]]</f>
        <v>-0.90209790209790208</v>
      </c>
      <c r="Q1391" t="str">
        <f>"Q"&amp;ROUNDUP(MONTH(Clean_Data[[#This Row],[OrderDate]])/3,0)</f>
        <v>Q2</v>
      </c>
      <c r="R1391" t="str">
        <f>TEXT(Clean_Data[[#This Row],[OrderDate]], "dddd")</f>
        <v>Tuesday</v>
      </c>
    </row>
    <row r="1392" spans="1:18" x14ac:dyDescent="0.25">
      <c r="A1392" t="s">
        <v>226</v>
      </c>
      <c r="B1392" s="4">
        <v>918</v>
      </c>
      <c r="C1392" s="4">
        <v>22</v>
      </c>
      <c r="D1392" s="3">
        <v>9</v>
      </c>
      <c r="E1392" t="s">
        <v>885</v>
      </c>
      <c r="F1392" t="s">
        <v>886</v>
      </c>
      <c r="G1392" t="s">
        <v>887</v>
      </c>
      <c r="H1392" s="6">
        <f>_xlfn.XLOOKUP(A1392,Orders[OrderID],Orders[OrderDate])</f>
        <v>43131</v>
      </c>
      <c r="I1392" t="str">
        <f>_xlfn.XLOOKUP(A1392,Orders[OrderID],Orders[CustomerName])</f>
        <v>Shweta</v>
      </c>
      <c r="J1392" t="str">
        <f>_xlfn.XLOOKUP(A1392,Orders[OrderID],Orders[State])</f>
        <v>Rajasthan</v>
      </c>
      <c r="K1392" t="str">
        <f>_xlfn.XLOOKUP(A1392,Orders[OrderID],Orders[City])</f>
        <v>Udaipur</v>
      </c>
      <c r="L1392" s="3">
        <f>YEAR(Clean_Data[[#This Row],[OrderDate]])</f>
        <v>2018</v>
      </c>
      <c r="M1392" s="3">
        <f>MONTH(Clean_Data[[#This Row],[OrderDate]])</f>
        <v>1</v>
      </c>
      <c r="N1392" s="8" t="str">
        <f>TEXT(Clean_Data[[#This Row],[OrderDate]],"mmm")</f>
        <v>Jan</v>
      </c>
      <c r="O1392" s="8" t="str">
        <f>TEXT(Clean_Data[[#This Row],[OrderDate]], "yyyy-mm")</f>
        <v>2018-01</v>
      </c>
      <c r="P1392" s="7">
        <f>Clean_Data[[#This Row],[Profit]]/Clean_Data[[#This Row],[Revenue ]]</f>
        <v>2.3965141612200435E-2</v>
      </c>
      <c r="Q1392" t="str">
        <f>"Q"&amp;ROUNDUP(MONTH(Clean_Data[[#This Row],[OrderDate]])/3,0)</f>
        <v>Q1</v>
      </c>
      <c r="R1392" t="str">
        <f>TEXT(Clean_Data[[#This Row],[OrderDate]], "dddd")</f>
        <v>Wednesday</v>
      </c>
    </row>
    <row r="1393" spans="1:18" x14ac:dyDescent="0.25">
      <c r="A1393" t="s">
        <v>224</v>
      </c>
      <c r="B1393" s="4">
        <v>925</v>
      </c>
      <c r="C1393" s="4">
        <v>-447</v>
      </c>
      <c r="D1393" s="3">
        <v>5</v>
      </c>
      <c r="E1393" t="s">
        <v>885</v>
      </c>
      <c r="F1393" t="s">
        <v>886</v>
      </c>
      <c r="G1393" t="s">
        <v>887</v>
      </c>
      <c r="H1393" s="6">
        <f>_xlfn.XLOOKUP(A1393,Orders[OrderID],Orders[OrderDate])</f>
        <v>43226</v>
      </c>
      <c r="I1393" t="str">
        <f>_xlfn.XLOOKUP(A1393,Orders[OrderID],Orders[CustomerName])</f>
        <v>Chirag</v>
      </c>
      <c r="J1393" t="str">
        <f>_xlfn.XLOOKUP(A1393,Orders[OrderID],Orders[State])</f>
        <v>Maharashtra</v>
      </c>
      <c r="K1393" t="str">
        <f>_xlfn.XLOOKUP(A1393,Orders[OrderID],Orders[City])</f>
        <v>Mumbai</v>
      </c>
      <c r="L1393" s="3">
        <f>YEAR(Clean_Data[[#This Row],[OrderDate]])</f>
        <v>2018</v>
      </c>
      <c r="M1393" s="3">
        <f>MONTH(Clean_Data[[#This Row],[OrderDate]])</f>
        <v>5</v>
      </c>
      <c r="N1393" s="8" t="str">
        <f>TEXT(Clean_Data[[#This Row],[OrderDate]],"mmm")</f>
        <v>May</v>
      </c>
      <c r="O1393" s="8" t="str">
        <f>TEXT(Clean_Data[[#This Row],[OrderDate]], "yyyy-mm")</f>
        <v>2018-05</v>
      </c>
      <c r="P1393" s="7">
        <f>Clean_Data[[#This Row],[Profit]]/Clean_Data[[#This Row],[Revenue ]]</f>
        <v>-0.48324324324324325</v>
      </c>
      <c r="Q1393" t="str">
        <f>"Q"&amp;ROUNDUP(MONTH(Clean_Data[[#This Row],[OrderDate]])/3,0)</f>
        <v>Q2</v>
      </c>
      <c r="R1393" t="str">
        <f>TEXT(Clean_Data[[#This Row],[OrderDate]], "dddd")</f>
        <v>Sunday</v>
      </c>
    </row>
    <row r="1394" spans="1:18" x14ac:dyDescent="0.25">
      <c r="A1394" t="s">
        <v>360</v>
      </c>
      <c r="B1394" s="4">
        <v>17</v>
      </c>
      <c r="C1394" s="4">
        <v>8</v>
      </c>
      <c r="D1394" s="3">
        <v>2</v>
      </c>
      <c r="E1394" t="s">
        <v>895</v>
      </c>
      <c r="F1394" t="s">
        <v>901</v>
      </c>
      <c r="G1394" t="s">
        <v>887</v>
      </c>
      <c r="H1394" s="6">
        <f>_xlfn.XLOOKUP(A1394,Orders[OrderID],Orders[OrderDate])</f>
        <v>43181</v>
      </c>
      <c r="I1394" t="str">
        <f>_xlfn.XLOOKUP(A1394,Orders[OrderID],Orders[CustomerName])</f>
        <v>Kasheen</v>
      </c>
      <c r="J1394" t="str">
        <f>_xlfn.XLOOKUP(A1394,Orders[OrderID],Orders[State])</f>
        <v>West Bengal</v>
      </c>
      <c r="K1394" t="str">
        <f>_xlfn.XLOOKUP(A1394,Orders[OrderID],Orders[City])</f>
        <v>Kolkata</v>
      </c>
      <c r="L1394" s="3">
        <f>YEAR(Clean_Data[[#This Row],[OrderDate]])</f>
        <v>2018</v>
      </c>
      <c r="M1394" s="3">
        <f>MONTH(Clean_Data[[#This Row],[OrderDate]])</f>
        <v>3</v>
      </c>
      <c r="N1394" s="8" t="str">
        <f>TEXT(Clean_Data[[#This Row],[OrderDate]],"mmm")</f>
        <v>Mar</v>
      </c>
      <c r="O1394" s="8" t="str">
        <f>TEXT(Clean_Data[[#This Row],[OrderDate]], "yyyy-mm")</f>
        <v>2018-03</v>
      </c>
      <c r="P1394" s="7">
        <f>Clean_Data[[#This Row],[Profit]]/Clean_Data[[#This Row],[Revenue ]]</f>
        <v>0.47058823529411764</v>
      </c>
      <c r="Q1394" t="str">
        <f>"Q"&amp;ROUNDUP(MONTH(Clean_Data[[#This Row],[OrderDate]])/3,0)</f>
        <v>Q1</v>
      </c>
      <c r="R1394" t="str">
        <f>TEXT(Clean_Data[[#This Row],[OrderDate]], "dddd")</f>
        <v>Thursday</v>
      </c>
    </row>
    <row r="1395" spans="1:18" x14ac:dyDescent="0.25">
      <c r="A1395" t="s">
        <v>405</v>
      </c>
      <c r="B1395" s="4">
        <v>465</v>
      </c>
      <c r="C1395" s="4">
        <v>207</v>
      </c>
      <c r="D1395" s="3">
        <v>9</v>
      </c>
      <c r="E1395" t="s">
        <v>895</v>
      </c>
      <c r="F1395" t="s">
        <v>897</v>
      </c>
      <c r="G1395" t="s">
        <v>887</v>
      </c>
      <c r="H1395" s="6">
        <f>_xlfn.XLOOKUP(A1395,Orders[OrderID],Orders[OrderDate])</f>
        <v>43438</v>
      </c>
      <c r="I1395" t="str">
        <f>_xlfn.XLOOKUP(A1395,Orders[OrderID],Orders[CustomerName])</f>
        <v>Divyansha</v>
      </c>
      <c r="J1395" t="str">
        <f>_xlfn.XLOOKUP(A1395,Orders[OrderID],Orders[State])</f>
        <v>Maharashtra</v>
      </c>
      <c r="K1395" t="str">
        <f>_xlfn.XLOOKUP(A1395,Orders[OrderID],Orders[City])</f>
        <v>Mumbai</v>
      </c>
      <c r="L1395" s="3">
        <f>YEAR(Clean_Data[[#This Row],[OrderDate]])</f>
        <v>2018</v>
      </c>
      <c r="M1395" s="3">
        <f>MONTH(Clean_Data[[#This Row],[OrderDate]])</f>
        <v>12</v>
      </c>
      <c r="N1395" s="8" t="str">
        <f>TEXT(Clean_Data[[#This Row],[OrderDate]],"mmm")</f>
        <v>Dec</v>
      </c>
      <c r="O1395" s="8" t="str">
        <f>TEXT(Clean_Data[[#This Row],[OrderDate]], "yyyy-mm")</f>
        <v>2018-12</v>
      </c>
      <c r="P1395" s="7">
        <f>Clean_Data[[#This Row],[Profit]]/Clean_Data[[#This Row],[Revenue ]]</f>
        <v>0.44516129032258067</v>
      </c>
      <c r="Q1395" t="str">
        <f>"Q"&amp;ROUNDUP(MONTH(Clean_Data[[#This Row],[OrderDate]])/3,0)</f>
        <v>Q4</v>
      </c>
      <c r="R1395" t="str">
        <f>TEXT(Clean_Data[[#This Row],[OrderDate]], "dddd")</f>
        <v>Tuesday</v>
      </c>
    </row>
    <row r="1396" spans="1:18" x14ac:dyDescent="0.25">
      <c r="A1396" t="s">
        <v>298</v>
      </c>
      <c r="B1396" s="4">
        <v>17</v>
      </c>
      <c r="C1396" s="4">
        <v>-9</v>
      </c>
      <c r="D1396" s="3">
        <v>3</v>
      </c>
      <c r="E1396" t="s">
        <v>895</v>
      </c>
      <c r="F1396" t="s">
        <v>903</v>
      </c>
      <c r="G1396" t="s">
        <v>887</v>
      </c>
      <c r="H1396" s="6">
        <f>_xlfn.XLOOKUP(A1396,Orders[OrderID],Orders[OrderDate])</f>
        <v>43267</v>
      </c>
      <c r="I1396" t="str">
        <f>_xlfn.XLOOKUP(A1396,Orders[OrderID],Orders[CustomerName])</f>
        <v>Akancha</v>
      </c>
      <c r="J1396" t="str">
        <f>_xlfn.XLOOKUP(A1396,Orders[OrderID],Orders[State])</f>
        <v>Maharashtra</v>
      </c>
      <c r="K1396" t="str">
        <f>_xlfn.XLOOKUP(A1396,Orders[OrderID],Orders[City])</f>
        <v>Mumbai</v>
      </c>
      <c r="L1396" s="3">
        <f>YEAR(Clean_Data[[#This Row],[OrderDate]])</f>
        <v>2018</v>
      </c>
      <c r="M1396" s="3">
        <f>MONTH(Clean_Data[[#This Row],[OrderDate]])</f>
        <v>6</v>
      </c>
      <c r="N1396" s="8" t="str">
        <f>TEXT(Clean_Data[[#This Row],[OrderDate]],"mmm")</f>
        <v>Jun</v>
      </c>
      <c r="O1396" s="8" t="str">
        <f>TEXT(Clean_Data[[#This Row],[OrderDate]], "yyyy-mm")</f>
        <v>2018-06</v>
      </c>
      <c r="P1396" s="7">
        <f>Clean_Data[[#This Row],[Profit]]/Clean_Data[[#This Row],[Revenue ]]</f>
        <v>-0.52941176470588236</v>
      </c>
      <c r="Q1396" t="str">
        <f>"Q"&amp;ROUNDUP(MONTH(Clean_Data[[#This Row],[OrderDate]])/3,0)</f>
        <v>Q2</v>
      </c>
      <c r="R1396" t="str">
        <f>TEXT(Clean_Data[[#This Row],[OrderDate]], "dddd")</f>
        <v>Saturday</v>
      </c>
    </row>
    <row r="1397" spans="1:18" x14ac:dyDescent="0.25">
      <c r="A1397" t="s">
        <v>219</v>
      </c>
      <c r="B1397" s="4">
        <v>935</v>
      </c>
      <c r="C1397" s="4">
        <v>114</v>
      </c>
      <c r="D1397" s="3">
        <v>4</v>
      </c>
      <c r="E1397" t="s">
        <v>885</v>
      </c>
      <c r="F1397" t="s">
        <v>886</v>
      </c>
      <c r="G1397" t="s">
        <v>898</v>
      </c>
      <c r="H1397" s="6">
        <f>_xlfn.XLOOKUP(A1397,Orders[OrderID],Orders[OrderDate])</f>
        <v>43113</v>
      </c>
      <c r="I1397" t="str">
        <f>_xlfn.XLOOKUP(A1397,Orders[OrderID],Orders[CustomerName])</f>
        <v>Priyanka</v>
      </c>
      <c r="J1397" t="str">
        <f>_xlfn.XLOOKUP(A1397,Orders[OrderID],Orders[State])</f>
        <v>Madhya Pradesh</v>
      </c>
      <c r="K1397" t="str">
        <f>_xlfn.XLOOKUP(A1397,Orders[OrderID],Orders[City])</f>
        <v>Indore</v>
      </c>
      <c r="L1397" s="3">
        <f>YEAR(Clean_Data[[#This Row],[OrderDate]])</f>
        <v>2018</v>
      </c>
      <c r="M1397" s="3">
        <f>MONTH(Clean_Data[[#This Row],[OrderDate]])</f>
        <v>1</v>
      </c>
      <c r="N1397" s="8" t="str">
        <f>TEXT(Clean_Data[[#This Row],[OrderDate]],"mmm")</f>
        <v>Jan</v>
      </c>
      <c r="O1397" s="8" t="str">
        <f>TEXT(Clean_Data[[#This Row],[OrderDate]], "yyyy-mm")</f>
        <v>2018-01</v>
      </c>
      <c r="P1397" s="7">
        <f>Clean_Data[[#This Row],[Profit]]/Clean_Data[[#This Row],[Revenue ]]</f>
        <v>0.12192513368983957</v>
      </c>
      <c r="Q1397" t="str">
        <f>"Q"&amp;ROUNDUP(MONTH(Clean_Data[[#This Row],[OrderDate]])/3,0)</f>
        <v>Q1</v>
      </c>
      <c r="R1397" t="str">
        <f>TEXT(Clean_Data[[#This Row],[OrderDate]], "dddd")</f>
        <v>Saturday</v>
      </c>
    </row>
    <row r="1398" spans="1:18" x14ac:dyDescent="0.25">
      <c r="A1398" t="s">
        <v>258</v>
      </c>
      <c r="B1398" s="4">
        <v>16</v>
      </c>
      <c r="C1398" s="4">
        <v>-10</v>
      </c>
      <c r="D1398" s="3">
        <v>2</v>
      </c>
      <c r="E1398" t="s">
        <v>895</v>
      </c>
      <c r="F1398" t="s">
        <v>906</v>
      </c>
      <c r="G1398" t="s">
        <v>887</v>
      </c>
      <c r="H1398" s="6">
        <f>_xlfn.XLOOKUP(A1398,Orders[OrderID],Orders[OrderDate])</f>
        <v>43227</v>
      </c>
      <c r="I1398" t="str">
        <f>_xlfn.XLOOKUP(A1398,Orders[OrderID],Orders[CustomerName])</f>
        <v>Anurag</v>
      </c>
      <c r="J1398" t="str">
        <f>_xlfn.XLOOKUP(A1398,Orders[OrderID],Orders[State])</f>
        <v>Madhya Pradesh</v>
      </c>
      <c r="K1398" t="str">
        <f>_xlfn.XLOOKUP(A1398,Orders[OrderID],Orders[City])</f>
        <v>Indore</v>
      </c>
      <c r="L1398" s="3">
        <f>YEAR(Clean_Data[[#This Row],[OrderDate]])</f>
        <v>2018</v>
      </c>
      <c r="M1398" s="3">
        <f>MONTH(Clean_Data[[#This Row],[OrderDate]])</f>
        <v>5</v>
      </c>
      <c r="N1398" s="8" t="str">
        <f>TEXT(Clean_Data[[#This Row],[OrderDate]],"mmm")</f>
        <v>May</v>
      </c>
      <c r="O1398" s="8" t="str">
        <f>TEXT(Clean_Data[[#This Row],[OrderDate]], "yyyy-mm")</f>
        <v>2018-05</v>
      </c>
      <c r="P1398" s="7">
        <f>Clean_Data[[#This Row],[Profit]]/Clean_Data[[#This Row],[Revenue ]]</f>
        <v>-0.625</v>
      </c>
      <c r="Q1398" t="str">
        <f>"Q"&amp;ROUNDUP(MONTH(Clean_Data[[#This Row],[OrderDate]])/3,0)</f>
        <v>Q2</v>
      </c>
      <c r="R1398" t="str">
        <f>TEXT(Clean_Data[[#This Row],[OrderDate]], "dddd")</f>
        <v>Monday</v>
      </c>
    </row>
    <row r="1399" spans="1:18" x14ac:dyDescent="0.25">
      <c r="A1399" t="s">
        <v>23</v>
      </c>
      <c r="B1399" s="4">
        <v>954</v>
      </c>
      <c r="C1399" s="4">
        <v>95</v>
      </c>
      <c r="D1399" s="3">
        <v>3</v>
      </c>
      <c r="E1399" t="s">
        <v>885</v>
      </c>
      <c r="F1399" t="s">
        <v>892</v>
      </c>
      <c r="G1399" t="s">
        <v>898</v>
      </c>
      <c r="H1399" s="6">
        <f>_xlfn.XLOOKUP(A1399,Orders[OrderID],Orders[OrderDate])</f>
        <v>43116</v>
      </c>
      <c r="I1399" t="str">
        <f>_xlfn.XLOOKUP(A1399,Orders[OrderID],Orders[CustomerName])</f>
        <v>Shiva</v>
      </c>
      <c r="J1399" t="str">
        <f>_xlfn.XLOOKUP(A1399,Orders[OrderID],Orders[State])</f>
        <v>Maharashtra</v>
      </c>
      <c r="K1399" t="str">
        <f>_xlfn.XLOOKUP(A1399,Orders[OrderID],Orders[City])</f>
        <v>Pune</v>
      </c>
      <c r="L1399" s="3">
        <f>YEAR(Clean_Data[[#This Row],[OrderDate]])</f>
        <v>2018</v>
      </c>
      <c r="M1399" s="3">
        <f>MONTH(Clean_Data[[#This Row],[OrderDate]])</f>
        <v>1</v>
      </c>
      <c r="N1399" s="8" t="str">
        <f>TEXT(Clean_Data[[#This Row],[OrderDate]],"mmm")</f>
        <v>Jan</v>
      </c>
      <c r="O1399" s="8" t="str">
        <f>TEXT(Clean_Data[[#This Row],[OrderDate]], "yyyy-mm")</f>
        <v>2018-01</v>
      </c>
      <c r="P1399" s="7">
        <f>Clean_Data[[#This Row],[Profit]]/Clean_Data[[#This Row],[Revenue ]]</f>
        <v>9.9580712788259959E-2</v>
      </c>
      <c r="Q1399" t="str">
        <f>"Q"&amp;ROUNDUP(MONTH(Clean_Data[[#This Row],[OrderDate]])/3,0)</f>
        <v>Q1</v>
      </c>
      <c r="R1399" t="str">
        <f>TEXT(Clean_Data[[#This Row],[OrderDate]], "dddd")</f>
        <v>Tuesday</v>
      </c>
    </row>
    <row r="1400" spans="1:18" x14ac:dyDescent="0.25">
      <c r="A1400" t="s">
        <v>230</v>
      </c>
      <c r="B1400" s="4">
        <v>915</v>
      </c>
      <c r="C1400" s="4">
        <v>-99</v>
      </c>
      <c r="D1400" s="3">
        <v>3</v>
      </c>
      <c r="E1400" t="s">
        <v>888</v>
      </c>
      <c r="F1400" t="s">
        <v>902</v>
      </c>
      <c r="G1400" t="s">
        <v>907</v>
      </c>
      <c r="H1400" s="6">
        <f>_xlfn.XLOOKUP(A1400,Orders[OrderID],Orders[OrderDate])</f>
        <v>43441</v>
      </c>
      <c r="I1400" t="str">
        <f>_xlfn.XLOOKUP(A1400,Orders[OrderID],Orders[CustomerName])</f>
        <v>Abhishek</v>
      </c>
      <c r="J1400" t="str">
        <f>_xlfn.XLOOKUP(A1400,Orders[OrderID],Orders[State])</f>
        <v>Rajasthan</v>
      </c>
      <c r="K1400" t="str">
        <f>_xlfn.XLOOKUP(A1400,Orders[OrderID],Orders[City])</f>
        <v>Udaipur</v>
      </c>
      <c r="L1400" s="3">
        <f>YEAR(Clean_Data[[#This Row],[OrderDate]])</f>
        <v>2018</v>
      </c>
      <c r="M1400" s="3">
        <f>MONTH(Clean_Data[[#This Row],[OrderDate]])</f>
        <v>12</v>
      </c>
      <c r="N1400" s="8" t="str">
        <f>TEXT(Clean_Data[[#This Row],[OrderDate]],"mmm")</f>
        <v>Dec</v>
      </c>
      <c r="O1400" s="8" t="str">
        <f>TEXT(Clean_Data[[#This Row],[OrderDate]], "yyyy-mm")</f>
        <v>2018-12</v>
      </c>
      <c r="P1400" s="7">
        <f>Clean_Data[[#This Row],[Profit]]/Clean_Data[[#This Row],[Revenue ]]</f>
        <v>-0.10819672131147541</v>
      </c>
      <c r="Q1400" t="str">
        <f>"Q"&amp;ROUNDUP(MONTH(Clean_Data[[#This Row],[OrderDate]])/3,0)</f>
        <v>Q4</v>
      </c>
      <c r="R1400" t="str">
        <f>TEXT(Clean_Data[[#This Row],[OrderDate]], "dddd")</f>
        <v>Friday</v>
      </c>
    </row>
    <row r="1401" spans="1:18" x14ac:dyDescent="0.25">
      <c r="A1401" t="s">
        <v>216</v>
      </c>
      <c r="B1401" s="4">
        <v>955</v>
      </c>
      <c r="C1401" s="4">
        <v>305</v>
      </c>
      <c r="D1401" s="3">
        <v>3</v>
      </c>
      <c r="E1401" t="s">
        <v>885</v>
      </c>
      <c r="F1401" t="s">
        <v>892</v>
      </c>
      <c r="G1401" t="s">
        <v>907</v>
      </c>
      <c r="H1401" s="6">
        <f>_xlfn.XLOOKUP(A1401,Orders[OrderID],Orders[OrderDate])</f>
        <v>43402</v>
      </c>
      <c r="I1401" t="str">
        <f>_xlfn.XLOOKUP(A1401,Orders[OrderID],Orders[CustomerName])</f>
        <v>Sanjana</v>
      </c>
      <c r="J1401" t="str">
        <f>_xlfn.XLOOKUP(A1401,Orders[OrderID],Orders[State])</f>
        <v>Madhya Pradesh</v>
      </c>
      <c r="K1401" t="str">
        <f>_xlfn.XLOOKUP(A1401,Orders[OrderID],Orders[City])</f>
        <v>Indore</v>
      </c>
      <c r="L1401" s="3">
        <f>YEAR(Clean_Data[[#This Row],[OrderDate]])</f>
        <v>2018</v>
      </c>
      <c r="M1401" s="3">
        <f>MONTH(Clean_Data[[#This Row],[OrderDate]])</f>
        <v>10</v>
      </c>
      <c r="N1401" s="8" t="str">
        <f>TEXT(Clean_Data[[#This Row],[OrderDate]],"mmm")</f>
        <v>Oct</v>
      </c>
      <c r="O1401" s="8" t="str">
        <f>TEXT(Clean_Data[[#This Row],[OrderDate]], "yyyy-mm")</f>
        <v>2018-10</v>
      </c>
      <c r="P1401" s="7">
        <f>Clean_Data[[#This Row],[Profit]]/Clean_Data[[#This Row],[Revenue ]]</f>
        <v>0.3193717277486911</v>
      </c>
      <c r="Q1401" t="str">
        <f>"Q"&amp;ROUNDUP(MONTH(Clean_Data[[#This Row],[OrderDate]])/3,0)</f>
        <v>Q4</v>
      </c>
      <c r="R1401" t="str">
        <f>TEXT(Clean_Data[[#This Row],[OrderDate]], "dddd")</f>
        <v>Monday</v>
      </c>
    </row>
    <row r="1402" spans="1:18" x14ac:dyDescent="0.25">
      <c r="A1402" t="s">
        <v>81</v>
      </c>
      <c r="B1402" s="4">
        <v>976</v>
      </c>
      <c r="C1402" s="4">
        <v>293</v>
      </c>
      <c r="D1402" s="3">
        <v>4</v>
      </c>
      <c r="E1402" t="s">
        <v>885</v>
      </c>
      <c r="F1402" t="s">
        <v>905</v>
      </c>
      <c r="G1402" t="s">
        <v>887</v>
      </c>
      <c r="H1402" s="6">
        <f>_xlfn.XLOOKUP(A1402,Orders[OrderID],Orders[OrderDate])</f>
        <v>43373</v>
      </c>
      <c r="I1402" t="str">
        <f>_xlfn.XLOOKUP(A1402,Orders[OrderID],Orders[CustomerName])</f>
        <v>Sauptik</v>
      </c>
      <c r="J1402" t="str">
        <f>_xlfn.XLOOKUP(A1402,Orders[OrderID],Orders[State])</f>
        <v>Madhya Pradesh</v>
      </c>
      <c r="K1402" t="str">
        <f>_xlfn.XLOOKUP(A1402,Orders[OrderID],Orders[City])</f>
        <v>Indore</v>
      </c>
      <c r="L1402" s="3">
        <f>YEAR(Clean_Data[[#This Row],[OrderDate]])</f>
        <v>2018</v>
      </c>
      <c r="M1402" s="3">
        <f>MONTH(Clean_Data[[#This Row],[OrderDate]])</f>
        <v>9</v>
      </c>
      <c r="N1402" s="8" t="str">
        <f>TEXT(Clean_Data[[#This Row],[OrderDate]],"mmm")</f>
        <v>Sep</v>
      </c>
      <c r="O1402" s="8" t="str">
        <f>TEXT(Clean_Data[[#This Row],[OrderDate]], "yyyy-mm")</f>
        <v>2018-09</v>
      </c>
      <c r="P1402" s="7">
        <f>Clean_Data[[#This Row],[Profit]]/Clean_Data[[#This Row],[Revenue ]]</f>
        <v>0.30020491803278687</v>
      </c>
      <c r="Q1402" t="str">
        <f>"Q"&amp;ROUNDUP(MONTH(Clean_Data[[#This Row],[OrderDate]])/3,0)</f>
        <v>Q3</v>
      </c>
      <c r="R1402" t="str">
        <f>TEXT(Clean_Data[[#This Row],[OrderDate]], "dddd")</f>
        <v>Sunday</v>
      </c>
    </row>
    <row r="1403" spans="1:18" x14ac:dyDescent="0.25">
      <c r="A1403" t="s">
        <v>200</v>
      </c>
      <c r="B1403" s="4">
        <v>1069</v>
      </c>
      <c r="C1403" s="4">
        <v>0</v>
      </c>
      <c r="D1403" s="3">
        <v>6</v>
      </c>
      <c r="E1403" t="s">
        <v>895</v>
      </c>
      <c r="F1403" t="s">
        <v>897</v>
      </c>
      <c r="G1403" t="s">
        <v>890</v>
      </c>
      <c r="H1403" s="6">
        <f>_xlfn.XLOOKUP(A1403,Orders[OrderID],Orders[OrderDate])</f>
        <v>43314</v>
      </c>
      <c r="I1403" t="str">
        <f>_xlfn.XLOOKUP(A1403,Orders[OrderID],Orders[CustomerName])</f>
        <v>Ayush</v>
      </c>
      <c r="J1403" t="str">
        <f>_xlfn.XLOOKUP(A1403,Orders[OrderID],Orders[State])</f>
        <v>Punjab</v>
      </c>
      <c r="K1403" t="str">
        <f>_xlfn.XLOOKUP(A1403,Orders[OrderID],Orders[City])</f>
        <v>Chandigarh</v>
      </c>
      <c r="L1403" s="3">
        <f>YEAR(Clean_Data[[#This Row],[OrderDate]])</f>
        <v>2018</v>
      </c>
      <c r="M1403" s="3">
        <f>MONTH(Clean_Data[[#This Row],[OrderDate]])</f>
        <v>8</v>
      </c>
      <c r="N1403" s="8" t="str">
        <f>TEXT(Clean_Data[[#This Row],[OrderDate]],"mmm")</f>
        <v>Aug</v>
      </c>
      <c r="O1403" s="8" t="str">
        <f>TEXT(Clean_Data[[#This Row],[OrderDate]], "yyyy-mm")</f>
        <v>2018-08</v>
      </c>
      <c r="P1403" s="7">
        <f>Clean_Data[[#This Row],[Profit]]/Clean_Data[[#This Row],[Revenue ]]</f>
        <v>0</v>
      </c>
      <c r="Q1403" t="str">
        <f>"Q"&amp;ROUNDUP(MONTH(Clean_Data[[#This Row],[OrderDate]])/3,0)</f>
        <v>Q3</v>
      </c>
      <c r="R1403" t="str">
        <f>TEXT(Clean_Data[[#This Row],[OrderDate]], "dddd")</f>
        <v>Thursday</v>
      </c>
    </row>
    <row r="1404" spans="1:18" x14ac:dyDescent="0.25">
      <c r="A1404" t="s">
        <v>539</v>
      </c>
      <c r="B1404" s="4">
        <v>19</v>
      </c>
      <c r="C1404" s="4">
        <v>-15</v>
      </c>
      <c r="D1404" s="3">
        <v>3</v>
      </c>
      <c r="E1404" t="s">
        <v>895</v>
      </c>
      <c r="F1404" t="s">
        <v>899</v>
      </c>
      <c r="G1404" t="s">
        <v>893</v>
      </c>
      <c r="H1404" s="6">
        <f>_xlfn.XLOOKUP(A1404,Orders[OrderID],Orders[OrderDate])</f>
        <v>43237</v>
      </c>
      <c r="I1404" t="str">
        <f>_xlfn.XLOOKUP(A1404,Orders[OrderID],Orders[CustomerName])</f>
        <v>Subhashree</v>
      </c>
      <c r="J1404" t="str">
        <f>_xlfn.XLOOKUP(A1404,Orders[OrderID],Orders[State])</f>
        <v>Jammu and Kashmir</v>
      </c>
      <c r="K1404" t="str">
        <f>_xlfn.XLOOKUP(A1404,Orders[OrderID],Orders[City])</f>
        <v>Kashmir</v>
      </c>
      <c r="L1404" s="3">
        <f>YEAR(Clean_Data[[#This Row],[OrderDate]])</f>
        <v>2018</v>
      </c>
      <c r="M1404" s="3">
        <f>MONTH(Clean_Data[[#This Row],[OrderDate]])</f>
        <v>5</v>
      </c>
      <c r="N1404" s="8" t="str">
        <f>TEXT(Clean_Data[[#This Row],[OrderDate]],"mmm")</f>
        <v>May</v>
      </c>
      <c r="O1404" s="8" t="str">
        <f>TEXT(Clean_Data[[#This Row],[OrderDate]], "yyyy-mm")</f>
        <v>2018-05</v>
      </c>
      <c r="P1404" s="7">
        <f>Clean_Data[[#This Row],[Profit]]/Clean_Data[[#This Row],[Revenue ]]</f>
        <v>-0.78947368421052633</v>
      </c>
      <c r="Q1404" t="str">
        <f>"Q"&amp;ROUNDUP(MONTH(Clean_Data[[#This Row],[OrderDate]])/3,0)</f>
        <v>Q2</v>
      </c>
      <c r="R1404" t="str">
        <f>TEXT(Clean_Data[[#This Row],[OrderDate]], "dddd")</f>
        <v>Thursday</v>
      </c>
    </row>
    <row r="1405" spans="1:18" x14ac:dyDescent="0.25">
      <c r="A1405" t="s">
        <v>42</v>
      </c>
      <c r="B1405" s="4">
        <v>16</v>
      </c>
      <c r="C1405" s="4">
        <v>6</v>
      </c>
      <c r="D1405" s="3">
        <v>3</v>
      </c>
      <c r="E1405" t="s">
        <v>895</v>
      </c>
      <c r="F1405" t="s">
        <v>899</v>
      </c>
      <c r="G1405" t="s">
        <v>887</v>
      </c>
      <c r="H1405" s="6">
        <f>_xlfn.XLOOKUP(A1405,Orders[OrderID],Orders[OrderDate])</f>
        <v>43135</v>
      </c>
      <c r="I1405" t="str">
        <f>_xlfn.XLOOKUP(A1405,Orders[OrderID],Orders[CustomerName])</f>
        <v>Yogesh</v>
      </c>
      <c r="J1405" t="str">
        <f>_xlfn.XLOOKUP(A1405,Orders[OrderID],Orders[State])</f>
        <v>Maharashtra</v>
      </c>
      <c r="K1405" t="str">
        <f>_xlfn.XLOOKUP(A1405,Orders[OrderID],Orders[City])</f>
        <v>Pune</v>
      </c>
      <c r="L1405" s="3">
        <f>YEAR(Clean_Data[[#This Row],[OrderDate]])</f>
        <v>2018</v>
      </c>
      <c r="M1405" s="3">
        <f>MONTH(Clean_Data[[#This Row],[OrderDate]])</f>
        <v>2</v>
      </c>
      <c r="N1405" s="8" t="str">
        <f>TEXT(Clean_Data[[#This Row],[OrderDate]],"mmm")</f>
        <v>Feb</v>
      </c>
      <c r="O1405" s="8" t="str">
        <f>TEXT(Clean_Data[[#This Row],[OrderDate]], "yyyy-mm")</f>
        <v>2018-02</v>
      </c>
      <c r="P1405" s="7">
        <f>Clean_Data[[#This Row],[Profit]]/Clean_Data[[#This Row],[Revenue ]]</f>
        <v>0.375</v>
      </c>
      <c r="Q1405" t="str">
        <f>"Q"&amp;ROUNDUP(MONTH(Clean_Data[[#This Row],[OrderDate]])/3,0)</f>
        <v>Q1</v>
      </c>
      <c r="R1405" t="str">
        <f>TEXT(Clean_Data[[#This Row],[OrderDate]], "dddd")</f>
        <v>Sunday</v>
      </c>
    </row>
    <row r="1406" spans="1:18" x14ac:dyDescent="0.25">
      <c r="A1406" t="s">
        <v>209</v>
      </c>
      <c r="B1406" s="4">
        <v>1030</v>
      </c>
      <c r="C1406" s="4">
        <v>206</v>
      </c>
      <c r="D1406" s="3">
        <v>8</v>
      </c>
      <c r="E1406" t="s">
        <v>885</v>
      </c>
      <c r="F1406" t="s">
        <v>892</v>
      </c>
      <c r="G1406" t="s">
        <v>898</v>
      </c>
      <c r="H1406" s="6">
        <f>_xlfn.XLOOKUP(A1406,Orders[OrderID],Orders[OrderDate])</f>
        <v>43243</v>
      </c>
      <c r="I1406" t="str">
        <f>_xlfn.XLOOKUP(A1406,Orders[OrderID],Orders[CustomerName])</f>
        <v>Anjali</v>
      </c>
      <c r="J1406" t="str">
        <f>_xlfn.XLOOKUP(A1406,Orders[OrderID],Orders[State])</f>
        <v>Haryana</v>
      </c>
      <c r="K1406" t="str">
        <f>_xlfn.XLOOKUP(A1406,Orders[OrderID],Orders[City])</f>
        <v>Chandigarh</v>
      </c>
      <c r="L1406" s="3">
        <f>YEAR(Clean_Data[[#This Row],[OrderDate]])</f>
        <v>2018</v>
      </c>
      <c r="M1406" s="3">
        <f>MONTH(Clean_Data[[#This Row],[OrderDate]])</f>
        <v>5</v>
      </c>
      <c r="N1406" s="8" t="str">
        <f>TEXT(Clean_Data[[#This Row],[OrderDate]],"mmm")</f>
        <v>May</v>
      </c>
      <c r="O1406" s="8" t="str">
        <f>TEXT(Clean_Data[[#This Row],[OrderDate]], "yyyy-mm")</f>
        <v>2018-05</v>
      </c>
      <c r="P1406" s="7">
        <f>Clean_Data[[#This Row],[Profit]]/Clean_Data[[#This Row],[Revenue ]]</f>
        <v>0.2</v>
      </c>
      <c r="Q1406" t="str">
        <f>"Q"&amp;ROUNDUP(MONTH(Clean_Data[[#This Row],[OrderDate]])/3,0)</f>
        <v>Q2</v>
      </c>
      <c r="R1406" t="str">
        <f>TEXT(Clean_Data[[#This Row],[OrderDate]], "dddd")</f>
        <v>Wednesday</v>
      </c>
    </row>
    <row r="1407" spans="1:18" x14ac:dyDescent="0.25">
      <c r="A1407" t="s">
        <v>212</v>
      </c>
      <c r="B1407" s="4">
        <v>620</v>
      </c>
      <c r="C1407" s="4">
        <v>82</v>
      </c>
      <c r="D1407" s="3">
        <v>6</v>
      </c>
      <c r="E1407" t="s">
        <v>885</v>
      </c>
      <c r="F1407" t="s">
        <v>905</v>
      </c>
      <c r="G1407" t="s">
        <v>887</v>
      </c>
      <c r="H1407" s="6">
        <f>_xlfn.XLOOKUP(A1407,Orders[OrderID],Orders[OrderDate])</f>
        <v>43329</v>
      </c>
      <c r="I1407" t="str">
        <f>_xlfn.XLOOKUP(A1407,Orders[OrderID],Orders[CustomerName])</f>
        <v>Shivam</v>
      </c>
      <c r="J1407" t="str">
        <f>_xlfn.XLOOKUP(A1407,Orders[OrderID],Orders[State])</f>
        <v>Uttar Pradesh</v>
      </c>
      <c r="K1407" t="str">
        <f>_xlfn.XLOOKUP(A1407,Orders[OrderID],Orders[City])</f>
        <v>Lucknow</v>
      </c>
      <c r="L1407" s="3">
        <f>YEAR(Clean_Data[[#This Row],[OrderDate]])</f>
        <v>2018</v>
      </c>
      <c r="M1407" s="3">
        <f>MONTH(Clean_Data[[#This Row],[OrderDate]])</f>
        <v>8</v>
      </c>
      <c r="N1407" s="8" t="str">
        <f>TEXT(Clean_Data[[#This Row],[OrderDate]],"mmm")</f>
        <v>Aug</v>
      </c>
      <c r="O1407" s="8" t="str">
        <f>TEXT(Clean_Data[[#This Row],[OrderDate]], "yyyy-mm")</f>
        <v>2018-08</v>
      </c>
      <c r="P1407" s="7">
        <f>Clean_Data[[#This Row],[Profit]]/Clean_Data[[#This Row],[Revenue ]]</f>
        <v>0.13225806451612904</v>
      </c>
      <c r="Q1407" t="str">
        <f>"Q"&amp;ROUNDUP(MONTH(Clean_Data[[#This Row],[OrderDate]])/3,0)</f>
        <v>Q3</v>
      </c>
      <c r="R1407" t="str">
        <f>TEXT(Clean_Data[[#This Row],[OrderDate]], "dddd")</f>
        <v>Friday</v>
      </c>
    </row>
    <row r="1408" spans="1:18" x14ac:dyDescent="0.25">
      <c r="A1408" t="s">
        <v>320</v>
      </c>
      <c r="B1408" s="4">
        <v>16</v>
      </c>
      <c r="C1408" s="4">
        <v>8</v>
      </c>
      <c r="D1408" s="3">
        <v>2</v>
      </c>
      <c r="E1408" t="s">
        <v>895</v>
      </c>
      <c r="F1408" t="s">
        <v>899</v>
      </c>
      <c r="G1408" t="s">
        <v>887</v>
      </c>
      <c r="H1408" s="6">
        <f>_xlfn.XLOOKUP(A1408,Orders[OrderID],Orders[OrderDate])</f>
        <v>43407</v>
      </c>
      <c r="I1408" t="str">
        <f>_xlfn.XLOOKUP(A1408,Orders[OrderID],Orders[CustomerName])</f>
        <v>Rohan</v>
      </c>
      <c r="J1408" t="str">
        <f>_xlfn.XLOOKUP(A1408,Orders[OrderID],Orders[State])</f>
        <v>Himachal Pradesh</v>
      </c>
      <c r="K1408" t="str">
        <f>_xlfn.XLOOKUP(A1408,Orders[OrderID],Orders[City])</f>
        <v>Simla</v>
      </c>
      <c r="L1408" s="3">
        <f>YEAR(Clean_Data[[#This Row],[OrderDate]])</f>
        <v>2018</v>
      </c>
      <c r="M1408" s="3">
        <f>MONTH(Clean_Data[[#This Row],[OrderDate]])</f>
        <v>11</v>
      </c>
      <c r="N1408" s="8" t="str">
        <f>TEXT(Clean_Data[[#This Row],[OrderDate]],"mmm")</f>
        <v>Nov</v>
      </c>
      <c r="O1408" s="8" t="str">
        <f>TEXT(Clean_Data[[#This Row],[OrderDate]], "yyyy-mm")</f>
        <v>2018-11</v>
      </c>
      <c r="P1408" s="7">
        <f>Clean_Data[[#This Row],[Profit]]/Clean_Data[[#This Row],[Revenue ]]</f>
        <v>0.5</v>
      </c>
      <c r="Q1408" t="str">
        <f>"Q"&amp;ROUNDUP(MONTH(Clean_Data[[#This Row],[OrderDate]])/3,0)</f>
        <v>Q4</v>
      </c>
      <c r="R1408" t="str">
        <f>TEXT(Clean_Data[[#This Row],[OrderDate]], "dddd")</f>
        <v>Saturday</v>
      </c>
    </row>
    <row r="1409" spans="1:18" x14ac:dyDescent="0.25">
      <c r="A1409" t="s">
        <v>313</v>
      </c>
      <c r="B1409" s="4">
        <v>19</v>
      </c>
      <c r="C1409" s="4">
        <v>8</v>
      </c>
      <c r="D1409" s="3">
        <v>2</v>
      </c>
      <c r="E1409" t="s">
        <v>895</v>
      </c>
      <c r="F1409" t="s">
        <v>899</v>
      </c>
      <c r="G1409" t="s">
        <v>893</v>
      </c>
      <c r="H1409" s="6">
        <f>_xlfn.XLOOKUP(A1409,Orders[OrderID],Orders[OrderDate])</f>
        <v>43187</v>
      </c>
      <c r="I1409" t="str">
        <f>_xlfn.XLOOKUP(A1409,Orders[OrderID],Orders[CustomerName])</f>
        <v>Vini</v>
      </c>
      <c r="J1409" t="str">
        <f>_xlfn.XLOOKUP(A1409,Orders[OrderID],Orders[State])</f>
        <v>Karnataka</v>
      </c>
      <c r="K1409" t="str">
        <f>_xlfn.XLOOKUP(A1409,Orders[OrderID],Orders[City])</f>
        <v>Bangalore</v>
      </c>
      <c r="L1409" s="3">
        <f>YEAR(Clean_Data[[#This Row],[OrderDate]])</f>
        <v>2018</v>
      </c>
      <c r="M1409" s="3">
        <f>MONTH(Clean_Data[[#This Row],[OrderDate]])</f>
        <v>3</v>
      </c>
      <c r="N1409" s="8" t="str">
        <f>TEXT(Clean_Data[[#This Row],[OrderDate]],"mmm")</f>
        <v>Mar</v>
      </c>
      <c r="O1409" s="8" t="str">
        <f>TEXT(Clean_Data[[#This Row],[OrderDate]], "yyyy-mm")</f>
        <v>2018-03</v>
      </c>
      <c r="P1409" s="7">
        <f>Clean_Data[[#This Row],[Profit]]/Clean_Data[[#This Row],[Revenue ]]</f>
        <v>0.42105263157894735</v>
      </c>
      <c r="Q1409" t="str">
        <f>"Q"&amp;ROUNDUP(MONTH(Clean_Data[[#This Row],[OrderDate]])/3,0)</f>
        <v>Q1</v>
      </c>
      <c r="R1409" t="str">
        <f>TEXT(Clean_Data[[#This Row],[OrderDate]], "dddd")</f>
        <v>Wednesday</v>
      </c>
    </row>
    <row r="1410" spans="1:18" x14ac:dyDescent="0.25">
      <c r="A1410" t="s">
        <v>300</v>
      </c>
      <c r="B1410" s="4">
        <v>249</v>
      </c>
      <c r="C1410" s="4">
        <v>-130</v>
      </c>
      <c r="D1410" s="3">
        <v>4</v>
      </c>
      <c r="E1410" t="s">
        <v>885</v>
      </c>
      <c r="F1410" t="s">
        <v>894</v>
      </c>
      <c r="G1410" t="s">
        <v>898</v>
      </c>
      <c r="H1410" s="6">
        <f>_xlfn.XLOOKUP(A1410,Orders[OrderID],Orders[OrderDate])</f>
        <v>43216</v>
      </c>
      <c r="I1410" t="str">
        <f>_xlfn.XLOOKUP(A1410,Orders[OrderID],Orders[CustomerName])</f>
        <v>Amit</v>
      </c>
      <c r="J1410" t="str">
        <f>_xlfn.XLOOKUP(A1410,Orders[OrderID],Orders[State])</f>
        <v>Sikkim</v>
      </c>
      <c r="K1410" t="str">
        <f>_xlfn.XLOOKUP(A1410,Orders[OrderID],Orders[City])</f>
        <v>Gangtok</v>
      </c>
      <c r="L1410" s="3">
        <f>YEAR(Clean_Data[[#This Row],[OrderDate]])</f>
        <v>2018</v>
      </c>
      <c r="M1410" s="3">
        <f>MONTH(Clean_Data[[#This Row],[OrderDate]])</f>
        <v>4</v>
      </c>
      <c r="N1410" s="8" t="str">
        <f>TEXT(Clean_Data[[#This Row],[OrderDate]],"mmm")</f>
        <v>Apr</v>
      </c>
      <c r="O1410" s="8" t="str">
        <f>TEXT(Clean_Data[[#This Row],[OrderDate]], "yyyy-mm")</f>
        <v>2018-04</v>
      </c>
      <c r="P1410" s="7">
        <f>Clean_Data[[#This Row],[Profit]]/Clean_Data[[#This Row],[Revenue ]]</f>
        <v>-0.52208835341365467</v>
      </c>
      <c r="Q1410" t="str">
        <f>"Q"&amp;ROUNDUP(MONTH(Clean_Data[[#This Row],[OrderDate]])/3,0)</f>
        <v>Q2</v>
      </c>
      <c r="R1410" t="str">
        <f>TEXT(Clean_Data[[#This Row],[OrderDate]], "dddd")</f>
        <v>Thursday</v>
      </c>
    </row>
    <row r="1411" spans="1:18" x14ac:dyDescent="0.25">
      <c r="A1411" t="s">
        <v>696</v>
      </c>
      <c r="B1411" s="4">
        <v>16</v>
      </c>
      <c r="C1411" s="4">
        <v>6</v>
      </c>
      <c r="D1411" s="3">
        <v>1</v>
      </c>
      <c r="E1411" t="s">
        <v>895</v>
      </c>
      <c r="F1411" t="s">
        <v>903</v>
      </c>
      <c r="G1411" t="s">
        <v>887</v>
      </c>
      <c r="H1411" s="6">
        <f>_xlfn.XLOOKUP(A1411,Orders[OrderID],Orders[OrderDate])</f>
        <v>43380</v>
      </c>
      <c r="I1411" t="str">
        <f>_xlfn.XLOOKUP(A1411,Orders[OrderID],Orders[CustomerName])</f>
        <v>Vipul</v>
      </c>
      <c r="J1411" t="str">
        <f>_xlfn.XLOOKUP(A1411,Orders[OrderID],Orders[State])</f>
        <v>Uttar Pradesh</v>
      </c>
      <c r="K1411" t="str">
        <f>_xlfn.XLOOKUP(A1411,Orders[OrderID],Orders[City])</f>
        <v>Lucknow</v>
      </c>
      <c r="L1411" s="3">
        <f>YEAR(Clean_Data[[#This Row],[OrderDate]])</f>
        <v>2018</v>
      </c>
      <c r="M1411" s="3">
        <f>MONTH(Clean_Data[[#This Row],[OrderDate]])</f>
        <v>10</v>
      </c>
      <c r="N1411" s="8" t="str">
        <f>TEXT(Clean_Data[[#This Row],[OrderDate]],"mmm")</f>
        <v>Oct</v>
      </c>
      <c r="O1411" s="8" t="str">
        <f>TEXT(Clean_Data[[#This Row],[OrderDate]], "yyyy-mm")</f>
        <v>2018-10</v>
      </c>
      <c r="P1411" s="7">
        <f>Clean_Data[[#This Row],[Profit]]/Clean_Data[[#This Row],[Revenue ]]</f>
        <v>0.375</v>
      </c>
      <c r="Q1411" t="str">
        <f>"Q"&amp;ROUNDUP(MONTH(Clean_Data[[#This Row],[OrderDate]])/3,0)</f>
        <v>Q4</v>
      </c>
      <c r="R1411" t="str">
        <f>TEXT(Clean_Data[[#This Row],[OrderDate]], "dddd")</f>
        <v>Sunday</v>
      </c>
    </row>
    <row r="1412" spans="1:18" x14ac:dyDescent="0.25">
      <c r="A1412" t="s">
        <v>130</v>
      </c>
      <c r="B1412" s="4">
        <v>1361</v>
      </c>
      <c r="C1412" s="4">
        <v>197</v>
      </c>
      <c r="D1412" s="3">
        <v>9</v>
      </c>
      <c r="E1412" t="s">
        <v>888</v>
      </c>
      <c r="F1412" t="s">
        <v>891</v>
      </c>
      <c r="G1412" t="s">
        <v>887</v>
      </c>
      <c r="H1412" s="6">
        <f>_xlfn.XLOOKUP(A1412,Orders[OrderID],Orders[OrderDate])</f>
        <v>43326</v>
      </c>
      <c r="I1412" t="str">
        <f>_xlfn.XLOOKUP(A1412,Orders[OrderID],Orders[CustomerName])</f>
        <v>Vaibhav</v>
      </c>
      <c r="J1412" t="str">
        <f>_xlfn.XLOOKUP(A1412,Orders[OrderID],Orders[State])</f>
        <v>Madhya Pradesh</v>
      </c>
      <c r="K1412" t="str">
        <f>_xlfn.XLOOKUP(A1412,Orders[OrderID],Orders[City])</f>
        <v>Indore</v>
      </c>
      <c r="L1412" s="3">
        <f>YEAR(Clean_Data[[#This Row],[OrderDate]])</f>
        <v>2018</v>
      </c>
      <c r="M1412" s="3">
        <f>MONTH(Clean_Data[[#This Row],[OrderDate]])</f>
        <v>8</v>
      </c>
      <c r="N1412" s="8" t="str">
        <f>TEXT(Clean_Data[[#This Row],[OrderDate]],"mmm")</f>
        <v>Aug</v>
      </c>
      <c r="O1412" s="8" t="str">
        <f>TEXT(Clean_Data[[#This Row],[OrderDate]], "yyyy-mm")</f>
        <v>2018-08</v>
      </c>
      <c r="P1412" s="7">
        <f>Clean_Data[[#This Row],[Profit]]/Clean_Data[[#This Row],[Revenue ]]</f>
        <v>0.14474650991917706</v>
      </c>
      <c r="Q1412" t="str">
        <f>"Q"&amp;ROUNDUP(MONTH(Clean_Data[[#This Row],[OrderDate]])/3,0)</f>
        <v>Q3</v>
      </c>
      <c r="R1412" t="str">
        <f>TEXT(Clean_Data[[#This Row],[OrderDate]], "dddd")</f>
        <v>Tuesday</v>
      </c>
    </row>
    <row r="1413" spans="1:18" x14ac:dyDescent="0.25">
      <c r="A1413" t="s">
        <v>267</v>
      </c>
      <c r="B1413" s="4">
        <v>15</v>
      </c>
      <c r="C1413" s="4">
        <v>1</v>
      </c>
      <c r="D1413" s="3">
        <v>1</v>
      </c>
      <c r="E1413" t="s">
        <v>895</v>
      </c>
      <c r="F1413" t="s">
        <v>909</v>
      </c>
      <c r="G1413" t="s">
        <v>887</v>
      </c>
      <c r="H1413" s="6">
        <f>_xlfn.XLOOKUP(A1413,Orders[OrderID],Orders[OrderDate])</f>
        <v>43167</v>
      </c>
      <c r="I1413" t="str">
        <f>_xlfn.XLOOKUP(A1413,Orders[OrderID],Orders[CustomerName])</f>
        <v>Ajay</v>
      </c>
      <c r="J1413" t="str">
        <f>_xlfn.XLOOKUP(A1413,Orders[OrderID],Orders[State])</f>
        <v>Karnataka</v>
      </c>
      <c r="K1413" t="str">
        <f>_xlfn.XLOOKUP(A1413,Orders[OrderID],Orders[City])</f>
        <v>Bangalore</v>
      </c>
      <c r="L1413" s="3">
        <f>YEAR(Clean_Data[[#This Row],[OrderDate]])</f>
        <v>2018</v>
      </c>
      <c r="M1413" s="3">
        <f>MONTH(Clean_Data[[#This Row],[OrderDate]])</f>
        <v>3</v>
      </c>
      <c r="N1413" s="8" t="str">
        <f>TEXT(Clean_Data[[#This Row],[OrderDate]],"mmm")</f>
        <v>Mar</v>
      </c>
      <c r="O1413" s="8" t="str">
        <f>TEXT(Clean_Data[[#This Row],[OrderDate]], "yyyy-mm")</f>
        <v>2018-03</v>
      </c>
      <c r="P1413" s="7">
        <f>Clean_Data[[#This Row],[Profit]]/Clean_Data[[#This Row],[Revenue ]]</f>
        <v>6.6666666666666666E-2</v>
      </c>
      <c r="Q1413" t="str">
        <f>"Q"&amp;ROUNDUP(MONTH(Clean_Data[[#This Row],[OrderDate]])/3,0)</f>
        <v>Q1</v>
      </c>
      <c r="R1413" t="str">
        <f>TEXT(Clean_Data[[#This Row],[OrderDate]], "dddd")</f>
        <v>Thursday</v>
      </c>
    </row>
    <row r="1414" spans="1:18" x14ac:dyDescent="0.25">
      <c r="A1414" t="s">
        <v>197</v>
      </c>
      <c r="B1414" s="4">
        <v>1076</v>
      </c>
      <c r="C1414" s="4">
        <v>-38</v>
      </c>
      <c r="D1414" s="3">
        <v>4</v>
      </c>
      <c r="E1414" t="s">
        <v>885</v>
      </c>
      <c r="F1414" t="s">
        <v>892</v>
      </c>
      <c r="G1414" t="s">
        <v>887</v>
      </c>
      <c r="H1414" s="6">
        <f>_xlfn.XLOOKUP(A1414,Orders[OrderID],Orders[OrderDate])</f>
        <v>43199</v>
      </c>
      <c r="I1414" t="str">
        <f>_xlfn.XLOOKUP(A1414,Orders[OrderID],Orders[CustomerName])</f>
        <v>Yogesh</v>
      </c>
      <c r="J1414" t="str">
        <f>_xlfn.XLOOKUP(A1414,Orders[OrderID],Orders[State])</f>
        <v>Bihar</v>
      </c>
      <c r="K1414" t="str">
        <f>_xlfn.XLOOKUP(A1414,Orders[OrderID],Orders[City])</f>
        <v>Patna</v>
      </c>
      <c r="L1414" s="3">
        <f>YEAR(Clean_Data[[#This Row],[OrderDate]])</f>
        <v>2018</v>
      </c>
      <c r="M1414" s="3">
        <f>MONTH(Clean_Data[[#This Row],[OrderDate]])</f>
        <v>4</v>
      </c>
      <c r="N1414" s="8" t="str">
        <f>TEXT(Clean_Data[[#This Row],[OrderDate]],"mmm")</f>
        <v>Apr</v>
      </c>
      <c r="O1414" s="8" t="str">
        <f>TEXT(Clean_Data[[#This Row],[OrderDate]], "yyyy-mm")</f>
        <v>2018-04</v>
      </c>
      <c r="P1414" s="7">
        <f>Clean_Data[[#This Row],[Profit]]/Clean_Data[[#This Row],[Revenue ]]</f>
        <v>-3.5315985130111527E-2</v>
      </c>
      <c r="Q1414" t="str">
        <f>"Q"&amp;ROUNDUP(MONTH(Clean_Data[[#This Row],[OrderDate]])/3,0)</f>
        <v>Q2</v>
      </c>
      <c r="R1414" t="str">
        <f>TEXT(Clean_Data[[#This Row],[OrderDate]], "dddd")</f>
        <v>Monday</v>
      </c>
    </row>
    <row r="1415" spans="1:18" x14ac:dyDescent="0.25">
      <c r="A1415" t="s">
        <v>321</v>
      </c>
      <c r="B1415" s="4">
        <v>18</v>
      </c>
      <c r="C1415" s="4">
        <v>2</v>
      </c>
      <c r="D1415" s="3">
        <v>3</v>
      </c>
      <c r="E1415" t="s">
        <v>895</v>
      </c>
      <c r="F1415" t="s">
        <v>899</v>
      </c>
      <c r="G1415" t="s">
        <v>893</v>
      </c>
      <c r="H1415" s="6">
        <f>_xlfn.XLOOKUP(A1415,Orders[OrderID],Orders[OrderDate])</f>
        <v>43436</v>
      </c>
      <c r="I1415" t="str">
        <f>_xlfn.XLOOKUP(A1415,Orders[OrderID],Orders[CustomerName])</f>
        <v>Rohan</v>
      </c>
      <c r="J1415" t="str">
        <f>_xlfn.XLOOKUP(A1415,Orders[OrderID],Orders[State])</f>
        <v>Punjab</v>
      </c>
      <c r="K1415" t="str">
        <f>_xlfn.XLOOKUP(A1415,Orders[OrderID],Orders[City])</f>
        <v>Amritsar</v>
      </c>
      <c r="L1415" s="3">
        <f>YEAR(Clean_Data[[#This Row],[OrderDate]])</f>
        <v>2018</v>
      </c>
      <c r="M1415" s="3">
        <f>MONTH(Clean_Data[[#This Row],[OrderDate]])</f>
        <v>12</v>
      </c>
      <c r="N1415" s="8" t="str">
        <f>TEXT(Clean_Data[[#This Row],[OrderDate]],"mmm")</f>
        <v>Dec</v>
      </c>
      <c r="O1415" s="8" t="str">
        <f>TEXT(Clean_Data[[#This Row],[OrderDate]], "yyyy-mm")</f>
        <v>2018-12</v>
      </c>
      <c r="P1415" s="7">
        <f>Clean_Data[[#This Row],[Profit]]/Clean_Data[[#This Row],[Revenue ]]</f>
        <v>0.1111111111111111</v>
      </c>
      <c r="Q1415" t="str">
        <f>"Q"&amp;ROUNDUP(MONTH(Clean_Data[[#This Row],[OrderDate]])/3,0)</f>
        <v>Q4</v>
      </c>
      <c r="R1415" t="str">
        <f>TEXT(Clean_Data[[#This Row],[OrderDate]], "dddd")</f>
        <v>Sunday</v>
      </c>
    </row>
    <row r="1416" spans="1:18" x14ac:dyDescent="0.25">
      <c r="A1416" t="s">
        <v>195</v>
      </c>
      <c r="B1416" s="4">
        <v>1101</v>
      </c>
      <c r="C1416" s="4">
        <v>352</v>
      </c>
      <c r="D1416" s="3">
        <v>3</v>
      </c>
      <c r="E1416" t="s">
        <v>888</v>
      </c>
      <c r="F1416" t="s">
        <v>891</v>
      </c>
      <c r="G1416" t="s">
        <v>898</v>
      </c>
      <c r="H1416" s="6">
        <f>_xlfn.XLOOKUP(A1416,Orders[OrderID],Orders[OrderDate])</f>
        <v>43105</v>
      </c>
      <c r="I1416" t="str">
        <f>_xlfn.XLOOKUP(A1416,Orders[OrderID],Orders[CustomerName])</f>
        <v>Ankit</v>
      </c>
      <c r="J1416" t="str">
        <f>_xlfn.XLOOKUP(A1416,Orders[OrderID],Orders[State])</f>
        <v>Haryana</v>
      </c>
      <c r="K1416" t="str">
        <f>_xlfn.XLOOKUP(A1416,Orders[OrderID],Orders[City])</f>
        <v>Chandigarh</v>
      </c>
      <c r="L1416" s="3">
        <f>YEAR(Clean_Data[[#This Row],[OrderDate]])</f>
        <v>2018</v>
      </c>
      <c r="M1416" s="3">
        <f>MONTH(Clean_Data[[#This Row],[OrderDate]])</f>
        <v>1</v>
      </c>
      <c r="N1416" s="8" t="str">
        <f>TEXT(Clean_Data[[#This Row],[OrderDate]],"mmm")</f>
        <v>Jan</v>
      </c>
      <c r="O1416" s="8" t="str">
        <f>TEXT(Clean_Data[[#This Row],[OrderDate]], "yyyy-mm")</f>
        <v>2018-01</v>
      </c>
      <c r="P1416" s="7">
        <f>Clean_Data[[#This Row],[Profit]]/Clean_Data[[#This Row],[Revenue ]]</f>
        <v>0.31970935513169846</v>
      </c>
      <c r="Q1416" t="str">
        <f>"Q"&amp;ROUNDUP(MONTH(Clean_Data[[#This Row],[OrderDate]])/3,0)</f>
        <v>Q1</v>
      </c>
      <c r="R1416" t="str">
        <f>TEXT(Clean_Data[[#This Row],[OrderDate]], "dddd")</f>
        <v>Friday</v>
      </c>
    </row>
    <row r="1417" spans="1:18" x14ac:dyDescent="0.25">
      <c r="A1417" t="s">
        <v>369</v>
      </c>
      <c r="B1417" s="4">
        <v>15</v>
      </c>
      <c r="C1417" s="4">
        <v>2</v>
      </c>
      <c r="D1417" s="3">
        <v>1</v>
      </c>
      <c r="E1417" t="s">
        <v>895</v>
      </c>
      <c r="F1417" t="s">
        <v>904</v>
      </c>
      <c r="G1417" t="s">
        <v>887</v>
      </c>
      <c r="H1417" s="6">
        <f>_xlfn.XLOOKUP(A1417,Orders[OrderID],Orders[OrderDate])</f>
        <v>43397</v>
      </c>
      <c r="I1417" t="str">
        <f>_xlfn.XLOOKUP(A1417,Orders[OrderID],Orders[CustomerName])</f>
        <v>Nikita</v>
      </c>
      <c r="J1417" t="str">
        <f>_xlfn.XLOOKUP(A1417,Orders[OrderID],Orders[State])</f>
        <v>Punjab</v>
      </c>
      <c r="K1417" t="str">
        <f>_xlfn.XLOOKUP(A1417,Orders[OrderID],Orders[City])</f>
        <v>Chandigarh</v>
      </c>
      <c r="L1417" s="3">
        <f>YEAR(Clean_Data[[#This Row],[OrderDate]])</f>
        <v>2018</v>
      </c>
      <c r="M1417" s="3">
        <f>MONTH(Clean_Data[[#This Row],[OrderDate]])</f>
        <v>10</v>
      </c>
      <c r="N1417" s="8" t="str">
        <f>TEXT(Clean_Data[[#This Row],[OrderDate]],"mmm")</f>
        <v>Oct</v>
      </c>
      <c r="O1417" s="8" t="str">
        <f>TEXT(Clean_Data[[#This Row],[OrderDate]], "yyyy-mm")</f>
        <v>2018-10</v>
      </c>
      <c r="P1417" s="7">
        <f>Clean_Data[[#This Row],[Profit]]/Clean_Data[[#This Row],[Revenue ]]</f>
        <v>0.13333333333333333</v>
      </c>
      <c r="Q1417" t="str">
        <f>"Q"&amp;ROUNDUP(MONTH(Clean_Data[[#This Row],[OrderDate]])/3,0)</f>
        <v>Q4</v>
      </c>
      <c r="R1417" t="str">
        <f>TEXT(Clean_Data[[#This Row],[OrderDate]], "dddd")</f>
        <v>Wednesday</v>
      </c>
    </row>
    <row r="1418" spans="1:18" x14ac:dyDescent="0.25">
      <c r="A1418" t="s">
        <v>120</v>
      </c>
      <c r="B1418" s="4">
        <v>1104</v>
      </c>
      <c r="C1418" s="4">
        <v>209</v>
      </c>
      <c r="D1418" s="3">
        <v>4</v>
      </c>
      <c r="E1418" t="s">
        <v>895</v>
      </c>
      <c r="F1418" t="s">
        <v>896</v>
      </c>
      <c r="G1418" t="s">
        <v>898</v>
      </c>
      <c r="H1418" s="6">
        <f>_xlfn.XLOOKUP(A1418,Orders[OrderID],Orders[OrderDate])</f>
        <v>43163</v>
      </c>
      <c r="I1418" t="str">
        <f>_xlfn.XLOOKUP(A1418,Orders[OrderID],Orders[CustomerName])</f>
        <v>Parth</v>
      </c>
      <c r="J1418" t="str">
        <f>_xlfn.XLOOKUP(A1418,Orders[OrderID],Orders[State])</f>
        <v>Maharashtra</v>
      </c>
      <c r="K1418" t="str">
        <f>_xlfn.XLOOKUP(A1418,Orders[OrderID],Orders[City])</f>
        <v>Pune</v>
      </c>
      <c r="L1418" s="3">
        <f>YEAR(Clean_Data[[#This Row],[OrderDate]])</f>
        <v>2018</v>
      </c>
      <c r="M1418" s="3">
        <f>MONTH(Clean_Data[[#This Row],[OrderDate]])</f>
        <v>3</v>
      </c>
      <c r="N1418" s="8" t="str">
        <f>TEXT(Clean_Data[[#This Row],[OrderDate]],"mmm")</f>
        <v>Mar</v>
      </c>
      <c r="O1418" s="8" t="str">
        <f>TEXT(Clean_Data[[#This Row],[OrderDate]], "yyyy-mm")</f>
        <v>2018-03</v>
      </c>
      <c r="P1418" s="7">
        <f>Clean_Data[[#This Row],[Profit]]/Clean_Data[[#This Row],[Revenue ]]</f>
        <v>0.18931159420289856</v>
      </c>
      <c r="Q1418" t="str">
        <f>"Q"&amp;ROUNDUP(MONTH(Clean_Data[[#This Row],[OrderDate]])/3,0)</f>
        <v>Q1</v>
      </c>
      <c r="R1418" t="str">
        <f>TEXT(Clean_Data[[#This Row],[OrderDate]], "dddd")</f>
        <v>Sunday</v>
      </c>
    </row>
    <row r="1419" spans="1:18" x14ac:dyDescent="0.25">
      <c r="A1419" t="s">
        <v>318</v>
      </c>
      <c r="B1419" s="4">
        <v>14</v>
      </c>
      <c r="C1419" s="4">
        <v>2</v>
      </c>
      <c r="D1419" s="3">
        <v>1</v>
      </c>
      <c r="E1419" t="s">
        <v>895</v>
      </c>
      <c r="F1419" t="s">
        <v>899</v>
      </c>
      <c r="G1419" t="s">
        <v>887</v>
      </c>
      <c r="H1419" s="6">
        <f>_xlfn.XLOOKUP(A1419,Orders[OrderID],Orders[OrderDate])</f>
        <v>43245</v>
      </c>
      <c r="I1419" t="str">
        <f>_xlfn.XLOOKUP(A1419,Orders[OrderID],Orders[CustomerName])</f>
        <v>Charika</v>
      </c>
      <c r="J1419" t="str">
        <f>_xlfn.XLOOKUP(A1419,Orders[OrderID],Orders[State])</f>
        <v>Goa</v>
      </c>
      <c r="K1419" t="str">
        <f>_xlfn.XLOOKUP(A1419,Orders[OrderID],Orders[City])</f>
        <v>Goa</v>
      </c>
      <c r="L1419" s="3">
        <f>YEAR(Clean_Data[[#This Row],[OrderDate]])</f>
        <v>2018</v>
      </c>
      <c r="M1419" s="3">
        <f>MONTH(Clean_Data[[#This Row],[OrderDate]])</f>
        <v>5</v>
      </c>
      <c r="N1419" s="8" t="str">
        <f>TEXT(Clean_Data[[#This Row],[OrderDate]],"mmm")</f>
        <v>May</v>
      </c>
      <c r="O1419" s="8" t="str">
        <f>TEXT(Clean_Data[[#This Row],[OrderDate]], "yyyy-mm")</f>
        <v>2018-05</v>
      </c>
      <c r="P1419" s="7">
        <f>Clean_Data[[#This Row],[Profit]]/Clean_Data[[#This Row],[Revenue ]]</f>
        <v>0.14285714285714285</v>
      </c>
      <c r="Q1419" t="str">
        <f>"Q"&amp;ROUNDUP(MONTH(Clean_Data[[#This Row],[OrderDate]])/3,0)</f>
        <v>Q2</v>
      </c>
      <c r="R1419" t="str">
        <f>TEXT(Clean_Data[[#This Row],[OrderDate]], "dddd")</f>
        <v>Friday</v>
      </c>
    </row>
    <row r="1420" spans="1:18" x14ac:dyDescent="0.25">
      <c r="A1420" t="s">
        <v>16</v>
      </c>
      <c r="B1420" s="4">
        <v>14</v>
      </c>
      <c r="C1420" s="4">
        <v>5</v>
      </c>
      <c r="D1420" s="3">
        <v>1</v>
      </c>
      <c r="E1420" t="s">
        <v>895</v>
      </c>
      <c r="F1420" t="s">
        <v>899</v>
      </c>
      <c r="G1420" t="s">
        <v>887</v>
      </c>
      <c r="H1420" s="6">
        <f>_xlfn.XLOOKUP(A1420,Orders[OrderID],Orders[OrderDate])</f>
        <v>43333</v>
      </c>
      <c r="I1420" t="str">
        <f>_xlfn.XLOOKUP(A1420,Orders[OrderID],Orders[CustomerName])</f>
        <v>Vishakha</v>
      </c>
      <c r="J1420" t="str">
        <f>_xlfn.XLOOKUP(A1420,Orders[OrderID],Orders[State])</f>
        <v>Madhya Pradesh</v>
      </c>
      <c r="K1420" t="str">
        <f>_xlfn.XLOOKUP(A1420,Orders[OrderID],Orders[City])</f>
        <v>Indore</v>
      </c>
      <c r="L1420" s="3">
        <f>YEAR(Clean_Data[[#This Row],[OrderDate]])</f>
        <v>2018</v>
      </c>
      <c r="M1420" s="3">
        <f>MONTH(Clean_Data[[#This Row],[OrderDate]])</f>
        <v>8</v>
      </c>
      <c r="N1420" s="8" t="str">
        <f>TEXT(Clean_Data[[#This Row],[OrderDate]],"mmm")</f>
        <v>Aug</v>
      </c>
      <c r="O1420" s="8" t="str">
        <f>TEXT(Clean_Data[[#This Row],[OrderDate]], "yyyy-mm")</f>
        <v>2018-08</v>
      </c>
      <c r="P1420" s="7">
        <f>Clean_Data[[#This Row],[Profit]]/Clean_Data[[#This Row],[Revenue ]]</f>
        <v>0.35714285714285715</v>
      </c>
      <c r="Q1420" t="str">
        <f>"Q"&amp;ROUNDUP(MONTH(Clean_Data[[#This Row],[OrderDate]])/3,0)</f>
        <v>Q3</v>
      </c>
      <c r="R1420" t="str">
        <f>TEXT(Clean_Data[[#This Row],[OrderDate]], "dddd")</f>
        <v>Tuesday</v>
      </c>
    </row>
    <row r="1421" spans="1:18" x14ac:dyDescent="0.25">
      <c r="A1421" t="s">
        <v>373</v>
      </c>
      <c r="B1421" s="4">
        <v>14</v>
      </c>
      <c r="C1421" s="4">
        <v>-3</v>
      </c>
      <c r="D1421" s="3">
        <v>2</v>
      </c>
      <c r="E1421" t="s">
        <v>895</v>
      </c>
      <c r="F1421" t="s">
        <v>904</v>
      </c>
      <c r="G1421" t="s">
        <v>887</v>
      </c>
      <c r="H1421" s="6">
        <f>_xlfn.XLOOKUP(A1421,Orders[OrderID],Orders[OrderDate])</f>
        <v>43326</v>
      </c>
      <c r="I1421" t="str">
        <f>_xlfn.XLOOKUP(A1421,Orders[OrderID],Orders[CustomerName])</f>
        <v>Nishant</v>
      </c>
      <c r="J1421" t="str">
        <f>_xlfn.XLOOKUP(A1421,Orders[OrderID],Orders[State])</f>
        <v>Maharashtra</v>
      </c>
      <c r="K1421" t="str">
        <f>_xlfn.XLOOKUP(A1421,Orders[OrderID],Orders[City])</f>
        <v>Mumbai</v>
      </c>
      <c r="L1421" s="3">
        <f>YEAR(Clean_Data[[#This Row],[OrderDate]])</f>
        <v>2018</v>
      </c>
      <c r="M1421" s="3">
        <f>MONTH(Clean_Data[[#This Row],[OrderDate]])</f>
        <v>8</v>
      </c>
      <c r="N1421" s="8" t="str">
        <f>TEXT(Clean_Data[[#This Row],[OrderDate]],"mmm")</f>
        <v>Aug</v>
      </c>
      <c r="O1421" s="8" t="str">
        <f>TEXT(Clean_Data[[#This Row],[OrderDate]], "yyyy-mm")</f>
        <v>2018-08</v>
      </c>
      <c r="P1421" s="7">
        <f>Clean_Data[[#This Row],[Profit]]/Clean_Data[[#This Row],[Revenue ]]</f>
        <v>-0.21428571428571427</v>
      </c>
      <c r="Q1421" t="str">
        <f>"Q"&amp;ROUNDUP(MONTH(Clean_Data[[#This Row],[OrderDate]])/3,0)</f>
        <v>Q3</v>
      </c>
      <c r="R1421" t="str">
        <f>TEXT(Clean_Data[[#This Row],[OrderDate]], "dddd")</f>
        <v>Tuesday</v>
      </c>
    </row>
    <row r="1422" spans="1:18" x14ac:dyDescent="0.25">
      <c r="A1422" t="s">
        <v>442</v>
      </c>
      <c r="B1422" s="4">
        <v>14</v>
      </c>
      <c r="C1422" s="4">
        <v>-1</v>
      </c>
      <c r="D1422" s="3">
        <v>4</v>
      </c>
      <c r="E1422" t="s">
        <v>895</v>
      </c>
      <c r="F1422" t="s">
        <v>900</v>
      </c>
      <c r="G1422" t="s">
        <v>887</v>
      </c>
      <c r="H1422" s="6">
        <f>_xlfn.XLOOKUP(A1422,Orders[OrderID],Orders[OrderDate])</f>
        <v>43262</v>
      </c>
      <c r="I1422" t="str">
        <f>_xlfn.XLOOKUP(A1422,Orders[OrderID],Orders[CustomerName])</f>
        <v>Sanjna</v>
      </c>
      <c r="J1422" t="str">
        <f>_xlfn.XLOOKUP(A1422,Orders[OrderID],Orders[State])</f>
        <v>Maharashtra</v>
      </c>
      <c r="K1422" t="str">
        <f>_xlfn.XLOOKUP(A1422,Orders[OrderID],Orders[City])</f>
        <v>Mumbai</v>
      </c>
      <c r="L1422" s="3">
        <f>YEAR(Clean_Data[[#This Row],[OrderDate]])</f>
        <v>2018</v>
      </c>
      <c r="M1422" s="3">
        <f>MONTH(Clean_Data[[#This Row],[OrderDate]])</f>
        <v>6</v>
      </c>
      <c r="N1422" s="8" t="str">
        <f>TEXT(Clean_Data[[#This Row],[OrderDate]],"mmm")</f>
        <v>Jun</v>
      </c>
      <c r="O1422" s="8" t="str">
        <f>TEXT(Clean_Data[[#This Row],[OrderDate]], "yyyy-mm")</f>
        <v>2018-06</v>
      </c>
      <c r="P1422" s="7">
        <f>Clean_Data[[#This Row],[Profit]]/Clean_Data[[#This Row],[Revenue ]]</f>
        <v>-7.1428571428571425E-2</v>
      </c>
      <c r="Q1422" t="str">
        <f>"Q"&amp;ROUNDUP(MONTH(Clean_Data[[#This Row],[OrderDate]])/3,0)</f>
        <v>Q2</v>
      </c>
      <c r="R1422" t="str">
        <f>TEXT(Clean_Data[[#This Row],[OrderDate]], "dddd")</f>
        <v>Monday</v>
      </c>
    </row>
    <row r="1423" spans="1:18" x14ac:dyDescent="0.25">
      <c r="A1423" t="s">
        <v>341</v>
      </c>
      <c r="B1423" s="4">
        <v>13</v>
      </c>
      <c r="C1423" s="4">
        <v>-8</v>
      </c>
      <c r="D1423" s="3">
        <v>1</v>
      </c>
      <c r="E1423" t="s">
        <v>895</v>
      </c>
      <c r="F1423" t="s">
        <v>906</v>
      </c>
      <c r="G1423" t="s">
        <v>887</v>
      </c>
      <c r="H1423" s="6">
        <f>_xlfn.XLOOKUP(A1423,Orders[OrderID],Orders[OrderDate])</f>
        <v>43286</v>
      </c>
      <c r="I1423" t="str">
        <f>_xlfn.XLOOKUP(A1423,Orders[OrderID],Orders[CustomerName])</f>
        <v>Megha</v>
      </c>
      <c r="J1423" t="str">
        <f>_xlfn.XLOOKUP(A1423,Orders[OrderID],Orders[State])</f>
        <v>Maharashtra</v>
      </c>
      <c r="K1423" t="str">
        <f>_xlfn.XLOOKUP(A1423,Orders[OrderID],Orders[City])</f>
        <v>Pune</v>
      </c>
      <c r="L1423" s="3">
        <f>YEAR(Clean_Data[[#This Row],[OrderDate]])</f>
        <v>2018</v>
      </c>
      <c r="M1423" s="3">
        <f>MONTH(Clean_Data[[#This Row],[OrderDate]])</f>
        <v>7</v>
      </c>
      <c r="N1423" s="8" t="str">
        <f>TEXT(Clean_Data[[#This Row],[OrderDate]],"mmm")</f>
        <v>Jul</v>
      </c>
      <c r="O1423" s="8" t="str">
        <f>TEXT(Clean_Data[[#This Row],[OrderDate]], "yyyy-mm")</f>
        <v>2018-07</v>
      </c>
      <c r="P1423" s="7">
        <f>Clean_Data[[#This Row],[Profit]]/Clean_Data[[#This Row],[Revenue ]]</f>
        <v>-0.61538461538461542</v>
      </c>
      <c r="Q1423" t="str">
        <f>"Q"&amp;ROUNDUP(MONTH(Clean_Data[[#This Row],[OrderDate]])/3,0)</f>
        <v>Q3</v>
      </c>
      <c r="R1423" t="str">
        <f>TEXT(Clean_Data[[#This Row],[OrderDate]], "dddd")</f>
        <v>Thursday</v>
      </c>
    </row>
    <row r="1424" spans="1:18" x14ac:dyDescent="0.25">
      <c r="A1424" t="s">
        <v>124</v>
      </c>
      <c r="B1424" s="4">
        <v>13</v>
      </c>
      <c r="C1424" s="4">
        <v>-1</v>
      </c>
      <c r="D1424" s="3">
        <v>3</v>
      </c>
      <c r="E1424" t="s">
        <v>895</v>
      </c>
      <c r="F1424" t="s">
        <v>899</v>
      </c>
      <c r="G1424" t="s">
        <v>887</v>
      </c>
      <c r="H1424" s="6">
        <f>_xlfn.XLOOKUP(A1424,Orders[OrderID],Orders[OrderDate])</f>
        <v>43231</v>
      </c>
      <c r="I1424" t="str">
        <f>_xlfn.XLOOKUP(A1424,Orders[OrderID],Orders[CustomerName])</f>
        <v>Priyanka</v>
      </c>
      <c r="J1424" t="str">
        <f>_xlfn.XLOOKUP(A1424,Orders[OrderID],Orders[State])</f>
        <v>Maharashtra</v>
      </c>
      <c r="K1424" t="str">
        <f>_xlfn.XLOOKUP(A1424,Orders[OrderID],Orders[City])</f>
        <v>Pune</v>
      </c>
      <c r="L1424" s="3">
        <f>YEAR(Clean_Data[[#This Row],[OrderDate]])</f>
        <v>2018</v>
      </c>
      <c r="M1424" s="3">
        <f>MONTH(Clean_Data[[#This Row],[OrderDate]])</f>
        <v>5</v>
      </c>
      <c r="N1424" s="8" t="str">
        <f>TEXT(Clean_Data[[#This Row],[OrderDate]],"mmm")</f>
        <v>May</v>
      </c>
      <c r="O1424" s="8" t="str">
        <f>TEXT(Clean_Data[[#This Row],[OrderDate]], "yyyy-mm")</f>
        <v>2018-05</v>
      </c>
      <c r="P1424" s="7">
        <f>Clean_Data[[#This Row],[Profit]]/Clean_Data[[#This Row],[Revenue ]]</f>
        <v>-7.6923076923076927E-2</v>
      </c>
      <c r="Q1424" t="str">
        <f>"Q"&amp;ROUNDUP(MONTH(Clean_Data[[#This Row],[OrderDate]])/3,0)</f>
        <v>Q2</v>
      </c>
      <c r="R1424" t="str">
        <f>TEXT(Clean_Data[[#This Row],[OrderDate]], "dddd")</f>
        <v>Friday</v>
      </c>
    </row>
    <row r="1425" spans="1:18" x14ac:dyDescent="0.25">
      <c r="A1425" t="s">
        <v>158</v>
      </c>
      <c r="B1425" s="4">
        <v>1275</v>
      </c>
      <c r="C1425" s="4">
        <v>1148</v>
      </c>
      <c r="D1425" s="3">
        <v>7</v>
      </c>
      <c r="E1425" t="s">
        <v>888</v>
      </c>
      <c r="F1425" t="s">
        <v>891</v>
      </c>
      <c r="G1425" t="s">
        <v>890</v>
      </c>
      <c r="H1425" s="6">
        <f>_xlfn.XLOOKUP(A1425,Orders[OrderID],Orders[OrderDate])</f>
        <v>43191</v>
      </c>
      <c r="I1425" t="str">
        <f>_xlfn.XLOOKUP(A1425,Orders[OrderID],Orders[CustomerName])</f>
        <v>Bharat</v>
      </c>
      <c r="J1425" t="str">
        <f>_xlfn.XLOOKUP(A1425,Orders[OrderID],Orders[State])</f>
        <v>Gujarat</v>
      </c>
      <c r="K1425" t="str">
        <f>_xlfn.XLOOKUP(A1425,Orders[OrderID],Orders[City])</f>
        <v>Ahmedabad</v>
      </c>
      <c r="L1425" s="3">
        <f>YEAR(Clean_Data[[#This Row],[OrderDate]])</f>
        <v>2018</v>
      </c>
      <c r="M1425" s="3">
        <f>MONTH(Clean_Data[[#This Row],[OrderDate]])</f>
        <v>4</v>
      </c>
      <c r="N1425" s="8" t="str">
        <f>TEXT(Clean_Data[[#This Row],[OrderDate]],"mmm")</f>
        <v>Apr</v>
      </c>
      <c r="O1425" s="8" t="str">
        <f>TEXT(Clean_Data[[#This Row],[OrderDate]], "yyyy-mm")</f>
        <v>2018-04</v>
      </c>
      <c r="P1425" s="7">
        <f>Clean_Data[[#This Row],[Profit]]/Clean_Data[[#This Row],[Revenue ]]</f>
        <v>0.9003921568627451</v>
      </c>
      <c r="Q1425" t="str">
        <f>"Q"&amp;ROUNDUP(MONTH(Clean_Data[[#This Row],[OrderDate]])/3,0)</f>
        <v>Q2</v>
      </c>
      <c r="R1425" t="str">
        <f>TEXT(Clean_Data[[#This Row],[OrderDate]], "dddd")</f>
        <v>Sunday</v>
      </c>
    </row>
    <row r="1426" spans="1:18" x14ac:dyDescent="0.25">
      <c r="A1426" t="s">
        <v>350</v>
      </c>
      <c r="B1426" s="4">
        <v>17</v>
      </c>
      <c r="C1426" s="4">
        <v>1</v>
      </c>
      <c r="D1426" s="3">
        <v>2</v>
      </c>
      <c r="E1426" t="s">
        <v>895</v>
      </c>
      <c r="F1426" t="s">
        <v>901</v>
      </c>
      <c r="G1426" t="s">
        <v>893</v>
      </c>
      <c r="H1426" s="6">
        <f>_xlfn.XLOOKUP(A1426,Orders[OrderID],Orders[OrderDate])</f>
        <v>43168</v>
      </c>
      <c r="I1426" t="str">
        <f>_xlfn.XLOOKUP(A1426,Orders[OrderID],Orders[CustomerName])</f>
        <v>Kirti</v>
      </c>
      <c r="J1426" t="str">
        <f>_xlfn.XLOOKUP(A1426,Orders[OrderID],Orders[State])</f>
        <v>Jammu and Kashmir</v>
      </c>
      <c r="K1426" t="str">
        <f>_xlfn.XLOOKUP(A1426,Orders[OrderID],Orders[City])</f>
        <v>Kashmir</v>
      </c>
      <c r="L1426" s="3">
        <f>YEAR(Clean_Data[[#This Row],[OrderDate]])</f>
        <v>2018</v>
      </c>
      <c r="M1426" s="3">
        <f>MONTH(Clean_Data[[#This Row],[OrderDate]])</f>
        <v>3</v>
      </c>
      <c r="N1426" s="8" t="str">
        <f>TEXT(Clean_Data[[#This Row],[OrderDate]],"mmm")</f>
        <v>Mar</v>
      </c>
      <c r="O1426" s="8" t="str">
        <f>TEXT(Clean_Data[[#This Row],[OrderDate]], "yyyy-mm")</f>
        <v>2018-03</v>
      </c>
      <c r="P1426" s="7">
        <f>Clean_Data[[#This Row],[Profit]]/Clean_Data[[#This Row],[Revenue ]]</f>
        <v>5.8823529411764705E-2</v>
      </c>
      <c r="Q1426" t="str">
        <f>"Q"&amp;ROUNDUP(MONTH(Clean_Data[[#This Row],[OrderDate]])/3,0)</f>
        <v>Q1</v>
      </c>
      <c r="R1426" t="str">
        <f>TEXT(Clean_Data[[#This Row],[OrderDate]], "dddd")</f>
        <v>Friday</v>
      </c>
    </row>
    <row r="1427" spans="1:18" x14ac:dyDescent="0.25">
      <c r="A1427" t="s">
        <v>625</v>
      </c>
      <c r="B1427" s="4">
        <v>13</v>
      </c>
      <c r="C1427" s="4">
        <v>0</v>
      </c>
      <c r="D1427" s="3">
        <v>2</v>
      </c>
      <c r="E1427" t="s">
        <v>895</v>
      </c>
      <c r="F1427" t="s">
        <v>899</v>
      </c>
      <c r="G1427" t="s">
        <v>887</v>
      </c>
      <c r="H1427" s="6">
        <f>_xlfn.XLOOKUP(A1427,Orders[OrderID],Orders[OrderDate])</f>
        <v>43138</v>
      </c>
      <c r="I1427" t="str">
        <f>_xlfn.XLOOKUP(A1427,Orders[OrderID],Orders[CustomerName])</f>
        <v>Patil</v>
      </c>
      <c r="J1427" t="str">
        <f>_xlfn.XLOOKUP(A1427,Orders[OrderID],Orders[State])</f>
        <v>Delhi</v>
      </c>
      <c r="K1427" t="str">
        <f>_xlfn.XLOOKUP(A1427,Orders[OrderID],Orders[City])</f>
        <v>Delhi</v>
      </c>
      <c r="L1427" s="3">
        <f>YEAR(Clean_Data[[#This Row],[OrderDate]])</f>
        <v>2018</v>
      </c>
      <c r="M1427" s="3">
        <f>MONTH(Clean_Data[[#This Row],[OrderDate]])</f>
        <v>2</v>
      </c>
      <c r="N1427" s="8" t="str">
        <f>TEXT(Clean_Data[[#This Row],[OrderDate]],"mmm")</f>
        <v>Feb</v>
      </c>
      <c r="O1427" s="8" t="str">
        <f>TEXT(Clean_Data[[#This Row],[OrderDate]], "yyyy-mm")</f>
        <v>2018-02</v>
      </c>
      <c r="P1427" s="7">
        <f>Clean_Data[[#This Row],[Profit]]/Clean_Data[[#This Row],[Revenue ]]</f>
        <v>0</v>
      </c>
      <c r="Q1427" t="str">
        <f>"Q"&amp;ROUNDUP(MONTH(Clean_Data[[#This Row],[OrderDate]])/3,0)</f>
        <v>Q1</v>
      </c>
      <c r="R1427" t="str">
        <f>TEXT(Clean_Data[[#This Row],[OrderDate]], "dddd")</f>
        <v>Wednesday</v>
      </c>
    </row>
    <row r="1428" spans="1:18" x14ac:dyDescent="0.25">
      <c r="A1428" t="s">
        <v>164</v>
      </c>
      <c r="B1428" s="4">
        <v>1270</v>
      </c>
      <c r="C1428" s="4">
        <v>546</v>
      </c>
      <c r="D1428" s="3">
        <v>11</v>
      </c>
      <c r="E1428" t="s">
        <v>885</v>
      </c>
      <c r="F1428" t="s">
        <v>886</v>
      </c>
      <c r="G1428" t="s">
        <v>890</v>
      </c>
      <c r="H1428" s="6">
        <f>_xlfn.XLOOKUP(A1428,Orders[OrderID],Orders[OrderDate])</f>
        <v>43120</v>
      </c>
      <c r="I1428" t="str">
        <f>_xlfn.XLOOKUP(A1428,Orders[OrderID],Orders[CustomerName])</f>
        <v>Oshin</v>
      </c>
      <c r="J1428" t="str">
        <f>_xlfn.XLOOKUP(A1428,Orders[OrderID],Orders[State])</f>
        <v>Maharashtra</v>
      </c>
      <c r="K1428" t="str">
        <f>_xlfn.XLOOKUP(A1428,Orders[OrderID],Orders[City])</f>
        <v>Pune</v>
      </c>
      <c r="L1428" s="3">
        <f>YEAR(Clean_Data[[#This Row],[OrderDate]])</f>
        <v>2018</v>
      </c>
      <c r="M1428" s="3">
        <f>MONTH(Clean_Data[[#This Row],[OrderDate]])</f>
        <v>1</v>
      </c>
      <c r="N1428" s="8" t="str">
        <f>TEXT(Clean_Data[[#This Row],[OrderDate]],"mmm")</f>
        <v>Jan</v>
      </c>
      <c r="O1428" s="8" t="str">
        <f>TEXT(Clean_Data[[#This Row],[OrderDate]], "yyyy-mm")</f>
        <v>2018-01</v>
      </c>
      <c r="P1428" s="7">
        <f>Clean_Data[[#This Row],[Profit]]/Clean_Data[[#This Row],[Revenue ]]</f>
        <v>0.42992125984251967</v>
      </c>
      <c r="Q1428" t="str">
        <f>"Q"&amp;ROUNDUP(MONTH(Clean_Data[[#This Row],[OrderDate]])/3,0)</f>
        <v>Q1</v>
      </c>
      <c r="R1428" t="str">
        <f>TEXT(Clean_Data[[#This Row],[OrderDate]], "dddd")</f>
        <v>Saturday</v>
      </c>
    </row>
    <row r="1429" spans="1:18" x14ac:dyDescent="0.25">
      <c r="A1429" t="s">
        <v>800</v>
      </c>
      <c r="B1429" s="4">
        <v>13</v>
      </c>
      <c r="C1429" s="4">
        <v>-2</v>
      </c>
      <c r="D1429" s="3">
        <v>1</v>
      </c>
      <c r="E1429" t="s">
        <v>895</v>
      </c>
      <c r="F1429" t="s">
        <v>903</v>
      </c>
      <c r="G1429" t="s">
        <v>887</v>
      </c>
      <c r="H1429" s="6">
        <f>_xlfn.XLOOKUP(A1429,Orders[OrderID],Orders[OrderDate])</f>
        <v>43174</v>
      </c>
      <c r="I1429" t="str">
        <f>_xlfn.XLOOKUP(A1429,Orders[OrderID],Orders[CustomerName])</f>
        <v>Tushina</v>
      </c>
      <c r="J1429" t="str">
        <f>_xlfn.XLOOKUP(A1429,Orders[OrderID],Orders[State])</f>
        <v>Goa</v>
      </c>
      <c r="K1429" t="str">
        <f>_xlfn.XLOOKUP(A1429,Orders[OrderID],Orders[City])</f>
        <v>Goa</v>
      </c>
      <c r="L1429" s="3">
        <f>YEAR(Clean_Data[[#This Row],[OrderDate]])</f>
        <v>2018</v>
      </c>
      <c r="M1429" s="3">
        <f>MONTH(Clean_Data[[#This Row],[OrderDate]])</f>
        <v>3</v>
      </c>
      <c r="N1429" s="8" t="str">
        <f>TEXT(Clean_Data[[#This Row],[OrderDate]],"mmm")</f>
        <v>Mar</v>
      </c>
      <c r="O1429" s="8" t="str">
        <f>TEXT(Clean_Data[[#This Row],[OrderDate]], "yyyy-mm")</f>
        <v>2018-03</v>
      </c>
      <c r="P1429" s="7">
        <f>Clean_Data[[#This Row],[Profit]]/Clean_Data[[#This Row],[Revenue ]]</f>
        <v>-0.15384615384615385</v>
      </c>
      <c r="Q1429" t="str">
        <f>"Q"&amp;ROUNDUP(MONTH(Clean_Data[[#This Row],[OrderDate]])/3,0)</f>
        <v>Q1</v>
      </c>
      <c r="R1429" t="str">
        <f>TEXT(Clean_Data[[#This Row],[OrderDate]], "dddd")</f>
        <v>Thursday</v>
      </c>
    </row>
    <row r="1430" spans="1:18" x14ac:dyDescent="0.25">
      <c r="A1430" t="s">
        <v>871</v>
      </c>
      <c r="B1430" s="4">
        <v>13</v>
      </c>
      <c r="C1430" s="4">
        <v>3</v>
      </c>
      <c r="D1430" s="3">
        <v>1</v>
      </c>
      <c r="E1430" t="s">
        <v>895</v>
      </c>
      <c r="F1430" t="s">
        <v>904</v>
      </c>
      <c r="G1430" t="s">
        <v>887</v>
      </c>
      <c r="H1430" s="6">
        <f>_xlfn.XLOOKUP(A1430,Orders[OrderID],Orders[OrderDate])</f>
        <v>43129</v>
      </c>
      <c r="I1430" t="str">
        <f>_xlfn.XLOOKUP(A1430,Orders[OrderID],Orders[CustomerName])</f>
        <v>Hemangi</v>
      </c>
      <c r="J1430" t="str">
        <f>_xlfn.XLOOKUP(A1430,Orders[OrderID],Orders[State])</f>
        <v>Delhi</v>
      </c>
      <c r="K1430" t="str">
        <f>_xlfn.XLOOKUP(A1430,Orders[OrderID],Orders[City])</f>
        <v>Delhi</v>
      </c>
      <c r="L1430" s="3">
        <f>YEAR(Clean_Data[[#This Row],[OrderDate]])</f>
        <v>2018</v>
      </c>
      <c r="M1430" s="3">
        <f>MONTH(Clean_Data[[#This Row],[OrderDate]])</f>
        <v>1</v>
      </c>
      <c r="N1430" s="8" t="str">
        <f>TEXT(Clean_Data[[#This Row],[OrderDate]],"mmm")</f>
        <v>Jan</v>
      </c>
      <c r="O1430" s="8" t="str">
        <f>TEXT(Clean_Data[[#This Row],[OrderDate]], "yyyy-mm")</f>
        <v>2018-01</v>
      </c>
      <c r="P1430" s="7">
        <f>Clean_Data[[#This Row],[Profit]]/Clean_Data[[#This Row],[Revenue ]]</f>
        <v>0.23076923076923078</v>
      </c>
      <c r="Q1430" t="str">
        <f>"Q"&amp;ROUNDUP(MONTH(Clean_Data[[#This Row],[OrderDate]])/3,0)</f>
        <v>Q1</v>
      </c>
      <c r="R1430" t="str">
        <f>TEXT(Clean_Data[[#This Row],[OrderDate]], "dddd")</f>
        <v>Monday</v>
      </c>
    </row>
    <row r="1431" spans="1:18" x14ac:dyDescent="0.25">
      <c r="A1431" t="s">
        <v>710</v>
      </c>
      <c r="B1431" s="4">
        <v>17</v>
      </c>
      <c r="C1431" s="4">
        <v>5</v>
      </c>
      <c r="D1431" s="3">
        <v>1</v>
      </c>
      <c r="E1431" t="s">
        <v>895</v>
      </c>
      <c r="F1431" t="s">
        <v>899</v>
      </c>
      <c r="G1431" t="s">
        <v>898</v>
      </c>
      <c r="H1431" s="6">
        <f>_xlfn.XLOOKUP(A1431,Orders[OrderID],Orders[OrderDate])</f>
        <v>43419</v>
      </c>
      <c r="I1431" t="str">
        <f>_xlfn.XLOOKUP(A1431,Orders[OrderID],Orders[CustomerName])</f>
        <v>Aromal</v>
      </c>
      <c r="J1431" t="str">
        <f>_xlfn.XLOOKUP(A1431,Orders[OrderID],Orders[State])</f>
        <v>Maharashtra</v>
      </c>
      <c r="K1431" t="str">
        <f>_xlfn.XLOOKUP(A1431,Orders[OrderID],Orders[City])</f>
        <v>Mumbai</v>
      </c>
      <c r="L1431" s="3">
        <f>YEAR(Clean_Data[[#This Row],[OrderDate]])</f>
        <v>2018</v>
      </c>
      <c r="M1431" s="3">
        <f>MONTH(Clean_Data[[#This Row],[OrderDate]])</f>
        <v>11</v>
      </c>
      <c r="N1431" s="8" t="str">
        <f>TEXT(Clean_Data[[#This Row],[OrderDate]],"mmm")</f>
        <v>Nov</v>
      </c>
      <c r="O1431" s="8" t="str">
        <f>TEXT(Clean_Data[[#This Row],[OrderDate]], "yyyy-mm")</f>
        <v>2018-11</v>
      </c>
      <c r="P1431" s="7">
        <f>Clean_Data[[#This Row],[Profit]]/Clean_Data[[#This Row],[Revenue ]]</f>
        <v>0.29411764705882354</v>
      </c>
      <c r="Q1431" t="str">
        <f>"Q"&amp;ROUNDUP(MONTH(Clean_Data[[#This Row],[OrderDate]])/3,0)</f>
        <v>Q4</v>
      </c>
      <c r="R1431" t="str">
        <f>TEXT(Clean_Data[[#This Row],[OrderDate]], "dddd")</f>
        <v>Thursday</v>
      </c>
    </row>
    <row r="1432" spans="1:18" x14ac:dyDescent="0.25">
      <c r="A1432" t="s">
        <v>335</v>
      </c>
      <c r="B1432" s="4">
        <v>13</v>
      </c>
      <c r="C1432" s="4">
        <v>-13</v>
      </c>
      <c r="D1432" s="3">
        <v>2</v>
      </c>
      <c r="E1432" t="s">
        <v>895</v>
      </c>
      <c r="F1432" t="s">
        <v>901</v>
      </c>
      <c r="G1432" t="s">
        <v>887</v>
      </c>
      <c r="H1432" s="6">
        <f>_xlfn.XLOOKUP(A1432,Orders[OrderID],Orders[OrderDate])</f>
        <v>43269</v>
      </c>
      <c r="I1432" t="str">
        <f>_xlfn.XLOOKUP(A1432,Orders[OrderID],Orders[CustomerName])</f>
        <v>Parna</v>
      </c>
      <c r="J1432" t="str">
        <f>_xlfn.XLOOKUP(A1432,Orders[OrderID],Orders[State])</f>
        <v>Madhya Pradesh</v>
      </c>
      <c r="K1432" t="str">
        <f>_xlfn.XLOOKUP(A1432,Orders[OrderID],Orders[City])</f>
        <v>Bhopal</v>
      </c>
      <c r="L1432" s="3">
        <f>YEAR(Clean_Data[[#This Row],[OrderDate]])</f>
        <v>2018</v>
      </c>
      <c r="M1432" s="3">
        <f>MONTH(Clean_Data[[#This Row],[OrderDate]])</f>
        <v>6</v>
      </c>
      <c r="N1432" s="8" t="str">
        <f>TEXT(Clean_Data[[#This Row],[OrderDate]],"mmm")</f>
        <v>Jun</v>
      </c>
      <c r="O1432" s="8" t="str">
        <f>TEXT(Clean_Data[[#This Row],[OrderDate]], "yyyy-mm")</f>
        <v>2018-06</v>
      </c>
      <c r="P1432" s="7">
        <f>Clean_Data[[#This Row],[Profit]]/Clean_Data[[#This Row],[Revenue ]]</f>
        <v>-1</v>
      </c>
      <c r="Q1432" t="str">
        <f>"Q"&amp;ROUNDUP(MONTH(Clean_Data[[#This Row],[OrderDate]])/3,0)</f>
        <v>Q2</v>
      </c>
      <c r="R1432" t="str">
        <f>TEXT(Clean_Data[[#This Row],[OrderDate]], "dddd")</f>
        <v>Monday</v>
      </c>
    </row>
    <row r="1433" spans="1:18" x14ac:dyDescent="0.25">
      <c r="A1433" t="s">
        <v>333</v>
      </c>
      <c r="B1433" s="4">
        <v>13</v>
      </c>
      <c r="C1433" s="4">
        <v>-9</v>
      </c>
      <c r="D1433" s="3">
        <v>2</v>
      </c>
      <c r="E1433" t="s">
        <v>895</v>
      </c>
      <c r="F1433" t="s">
        <v>901</v>
      </c>
      <c r="G1433" t="s">
        <v>887</v>
      </c>
      <c r="H1433" s="6">
        <f>_xlfn.XLOOKUP(A1433,Orders[OrderID],Orders[OrderDate])</f>
        <v>43378</v>
      </c>
      <c r="I1433" t="str">
        <f>_xlfn.XLOOKUP(A1433,Orders[OrderID],Orders[CustomerName])</f>
        <v>Yash</v>
      </c>
      <c r="J1433" t="str">
        <f>_xlfn.XLOOKUP(A1433,Orders[OrderID],Orders[State])</f>
        <v>Maharashtra</v>
      </c>
      <c r="K1433" t="str">
        <f>_xlfn.XLOOKUP(A1433,Orders[OrderID],Orders[City])</f>
        <v>Mumbai</v>
      </c>
      <c r="L1433" s="3">
        <f>YEAR(Clean_Data[[#This Row],[OrderDate]])</f>
        <v>2018</v>
      </c>
      <c r="M1433" s="3">
        <f>MONTH(Clean_Data[[#This Row],[OrderDate]])</f>
        <v>10</v>
      </c>
      <c r="N1433" s="8" t="str">
        <f>TEXT(Clean_Data[[#This Row],[OrderDate]],"mmm")</f>
        <v>Oct</v>
      </c>
      <c r="O1433" s="8" t="str">
        <f>TEXT(Clean_Data[[#This Row],[OrderDate]], "yyyy-mm")</f>
        <v>2018-10</v>
      </c>
      <c r="P1433" s="7">
        <f>Clean_Data[[#This Row],[Profit]]/Clean_Data[[#This Row],[Revenue ]]</f>
        <v>-0.69230769230769229</v>
      </c>
      <c r="Q1433" t="str">
        <f>"Q"&amp;ROUNDUP(MONTH(Clean_Data[[#This Row],[OrderDate]])/3,0)</f>
        <v>Q4</v>
      </c>
      <c r="R1433" t="str">
        <f>TEXT(Clean_Data[[#This Row],[OrderDate]], "dddd")</f>
        <v>Friday</v>
      </c>
    </row>
    <row r="1434" spans="1:18" x14ac:dyDescent="0.25">
      <c r="A1434" t="s">
        <v>166</v>
      </c>
      <c r="B1434" s="4">
        <v>1263</v>
      </c>
      <c r="C1434" s="4">
        <v>-56</v>
      </c>
      <c r="D1434" s="3">
        <v>5</v>
      </c>
      <c r="E1434" t="s">
        <v>895</v>
      </c>
      <c r="F1434" t="s">
        <v>896</v>
      </c>
      <c r="G1434" t="s">
        <v>890</v>
      </c>
      <c r="H1434" s="6">
        <f>_xlfn.XLOOKUP(A1434,Orders[OrderID],Orders[OrderDate])</f>
        <v>43252</v>
      </c>
      <c r="I1434" t="str">
        <f>_xlfn.XLOOKUP(A1434,Orders[OrderID],Orders[CustomerName])</f>
        <v>Chandni</v>
      </c>
      <c r="J1434" t="str">
        <f>_xlfn.XLOOKUP(A1434,Orders[OrderID],Orders[State])</f>
        <v>Rajasthan</v>
      </c>
      <c r="K1434" t="str">
        <f>_xlfn.XLOOKUP(A1434,Orders[OrderID],Orders[City])</f>
        <v>Jaipur</v>
      </c>
      <c r="L1434" s="3">
        <f>YEAR(Clean_Data[[#This Row],[OrderDate]])</f>
        <v>2018</v>
      </c>
      <c r="M1434" s="3">
        <f>MONTH(Clean_Data[[#This Row],[OrderDate]])</f>
        <v>6</v>
      </c>
      <c r="N1434" s="8" t="str">
        <f>TEXT(Clean_Data[[#This Row],[OrderDate]],"mmm")</f>
        <v>Jun</v>
      </c>
      <c r="O1434" s="8" t="str">
        <f>TEXT(Clean_Data[[#This Row],[OrderDate]], "yyyy-mm")</f>
        <v>2018-06</v>
      </c>
      <c r="P1434" s="7">
        <f>Clean_Data[[#This Row],[Profit]]/Clean_Data[[#This Row],[Revenue ]]</f>
        <v>-4.4338875692794932E-2</v>
      </c>
      <c r="Q1434" t="str">
        <f>"Q"&amp;ROUNDUP(MONTH(Clean_Data[[#This Row],[OrderDate]])/3,0)</f>
        <v>Q2</v>
      </c>
      <c r="R1434" t="str">
        <f>TEXT(Clean_Data[[#This Row],[OrderDate]], "dddd")</f>
        <v>Friday</v>
      </c>
    </row>
    <row r="1435" spans="1:18" x14ac:dyDescent="0.25">
      <c r="A1435" t="s">
        <v>83</v>
      </c>
      <c r="B1435" s="4">
        <v>1629</v>
      </c>
      <c r="C1435" s="4">
        <v>-153</v>
      </c>
      <c r="D1435" s="3">
        <v>3</v>
      </c>
      <c r="E1435" t="s">
        <v>885</v>
      </c>
      <c r="F1435" t="s">
        <v>894</v>
      </c>
      <c r="G1435" t="s">
        <v>887</v>
      </c>
      <c r="H1435" s="6">
        <f>_xlfn.XLOOKUP(A1435,Orders[OrderID],Orders[OrderDate])</f>
        <v>43217</v>
      </c>
      <c r="I1435" t="str">
        <f>_xlfn.XLOOKUP(A1435,Orders[OrderID],Orders[CustomerName])</f>
        <v>Lisha</v>
      </c>
      <c r="J1435" t="str">
        <f>_xlfn.XLOOKUP(A1435,Orders[OrderID],Orders[State])</f>
        <v>Madhya Pradesh</v>
      </c>
      <c r="K1435" t="str">
        <f>_xlfn.XLOOKUP(A1435,Orders[OrderID],Orders[City])</f>
        <v>Bhopal</v>
      </c>
      <c r="L1435" s="3">
        <f>YEAR(Clean_Data[[#This Row],[OrderDate]])</f>
        <v>2018</v>
      </c>
      <c r="M1435" s="3">
        <f>MONTH(Clean_Data[[#This Row],[OrderDate]])</f>
        <v>4</v>
      </c>
      <c r="N1435" s="8" t="str">
        <f>TEXT(Clean_Data[[#This Row],[OrderDate]],"mmm")</f>
        <v>Apr</v>
      </c>
      <c r="O1435" s="8" t="str">
        <f>TEXT(Clean_Data[[#This Row],[OrderDate]], "yyyy-mm")</f>
        <v>2018-04</v>
      </c>
      <c r="P1435" s="7">
        <f>Clean_Data[[#This Row],[Profit]]/Clean_Data[[#This Row],[Revenue ]]</f>
        <v>-9.3922651933701654E-2</v>
      </c>
      <c r="Q1435" t="str">
        <f>"Q"&amp;ROUNDUP(MONTH(Clean_Data[[#This Row],[OrderDate]])/3,0)</f>
        <v>Q2</v>
      </c>
      <c r="R1435" t="str">
        <f>TEXT(Clean_Data[[#This Row],[OrderDate]], "dddd")</f>
        <v>Friday</v>
      </c>
    </row>
    <row r="1436" spans="1:18" x14ac:dyDescent="0.25">
      <c r="A1436" t="s">
        <v>16</v>
      </c>
      <c r="B1436" s="4">
        <v>17</v>
      </c>
      <c r="C1436" s="4">
        <v>7</v>
      </c>
      <c r="D1436" s="3">
        <v>3</v>
      </c>
      <c r="E1436" t="s">
        <v>895</v>
      </c>
      <c r="F1436" t="s">
        <v>899</v>
      </c>
      <c r="G1436" t="s">
        <v>898</v>
      </c>
      <c r="H1436" s="6">
        <f>_xlfn.XLOOKUP(A1436,Orders[OrderID],Orders[OrderDate])</f>
        <v>43333</v>
      </c>
      <c r="I1436" t="str">
        <f>_xlfn.XLOOKUP(A1436,Orders[OrderID],Orders[CustomerName])</f>
        <v>Vishakha</v>
      </c>
      <c r="J1436" t="str">
        <f>_xlfn.XLOOKUP(A1436,Orders[OrderID],Orders[State])</f>
        <v>Madhya Pradesh</v>
      </c>
      <c r="K1436" t="str">
        <f>_xlfn.XLOOKUP(A1436,Orders[OrderID],Orders[City])</f>
        <v>Indore</v>
      </c>
      <c r="L1436" s="3">
        <f>YEAR(Clean_Data[[#This Row],[OrderDate]])</f>
        <v>2018</v>
      </c>
      <c r="M1436" s="3">
        <f>MONTH(Clean_Data[[#This Row],[OrderDate]])</f>
        <v>8</v>
      </c>
      <c r="N1436" s="8" t="str">
        <f>TEXT(Clean_Data[[#This Row],[OrderDate]],"mmm")</f>
        <v>Aug</v>
      </c>
      <c r="O1436" s="8" t="str">
        <f>TEXT(Clean_Data[[#This Row],[OrderDate]], "yyyy-mm")</f>
        <v>2018-08</v>
      </c>
      <c r="P1436" s="7">
        <f>Clean_Data[[#This Row],[Profit]]/Clean_Data[[#This Row],[Revenue ]]</f>
        <v>0.41176470588235292</v>
      </c>
      <c r="Q1436" t="str">
        <f>"Q"&amp;ROUNDUP(MONTH(Clean_Data[[#This Row],[OrderDate]])/3,0)</f>
        <v>Q3</v>
      </c>
      <c r="R1436" t="str">
        <f>TEXT(Clean_Data[[#This Row],[OrderDate]], "dddd")</f>
        <v>Tuesday</v>
      </c>
    </row>
    <row r="1437" spans="1:18" x14ac:dyDescent="0.25">
      <c r="A1437" t="s">
        <v>68</v>
      </c>
      <c r="B1437" s="4">
        <v>17</v>
      </c>
      <c r="C1437" s="4">
        <v>2</v>
      </c>
      <c r="D1437" s="3">
        <v>2</v>
      </c>
      <c r="E1437" t="s">
        <v>895</v>
      </c>
      <c r="F1437" t="s">
        <v>901</v>
      </c>
      <c r="G1437" t="s">
        <v>898</v>
      </c>
      <c r="H1437" s="6">
        <f>_xlfn.XLOOKUP(A1437,Orders[OrderID],Orders[OrderDate])</f>
        <v>43139</v>
      </c>
      <c r="I1437" t="str">
        <f>_xlfn.XLOOKUP(A1437,Orders[OrderID],Orders[CustomerName])</f>
        <v>Hitesh</v>
      </c>
      <c r="J1437" t="str">
        <f>_xlfn.XLOOKUP(A1437,Orders[OrderID],Orders[State])</f>
        <v>Madhya Pradesh</v>
      </c>
      <c r="K1437" t="str">
        <f>_xlfn.XLOOKUP(A1437,Orders[OrderID],Orders[City])</f>
        <v>Bhopal</v>
      </c>
      <c r="L1437" s="3">
        <f>YEAR(Clean_Data[[#This Row],[OrderDate]])</f>
        <v>2018</v>
      </c>
      <c r="M1437" s="3">
        <f>MONTH(Clean_Data[[#This Row],[OrderDate]])</f>
        <v>2</v>
      </c>
      <c r="N1437" s="8" t="str">
        <f>TEXT(Clean_Data[[#This Row],[OrderDate]],"mmm")</f>
        <v>Feb</v>
      </c>
      <c r="O1437" s="8" t="str">
        <f>TEXT(Clean_Data[[#This Row],[OrderDate]], "yyyy-mm")</f>
        <v>2018-02</v>
      </c>
      <c r="P1437" s="7">
        <f>Clean_Data[[#This Row],[Profit]]/Clean_Data[[#This Row],[Revenue ]]</f>
        <v>0.11764705882352941</v>
      </c>
      <c r="Q1437" t="str">
        <f>"Q"&amp;ROUNDUP(MONTH(Clean_Data[[#This Row],[OrderDate]])/3,0)</f>
        <v>Q1</v>
      </c>
      <c r="R1437" t="str">
        <f>TEXT(Clean_Data[[#This Row],[OrderDate]], "dddd")</f>
        <v>Thursday</v>
      </c>
    </row>
    <row r="1438" spans="1:18" x14ac:dyDescent="0.25">
      <c r="A1438" t="s">
        <v>3</v>
      </c>
      <c r="B1438" s="4">
        <v>1250</v>
      </c>
      <c r="C1438" s="4">
        <v>-12</v>
      </c>
      <c r="D1438" s="3">
        <v>2</v>
      </c>
      <c r="E1438" t="s">
        <v>885</v>
      </c>
      <c r="F1438" t="s">
        <v>892</v>
      </c>
      <c r="G1438" t="s">
        <v>890</v>
      </c>
      <c r="H1438" s="6">
        <f>_xlfn.XLOOKUP(A1438,Orders[OrderID],Orders[OrderDate])</f>
        <v>43169</v>
      </c>
      <c r="I1438" t="str">
        <f>_xlfn.XLOOKUP(A1438,Orders[OrderID],Orders[CustomerName])</f>
        <v>Harivansh</v>
      </c>
      <c r="J1438" t="str">
        <f>_xlfn.XLOOKUP(A1438,Orders[OrderID],Orders[State])</f>
        <v>Uttar Pradesh</v>
      </c>
      <c r="K1438" t="str">
        <f>_xlfn.XLOOKUP(A1438,Orders[OrderID],Orders[City])</f>
        <v>Mathura</v>
      </c>
      <c r="L1438" s="3">
        <f>YEAR(Clean_Data[[#This Row],[OrderDate]])</f>
        <v>2018</v>
      </c>
      <c r="M1438" s="3">
        <f>MONTH(Clean_Data[[#This Row],[OrderDate]])</f>
        <v>3</v>
      </c>
      <c r="N1438" s="8" t="str">
        <f>TEXT(Clean_Data[[#This Row],[OrderDate]],"mmm")</f>
        <v>Mar</v>
      </c>
      <c r="O1438" s="8" t="str">
        <f>TEXT(Clean_Data[[#This Row],[OrderDate]], "yyyy-mm")</f>
        <v>2018-03</v>
      </c>
      <c r="P1438" s="7">
        <f>Clean_Data[[#This Row],[Profit]]/Clean_Data[[#This Row],[Revenue ]]</f>
        <v>-9.5999999999999992E-3</v>
      </c>
      <c r="Q1438" t="str">
        <f>"Q"&amp;ROUNDUP(MONTH(Clean_Data[[#This Row],[OrderDate]])/3,0)</f>
        <v>Q1</v>
      </c>
      <c r="R1438" t="str">
        <f>TEXT(Clean_Data[[#This Row],[OrderDate]], "dddd")</f>
        <v>Saturday</v>
      </c>
    </row>
    <row r="1439" spans="1:18" x14ac:dyDescent="0.25">
      <c r="A1439" t="s">
        <v>61</v>
      </c>
      <c r="B1439" s="4">
        <v>17</v>
      </c>
      <c r="C1439" s="4">
        <v>-11</v>
      </c>
      <c r="D1439" s="3">
        <v>3</v>
      </c>
      <c r="E1439" t="s">
        <v>895</v>
      </c>
      <c r="F1439" t="s">
        <v>901</v>
      </c>
      <c r="G1439" t="s">
        <v>898</v>
      </c>
      <c r="H1439" s="6">
        <f>_xlfn.XLOOKUP(A1439,Orders[OrderID],Orders[OrderDate])</f>
        <v>43362</v>
      </c>
      <c r="I1439" t="str">
        <f>_xlfn.XLOOKUP(A1439,Orders[OrderID],Orders[CustomerName])</f>
        <v>Madan Mohan</v>
      </c>
      <c r="J1439" t="str">
        <f>_xlfn.XLOOKUP(A1439,Orders[OrderID],Orders[State])</f>
        <v>Uttar Pradesh</v>
      </c>
      <c r="K1439" t="str">
        <f>_xlfn.XLOOKUP(A1439,Orders[OrderID],Orders[City])</f>
        <v>Mathura</v>
      </c>
      <c r="L1439" s="3">
        <f>YEAR(Clean_Data[[#This Row],[OrderDate]])</f>
        <v>2018</v>
      </c>
      <c r="M1439" s="3">
        <f>MONTH(Clean_Data[[#This Row],[OrderDate]])</f>
        <v>9</v>
      </c>
      <c r="N1439" s="8" t="str">
        <f>TEXT(Clean_Data[[#This Row],[OrderDate]],"mmm")</f>
        <v>Sep</v>
      </c>
      <c r="O1439" s="8" t="str">
        <f>TEXT(Clean_Data[[#This Row],[OrderDate]], "yyyy-mm")</f>
        <v>2018-09</v>
      </c>
      <c r="P1439" s="7">
        <f>Clean_Data[[#This Row],[Profit]]/Clean_Data[[#This Row],[Revenue ]]</f>
        <v>-0.6470588235294118</v>
      </c>
      <c r="Q1439" t="str">
        <f>"Q"&amp;ROUNDUP(MONTH(Clean_Data[[#This Row],[OrderDate]])/3,0)</f>
        <v>Q3</v>
      </c>
      <c r="R1439" t="str">
        <f>TEXT(Clean_Data[[#This Row],[OrderDate]], "dddd")</f>
        <v>Wednesday</v>
      </c>
    </row>
    <row r="1440" spans="1:18" x14ac:dyDescent="0.25">
      <c r="A1440" t="s">
        <v>96</v>
      </c>
      <c r="B1440" s="4">
        <v>977</v>
      </c>
      <c r="C1440" s="4">
        <v>-244</v>
      </c>
      <c r="D1440" s="3">
        <v>7</v>
      </c>
      <c r="E1440" t="s">
        <v>885</v>
      </c>
      <c r="F1440" t="s">
        <v>894</v>
      </c>
      <c r="G1440" t="s">
        <v>887</v>
      </c>
      <c r="H1440" s="6">
        <f>_xlfn.XLOOKUP(A1440,Orders[OrderID],Orders[OrderDate])</f>
        <v>43457</v>
      </c>
      <c r="I1440" t="str">
        <f>_xlfn.XLOOKUP(A1440,Orders[OrderID],Orders[CustomerName])</f>
        <v>Neha</v>
      </c>
      <c r="J1440" t="str">
        <f>_xlfn.XLOOKUP(A1440,Orders[OrderID],Orders[State])</f>
        <v>Rajasthan</v>
      </c>
      <c r="K1440" t="str">
        <f>_xlfn.XLOOKUP(A1440,Orders[OrderID],Orders[City])</f>
        <v>Udaipur</v>
      </c>
      <c r="L1440" s="3">
        <f>YEAR(Clean_Data[[#This Row],[OrderDate]])</f>
        <v>2018</v>
      </c>
      <c r="M1440" s="3">
        <f>MONTH(Clean_Data[[#This Row],[OrderDate]])</f>
        <v>12</v>
      </c>
      <c r="N1440" s="8" t="str">
        <f>TEXT(Clean_Data[[#This Row],[OrderDate]],"mmm")</f>
        <v>Dec</v>
      </c>
      <c r="O1440" s="8" t="str">
        <f>TEXT(Clean_Data[[#This Row],[OrderDate]], "yyyy-mm")</f>
        <v>2018-12</v>
      </c>
      <c r="P1440" s="7">
        <f>Clean_Data[[#This Row],[Profit]]/Clean_Data[[#This Row],[Revenue ]]</f>
        <v>-0.24974411463664278</v>
      </c>
      <c r="Q1440" t="str">
        <f>"Q"&amp;ROUNDUP(MONTH(Clean_Data[[#This Row],[OrderDate]])/3,0)</f>
        <v>Q4</v>
      </c>
      <c r="R1440" t="str">
        <f>TEXT(Clean_Data[[#This Row],[OrderDate]], "dddd")</f>
        <v>Sunday</v>
      </c>
    </row>
    <row r="1441" spans="1:18" x14ac:dyDescent="0.25">
      <c r="A1441" t="s">
        <v>171</v>
      </c>
      <c r="B1441" s="4">
        <v>1246</v>
      </c>
      <c r="C1441" s="4">
        <v>62</v>
      </c>
      <c r="D1441" s="3">
        <v>3</v>
      </c>
      <c r="E1441" t="s">
        <v>888</v>
      </c>
      <c r="F1441" t="s">
        <v>891</v>
      </c>
      <c r="G1441" t="s">
        <v>890</v>
      </c>
      <c r="H1441" s="6">
        <f>_xlfn.XLOOKUP(A1441,Orders[OrderID],Orders[OrderDate])</f>
        <v>43438</v>
      </c>
      <c r="I1441" t="str">
        <f>_xlfn.XLOOKUP(A1441,Orders[OrderID],Orders[CustomerName])</f>
        <v>Monu</v>
      </c>
      <c r="J1441" t="str">
        <f>_xlfn.XLOOKUP(A1441,Orders[OrderID],Orders[State])</f>
        <v>Punjab</v>
      </c>
      <c r="K1441" t="str">
        <f>_xlfn.XLOOKUP(A1441,Orders[OrderID],Orders[City])</f>
        <v>Amritsar</v>
      </c>
      <c r="L1441" s="3">
        <f>YEAR(Clean_Data[[#This Row],[OrderDate]])</f>
        <v>2018</v>
      </c>
      <c r="M1441" s="3">
        <f>MONTH(Clean_Data[[#This Row],[OrderDate]])</f>
        <v>12</v>
      </c>
      <c r="N1441" s="8" t="str">
        <f>TEXT(Clean_Data[[#This Row],[OrderDate]],"mmm")</f>
        <v>Dec</v>
      </c>
      <c r="O1441" s="8" t="str">
        <f>TEXT(Clean_Data[[#This Row],[OrderDate]], "yyyy-mm")</f>
        <v>2018-12</v>
      </c>
      <c r="P1441" s="7">
        <f>Clean_Data[[#This Row],[Profit]]/Clean_Data[[#This Row],[Revenue ]]</f>
        <v>4.9759229534510431E-2</v>
      </c>
      <c r="Q1441" t="str">
        <f>"Q"&amp;ROUNDUP(MONTH(Clean_Data[[#This Row],[OrderDate]])/3,0)</f>
        <v>Q4</v>
      </c>
      <c r="R1441" t="str">
        <f>TEXT(Clean_Data[[#This Row],[OrderDate]], "dddd")</f>
        <v>Tuesday</v>
      </c>
    </row>
    <row r="1442" spans="1:18" x14ac:dyDescent="0.25">
      <c r="A1442" t="s">
        <v>356</v>
      </c>
      <c r="B1442" s="4">
        <v>12</v>
      </c>
      <c r="C1442" s="4">
        <v>1</v>
      </c>
      <c r="D1442" s="3">
        <v>2</v>
      </c>
      <c r="E1442" t="s">
        <v>895</v>
      </c>
      <c r="F1442" t="s">
        <v>899</v>
      </c>
      <c r="G1442" t="s">
        <v>887</v>
      </c>
      <c r="H1442" s="6">
        <f>_xlfn.XLOOKUP(A1442,Orders[OrderID],Orders[OrderDate])</f>
        <v>43127</v>
      </c>
      <c r="I1442" t="str">
        <f>_xlfn.XLOOKUP(A1442,Orders[OrderID],Orders[CustomerName])</f>
        <v>Shivangi</v>
      </c>
      <c r="J1442" t="str">
        <f>_xlfn.XLOOKUP(A1442,Orders[OrderID],Orders[State])</f>
        <v>Madhya Pradesh</v>
      </c>
      <c r="K1442" t="str">
        <f>_xlfn.XLOOKUP(A1442,Orders[OrderID],Orders[City])</f>
        <v>Indore</v>
      </c>
      <c r="L1442" s="3">
        <f>YEAR(Clean_Data[[#This Row],[OrderDate]])</f>
        <v>2018</v>
      </c>
      <c r="M1442" s="3">
        <f>MONTH(Clean_Data[[#This Row],[OrderDate]])</f>
        <v>1</v>
      </c>
      <c r="N1442" s="8" t="str">
        <f>TEXT(Clean_Data[[#This Row],[OrderDate]],"mmm")</f>
        <v>Jan</v>
      </c>
      <c r="O1442" s="8" t="str">
        <f>TEXT(Clean_Data[[#This Row],[OrderDate]], "yyyy-mm")</f>
        <v>2018-01</v>
      </c>
      <c r="P1442" s="7">
        <f>Clean_Data[[#This Row],[Profit]]/Clean_Data[[#This Row],[Revenue ]]</f>
        <v>8.3333333333333329E-2</v>
      </c>
      <c r="Q1442" t="str">
        <f>"Q"&amp;ROUNDUP(MONTH(Clean_Data[[#This Row],[OrderDate]])/3,0)</f>
        <v>Q1</v>
      </c>
      <c r="R1442" t="str">
        <f>TEXT(Clean_Data[[#This Row],[OrderDate]], "dddd")</f>
        <v>Saturday</v>
      </c>
    </row>
    <row r="1443" spans="1:18" x14ac:dyDescent="0.25">
      <c r="A1443" t="s">
        <v>258</v>
      </c>
      <c r="B1443" s="4">
        <v>11</v>
      </c>
      <c r="C1443" s="4">
        <v>-4</v>
      </c>
      <c r="D1443" s="3">
        <v>2</v>
      </c>
      <c r="E1443" t="s">
        <v>895</v>
      </c>
      <c r="F1443" t="s">
        <v>901</v>
      </c>
      <c r="G1443" t="s">
        <v>887</v>
      </c>
      <c r="H1443" s="6">
        <f>_xlfn.XLOOKUP(A1443,Orders[OrderID],Orders[OrderDate])</f>
        <v>43227</v>
      </c>
      <c r="I1443" t="str">
        <f>_xlfn.XLOOKUP(A1443,Orders[OrderID],Orders[CustomerName])</f>
        <v>Anurag</v>
      </c>
      <c r="J1443" t="str">
        <f>_xlfn.XLOOKUP(A1443,Orders[OrderID],Orders[State])</f>
        <v>Madhya Pradesh</v>
      </c>
      <c r="K1443" t="str">
        <f>_xlfn.XLOOKUP(A1443,Orders[OrderID],Orders[City])</f>
        <v>Indore</v>
      </c>
      <c r="L1443" s="3">
        <f>YEAR(Clean_Data[[#This Row],[OrderDate]])</f>
        <v>2018</v>
      </c>
      <c r="M1443" s="3">
        <f>MONTH(Clean_Data[[#This Row],[OrderDate]])</f>
        <v>5</v>
      </c>
      <c r="N1443" s="8" t="str">
        <f>TEXT(Clean_Data[[#This Row],[OrderDate]],"mmm")</f>
        <v>May</v>
      </c>
      <c r="O1443" s="8" t="str">
        <f>TEXT(Clean_Data[[#This Row],[OrderDate]], "yyyy-mm")</f>
        <v>2018-05</v>
      </c>
      <c r="P1443" s="7">
        <f>Clean_Data[[#This Row],[Profit]]/Clean_Data[[#This Row],[Revenue ]]</f>
        <v>-0.36363636363636365</v>
      </c>
      <c r="Q1443" t="str">
        <f>"Q"&amp;ROUNDUP(MONTH(Clean_Data[[#This Row],[OrderDate]])/3,0)</f>
        <v>Q2</v>
      </c>
      <c r="R1443" t="str">
        <f>TEXT(Clean_Data[[#This Row],[OrderDate]], "dddd")</f>
        <v>Monday</v>
      </c>
    </row>
    <row r="1444" spans="1:18" x14ac:dyDescent="0.25">
      <c r="A1444" t="s">
        <v>140</v>
      </c>
      <c r="B1444" s="4">
        <v>1327</v>
      </c>
      <c r="C1444" s="4">
        <v>318</v>
      </c>
      <c r="D1444" s="3">
        <v>8</v>
      </c>
      <c r="E1444" t="s">
        <v>888</v>
      </c>
      <c r="F1444" t="s">
        <v>889</v>
      </c>
      <c r="G1444" t="s">
        <v>890</v>
      </c>
      <c r="H1444" s="6">
        <f>_xlfn.XLOOKUP(A1444,Orders[OrderID],Orders[OrderDate])</f>
        <v>43228</v>
      </c>
      <c r="I1444" t="str">
        <f>_xlfn.XLOOKUP(A1444,Orders[OrderID],Orders[CustomerName])</f>
        <v>Farah</v>
      </c>
      <c r="J1444" t="str">
        <f>_xlfn.XLOOKUP(A1444,Orders[OrderID],Orders[State])</f>
        <v>Nagaland</v>
      </c>
      <c r="K1444" t="str">
        <f>_xlfn.XLOOKUP(A1444,Orders[OrderID],Orders[City])</f>
        <v>Kohima</v>
      </c>
      <c r="L1444" s="3">
        <f>YEAR(Clean_Data[[#This Row],[OrderDate]])</f>
        <v>2018</v>
      </c>
      <c r="M1444" s="3">
        <f>MONTH(Clean_Data[[#This Row],[OrderDate]])</f>
        <v>5</v>
      </c>
      <c r="N1444" s="8" t="str">
        <f>TEXT(Clean_Data[[#This Row],[OrderDate]],"mmm")</f>
        <v>May</v>
      </c>
      <c r="O1444" s="8" t="str">
        <f>TEXT(Clean_Data[[#This Row],[OrderDate]], "yyyy-mm")</f>
        <v>2018-05</v>
      </c>
      <c r="P1444" s="7">
        <f>Clean_Data[[#This Row],[Profit]]/Clean_Data[[#This Row],[Revenue ]]</f>
        <v>0.23963828183873398</v>
      </c>
      <c r="Q1444" t="str">
        <f>"Q"&amp;ROUNDUP(MONTH(Clean_Data[[#This Row],[OrderDate]])/3,0)</f>
        <v>Q2</v>
      </c>
      <c r="R1444" t="str">
        <f>TEXT(Clean_Data[[#This Row],[OrderDate]], "dddd")</f>
        <v>Tuesday</v>
      </c>
    </row>
    <row r="1445" spans="1:18" x14ac:dyDescent="0.25">
      <c r="A1445" t="s">
        <v>142</v>
      </c>
      <c r="B1445" s="4">
        <v>1319</v>
      </c>
      <c r="C1445" s="4">
        <v>567</v>
      </c>
      <c r="D1445" s="3">
        <v>5</v>
      </c>
      <c r="E1445" t="s">
        <v>885</v>
      </c>
      <c r="F1445" t="s">
        <v>892</v>
      </c>
      <c r="G1445" t="s">
        <v>887</v>
      </c>
      <c r="H1445" s="6">
        <f>_xlfn.XLOOKUP(A1445,Orders[OrderID],Orders[OrderDate])</f>
        <v>43412</v>
      </c>
      <c r="I1445" t="str">
        <f>_xlfn.XLOOKUP(A1445,Orders[OrderID],Orders[CustomerName])</f>
        <v>Abhijeet</v>
      </c>
      <c r="J1445" t="str">
        <f>_xlfn.XLOOKUP(A1445,Orders[OrderID],Orders[State])</f>
        <v>Madhya Pradesh</v>
      </c>
      <c r="K1445" t="str">
        <f>_xlfn.XLOOKUP(A1445,Orders[OrderID],Orders[City])</f>
        <v>Bhopal</v>
      </c>
      <c r="L1445" s="3">
        <f>YEAR(Clean_Data[[#This Row],[OrderDate]])</f>
        <v>2018</v>
      </c>
      <c r="M1445" s="3">
        <f>MONTH(Clean_Data[[#This Row],[OrderDate]])</f>
        <v>11</v>
      </c>
      <c r="N1445" s="8" t="str">
        <f>TEXT(Clean_Data[[#This Row],[OrderDate]],"mmm")</f>
        <v>Nov</v>
      </c>
      <c r="O1445" s="8" t="str">
        <f>TEXT(Clean_Data[[#This Row],[OrderDate]], "yyyy-mm")</f>
        <v>2018-11</v>
      </c>
      <c r="P1445" s="7">
        <f>Clean_Data[[#This Row],[Profit]]/Clean_Data[[#This Row],[Revenue ]]</f>
        <v>0.42987111448066717</v>
      </c>
      <c r="Q1445" t="str">
        <f>"Q"&amp;ROUNDUP(MONTH(Clean_Data[[#This Row],[OrderDate]])/3,0)</f>
        <v>Q4</v>
      </c>
      <c r="R1445" t="str">
        <f>TEXT(Clean_Data[[#This Row],[OrderDate]], "dddd")</f>
        <v>Thursday</v>
      </c>
    </row>
    <row r="1446" spans="1:18" x14ac:dyDescent="0.25">
      <c r="A1446" t="s">
        <v>122</v>
      </c>
      <c r="B1446" s="4">
        <v>1402</v>
      </c>
      <c r="C1446" s="4">
        <v>109</v>
      </c>
      <c r="D1446" s="3">
        <v>11</v>
      </c>
      <c r="E1446" t="s">
        <v>895</v>
      </c>
      <c r="F1446" t="s">
        <v>897</v>
      </c>
      <c r="G1446" t="s">
        <v>890</v>
      </c>
      <c r="H1446" s="6">
        <f>_xlfn.XLOOKUP(A1446,Orders[OrderID],Orders[OrderDate])</f>
        <v>43367</v>
      </c>
      <c r="I1446" t="str">
        <f>_xlfn.XLOOKUP(A1446,Orders[OrderID],Orders[CustomerName])</f>
        <v>Siddharth</v>
      </c>
      <c r="J1446" t="str">
        <f>_xlfn.XLOOKUP(A1446,Orders[OrderID],Orders[State])</f>
        <v>Madhya Pradesh</v>
      </c>
      <c r="K1446" t="str">
        <f>_xlfn.XLOOKUP(A1446,Orders[OrderID],Orders[City])</f>
        <v>Indore</v>
      </c>
      <c r="L1446" s="3">
        <f>YEAR(Clean_Data[[#This Row],[OrderDate]])</f>
        <v>2018</v>
      </c>
      <c r="M1446" s="3">
        <f>MONTH(Clean_Data[[#This Row],[OrderDate]])</f>
        <v>9</v>
      </c>
      <c r="N1446" s="8" t="str">
        <f>TEXT(Clean_Data[[#This Row],[OrderDate]],"mmm")</f>
        <v>Sep</v>
      </c>
      <c r="O1446" s="8" t="str">
        <f>TEXT(Clean_Data[[#This Row],[OrderDate]], "yyyy-mm")</f>
        <v>2018-09</v>
      </c>
      <c r="P1446" s="7">
        <f>Clean_Data[[#This Row],[Profit]]/Clean_Data[[#This Row],[Revenue ]]</f>
        <v>7.7746077032810265E-2</v>
      </c>
      <c r="Q1446" t="str">
        <f>"Q"&amp;ROUNDUP(MONTH(Clean_Data[[#This Row],[OrderDate]])/3,0)</f>
        <v>Q3</v>
      </c>
      <c r="R1446" t="str">
        <f>TEXT(Clean_Data[[#This Row],[OrderDate]], "dddd")</f>
        <v>Monday</v>
      </c>
    </row>
    <row r="1447" spans="1:18" x14ac:dyDescent="0.25">
      <c r="A1447" t="s">
        <v>112</v>
      </c>
      <c r="B1447" s="4">
        <v>1514</v>
      </c>
      <c r="C1447" s="4">
        <v>742</v>
      </c>
      <c r="D1447" s="3">
        <v>4</v>
      </c>
      <c r="E1447" t="s">
        <v>885</v>
      </c>
      <c r="F1447" t="s">
        <v>892</v>
      </c>
      <c r="G1447" t="s">
        <v>890</v>
      </c>
      <c r="H1447" s="6">
        <f>_xlfn.XLOOKUP(A1447,Orders[OrderID],Orders[OrderDate])</f>
        <v>43180</v>
      </c>
      <c r="I1447" t="str">
        <f>_xlfn.XLOOKUP(A1447,Orders[OrderID],Orders[CustomerName])</f>
        <v>Pournamasi</v>
      </c>
      <c r="J1447" t="str">
        <f>_xlfn.XLOOKUP(A1447,Orders[OrderID],Orders[State])</f>
        <v>Madhya Pradesh</v>
      </c>
      <c r="K1447" t="str">
        <f>_xlfn.XLOOKUP(A1447,Orders[OrderID],Orders[City])</f>
        <v>Indore</v>
      </c>
      <c r="L1447" s="3">
        <f>YEAR(Clean_Data[[#This Row],[OrderDate]])</f>
        <v>2018</v>
      </c>
      <c r="M1447" s="3">
        <f>MONTH(Clean_Data[[#This Row],[OrderDate]])</f>
        <v>3</v>
      </c>
      <c r="N1447" s="8" t="str">
        <f>TEXT(Clean_Data[[#This Row],[OrderDate]],"mmm")</f>
        <v>Mar</v>
      </c>
      <c r="O1447" s="8" t="str">
        <f>TEXT(Clean_Data[[#This Row],[OrderDate]], "yyyy-mm")</f>
        <v>2018-03</v>
      </c>
      <c r="P1447" s="7">
        <f>Clean_Data[[#This Row],[Profit]]/Clean_Data[[#This Row],[Revenue ]]</f>
        <v>0.49009247027741082</v>
      </c>
      <c r="Q1447" t="str">
        <f>"Q"&amp;ROUNDUP(MONTH(Clean_Data[[#This Row],[OrderDate]])/3,0)</f>
        <v>Q1</v>
      </c>
      <c r="R1447" t="str">
        <f>TEXT(Clean_Data[[#This Row],[OrderDate]], "dddd")</f>
        <v>Wednesday</v>
      </c>
    </row>
    <row r="1448" spans="1:18" x14ac:dyDescent="0.25">
      <c r="A1448" t="s">
        <v>44</v>
      </c>
      <c r="B1448" s="4">
        <v>1351</v>
      </c>
      <c r="C1448" s="4">
        <v>111</v>
      </c>
      <c r="D1448" s="3">
        <v>6</v>
      </c>
      <c r="E1448" t="s">
        <v>885</v>
      </c>
      <c r="F1448" t="s">
        <v>886</v>
      </c>
      <c r="G1448" t="s">
        <v>887</v>
      </c>
      <c r="H1448" s="6">
        <f>_xlfn.XLOOKUP(A1448,Orders[OrderID],Orders[OrderDate])</f>
        <v>43429</v>
      </c>
      <c r="I1448" t="str">
        <f>_xlfn.XLOOKUP(A1448,Orders[OrderID],Orders[CustomerName])</f>
        <v>Lalita</v>
      </c>
      <c r="J1448" t="str">
        <f>_xlfn.XLOOKUP(A1448,Orders[OrderID],Orders[State])</f>
        <v>Uttar Pradesh</v>
      </c>
      <c r="K1448" t="str">
        <f>_xlfn.XLOOKUP(A1448,Orders[OrderID],Orders[City])</f>
        <v>Mathura</v>
      </c>
      <c r="L1448" s="3">
        <f>YEAR(Clean_Data[[#This Row],[OrderDate]])</f>
        <v>2018</v>
      </c>
      <c r="M1448" s="3">
        <f>MONTH(Clean_Data[[#This Row],[OrderDate]])</f>
        <v>11</v>
      </c>
      <c r="N1448" s="8" t="str">
        <f>TEXT(Clean_Data[[#This Row],[OrderDate]],"mmm")</f>
        <v>Nov</v>
      </c>
      <c r="O1448" s="8" t="str">
        <f>TEXT(Clean_Data[[#This Row],[OrderDate]], "yyyy-mm")</f>
        <v>2018-11</v>
      </c>
      <c r="P1448" s="7">
        <f>Clean_Data[[#This Row],[Profit]]/Clean_Data[[#This Row],[Revenue ]]</f>
        <v>8.2161361954108073E-2</v>
      </c>
      <c r="Q1448" t="str">
        <f>"Q"&amp;ROUNDUP(MONTH(Clean_Data[[#This Row],[OrderDate]])/3,0)</f>
        <v>Q4</v>
      </c>
      <c r="R1448" t="str">
        <f>TEXT(Clean_Data[[#This Row],[OrderDate]], "dddd")</f>
        <v>Sunday</v>
      </c>
    </row>
    <row r="1449" spans="1:18" x14ac:dyDescent="0.25">
      <c r="A1449" t="s">
        <v>134</v>
      </c>
      <c r="B1449" s="4">
        <v>1355</v>
      </c>
      <c r="C1449" s="4">
        <v>-60</v>
      </c>
      <c r="D1449" s="3">
        <v>5</v>
      </c>
      <c r="E1449" t="s">
        <v>895</v>
      </c>
      <c r="F1449" t="s">
        <v>896</v>
      </c>
      <c r="G1449" t="s">
        <v>887</v>
      </c>
      <c r="H1449" s="6">
        <f>_xlfn.XLOOKUP(A1449,Orders[OrderID],Orders[OrderDate])</f>
        <v>43193</v>
      </c>
      <c r="I1449" t="str">
        <f>_xlfn.XLOOKUP(A1449,Orders[OrderID],Orders[CustomerName])</f>
        <v>Jahan</v>
      </c>
      <c r="J1449" t="str">
        <f>_xlfn.XLOOKUP(A1449,Orders[OrderID],Orders[State])</f>
        <v>Madhya Pradesh</v>
      </c>
      <c r="K1449" t="str">
        <f>_xlfn.XLOOKUP(A1449,Orders[OrderID],Orders[City])</f>
        <v>Bhopal</v>
      </c>
      <c r="L1449" s="3">
        <f>YEAR(Clean_Data[[#This Row],[OrderDate]])</f>
        <v>2018</v>
      </c>
      <c r="M1449" s="3">
        <f>MONTH(Clean_Data[[#This Row],[OrderDate]])</f>
        <v>4</v>
      </c>
      <c r="N1449" s="8" t="str">
        <f>TEXT(Clean_Data[[#This Row],[OrderDate]],"mmm")</f>
        <v>Apr</v>
      </c>
      <c r="O1449" s="8" t="str">
        <f>TEXT(Clean_Data[[#This Row],[OrderDate]], "yyyy-mm")</f>
        <v>2018-04</v>
      </c>
      <c r="P1449" s="7">
        <f>Clean_Data[[#This Row],[Profit]]/Clean_Data[[#This Row],[Revenue ]]</f>
        <v>-4.4280442804428041E-2</v>
      </c>
      <c r="Q1449" t="str">
        <f>"Q"&amp;ROUNDUP(MONTH(Clean_Data[[#This Row],[OrderDate]])/3,0)</f>
        <v>Q2</v>
      </c>
      <c r="R1449" t="str">
        <f>TEXT(Clean_Data[[#This Row],[OrderDate]], "dddd")</f>
        <v>Tuesday</v>
      </c>
    </row>
    <row r="1450" spans="1:18" x14ac:dyDescent="0.25">
      <c r="A1450" t="s">
        <v>470</v>
      </c>
      <c r="B1450" s="4">
        <v>10</v>
      </c>
      <c r="C1450" s="4">
        <v>2</v>
      </c>
      <c r="D1450" s="3">
        <v>2</v>
      </c>
      <c r="E1450" t="s">
        <v>895</v>
      </c>
      <c r="F1450" t="s">
        <v>899</v>
      </c>
      <c r="G1450" t="s">
        <v>887</v>
      </c>
      <c r="H1450" s="6">
        <f>_xlfn.XLOOKUP(A1450,Orders[OrderID],Orders[OrderDate])</f>
        <v>43410</v>
      </c>
      <c r="I1450" t="str">
        <f>_xlfn.XLOOKUP(A1450,Orders[OrderID],Orders[CustomerName])</f>
        <v>Kushal</v>
      </c>
      <c r="J1450" t="str">
        <f>_xlfn.XLOOKUP(A1450,Orders[OrderID],Orders[State])</f>
        <v>Nagaland</v>
      </c>
      <c r="K1450" t="str">
        <f>_xlfn.XLOOKUP(A1450,Orders[OrderID],Orders[City])</f>
        <v>Kohima</v>
      </c>
      <c r="L1450" s="3">
        <f>YEAR(Clean_Data[[#This Row],[OrderDate]])</f>
        <v>2018</v>
      </c>
      <c r="M1450" s="3">
        <f>MONTH(Clean_Data[[#This Row],[OrderDate]])</f>
        <v>11</v>
      </c>
      <c r="N1450" s="8" t="str">
        <f>TEXT(Clean_Data[[#This Row],[OrderDate]],"mmm")</f>
        <v>Nov</v>
      </c>
      <c r="O1450" s="8" t="str">
        <f>TEXT(Clean_Data[[#This Row],[OrderDate]], "yyyy-mm")</f>
        <v>2018-11</v>
      </c>
      <c r="P1450" s="7">
        <f>Clean_Data[[#This Row],[Profit]]/Clean_Data[[#This Row],[Revenue ]]</f>
        <v>0.2</v>
      </c>
      <c r="Q1450" t="str">
        <f>"Q"&amp;ROUNDUP(MONTH(Clean_Data[[#This Row],[OrderDate]])/3,0)</f>
        <v>Q4</v>
      </c>
      <c r="R1450" t="str">
        <f>TEXT(Clean_Data[[#This Row],[OrderDate]], "dddd")</f>
        <v>Tuesday</v>
      </c>
    </row>
    <row r="1451" spans="1:18" x14ac:dyDescent="0.25">
      <c r="A1451" t="s">
        <v>633</v>
      </c>
      <c r="B1451" s="4">
        <v>10</v>
      </c>
      <c r="C1451" s="4">
        <v>-2</v>
      </c>
      <c r="D1451" s="3">
        <v>2</v>
      </c>
      <c r="E1451" t="s">
        <v>895</v>
      </c>
      <c r="F1451" t="s">
        <v>904</v>
      </c>
      <c r="G1451" t="s">
        <v>887</v>
      </c>
      <c r="H1451" s="6">
        <f>_xlfn.XLOOKUP(A1451,Orders[OrderID],Orders[OrderDate])</f>
        <v>43431</v>
      </c>
      <c r="I1451" t="str">
        <f>_xlfn.XLOOKUP(A1451,Orders[OrderID],Orders[CustomerName])</f>
        <v>Saptadeep</v>
      </c>
      <c r="J1451" t="str">
        <f>_xlfn.XLOOKUP(A1451,Orders[OrderID],Orders[State])</f>
        <v>Gujarat</v>
      </c>
      <c r="K1451" t="str">
        <f>_xlfn.XLOOKUP(A1451,Orders[OrderID],Orders[City])</f>
        <v>Surat</v>
      </c>
      <c r="L1451" s="3">
        <f>YEAR(Clean_Data[[#This Row],[OrderDate]])</f>
        <v>2018</v>
      </c>
      <c r="M1451" s="3">
        <f>MONTH(Clean_Data[[#This Row],[OrderDate]])</f>
        <v>11</v>
      </c>
      <c r="N1451" s="8" t="str">
        <f>TEXT(Clean_Data[[#This Row],[OrderDate]],"mmm")</f>
        <v>Nov</v>
      </c>
      <c r="O1451" s="8" t="str">
        <f>TEXT(Clean_Data[[#This Row],[OrderDate]], "yyyy-mm")</f>
        <v>2018-11</v>
      </c>
      <c r="P1451" s="7">
        <f>Clean_Data[[#This Row],[Profit]]/Clean_Data[[#This Row],[Revenue ]]</f>
        <v>-0.2</v>
      </c>
      <c r="Q1451" t="str">
        <f>"Q"&amp;ROUNDUP(MONTH(Clean_Data[[#This Row],[OrderDate]])/3,0)</f>
        <v>Q4</v>
      </c>
      <c r="R1451" t="str">
        <f>TEXT(Clean_Data[[#This Row],[OrderDate]], "dddd")</f>
        <v>Tuesday</v>
      </c>
    </row>
    <row r="1452" spans="1:18" x14ac:dyDescent="0.25">
      <c r="A1452" t="s">
        <v>100</v>
      </c>
      <c r="B1452" s="4">
        <v>1582</v>
      </c>
      <c r="C1452" s="4">
        <v>-443</v>
      </c>
      <c r="D1452" s="3">
        <v>6</v>
      </c>
      <c r="E1452" t="s">
        <v>895</v>
      </c>
      <c r="F1452" t="s">
        <v>896</v>
      </c>
      <c r="G1452" t="s">
        <v>890</v>
      </c>
      <c r="H1452" s="6">
        <f>_xlfn.XLOOKUP(A1452,Orders[OrderID],Orders[OrderDate])</f>
        <v>43344</v>
      </c>
      <c r="I1452" t="str">
        <f>_xlfn.XLOOKUP(A1452,Orders[OrderID],Orders[CustomerName])</f>
        <v>Shreyoshe</v>
      </c>
      <c r="J1452" t="str">
        <f>_xlfn.XLOOKUP(A1452,Orders[OrderID],Orders[State])</f>
        <v>Karnataka</v>
      </c>
      <c r="K1452" t="str">
        <f>_xlfn.XLOOKUP(A1452,Orders[OrderID],Orders[City])</f>
        <v>Bangalore</v>
      </c>
      <c r="L1452" s="3">
        <f>YEAR(Clean_Data[[#This Row],[OrderDate]])</f>
        <v>2018</v>
      </c>
      <c r="M1452" s="3">
        <f>MONTH(Clean_Data[[#This Row],[OrderDate]])</f>
        <v>9</v>
      </c>
      <c r="N1452" s="8" t="str">
        <f>TEXT(Clean_Data[[#This Row],[OrderDate]],"mmm")</f>
        <v>Sep</v>
      </c>
      <c r="O1452" s="8" t="str">
        <f>TEXT(Clean_Data[[#This Row],[OrderDate]], "yyyy-mm")</f>
        <v>2018-09</v>
      </c>
      <c r="P1452" s="7">
        <f>Clean_Data[[#This Row],[Profit]]/Clean_Data[[#This Row],[Revenue ]]</f>
        <v>-0.28002528445006319</v>
      </c>
      <c r="Q1452" t="str">
        <f>"Q"&amp;ROUNDUP(MONTH(Clean_Data[[#This Row],[OrderDate]])/3,0)</f>
        <v>Q3</v>
      </c>
      <c r="R1452" t="str">
        <f>TEXT(Clean_Data[[#This Row],[OrderDate]], "dddd")</f>
        <v>Saturday</v>
      </c>
    </row>
    <row r="1453" spans="1:18" x14ac:dyDescent="0.25">
      <c r="A1453" t="s">
        <v>175</v>
      </c>
      <c r="B1453" s="4">
        <v>1218</v>
      </c>
      <c r="C1453" s="4">
        <v>352</v>
      </c>
      <c r="D1453" s="3">
        <v>9</v>
      </c>
      <c r="E1453" t="s">
        <v>888</v>
      </c>
      <c r="F1453" t="s">
        <v>891</v>
      </c>
      <c r="G1453" t="s">
        <v>890</v>
      </c>
      <c r="H1453" s="6">
        <f>_xlfn.XLOOKUP(A1453,Orders[OrderID],Orders[OrderDate])</f>
        <v>43114</v>
      </c>
      <c r="I1453" t="str">
        <f>_xlfn.XLOOKUP(A1453,Orders[OrderID],Orders[CustomerName])</f>
        <v>Krutika</v>
      </c>
      <c r="J1453" t="str">
        <f>_xlfn.XLOOKUP(A1453,Orders[OrderID],Orders[State])</f>
        <v>Andhra Pradesh</v>
      </c>
      <c r="K1453" t="str">
        <f>_xlfn.XLOOKUP(A1453,Orders[OrderID],Orders[City])</f>
        <v>Hyderabad</v>
      </c>
      <c r="L1453" s="3">
        <f>YEAR(Clean_Data[[#This Row],[OrderDate]])</f>
        <v>2018</v>
      </c>
      <c r="M1453" s="3">
        <f>MONTH(Clean_Data[[#This Row],[OrderDate]])</f>
        <v>1</v>
      </c>
      <c r="N1453" s="8" t="str">
        <f>TEXT(Clean_Data[[#This Row],[OrderDate]],"mmm")</f>
        <v>Jan</v>
      </c>
      <c r="O1453" s="8" t="str">
        <f>TEXT(Clean_Data[[#This Row],[OrderDate]], "yyyy-mm")</f>
        <v>2018-01</v>
      </c>
      <c r="P1453" s="7">
        <f>Clean_Data[[#This Row],[Profit]]/Clean_Data[[#This Row],[Revenue ]]</f>
        <v>0.28899835796387519</v>
      </c>
      <c r="Q1453" t="str">
        <f>"Q"&amp;ROUNDUP(MONTH(Clean_Data[[#This Row],[OrderDate]])/3,0)</f>
        <v>Q1</v>
      </c>
      <c r="R1453" t="str">
        <f>TEXT(Clean_Data[[#This Row],[OrderDate]], "dddd")</f>
        <v>Sunday</v>
      </c>
    </row>
    <row r="1454" spans="1:18" x14ac:dyDescent="0.25">
      <c r="A1454" t="s">
        <v>71</v>
      </c>
      <c r="B1454" s="4">
        <v>321</v>
      </c>
      <c r="C1454" s="4">
        <v>315</v>
      </c>
      <c r="D1454" s="3">
        <v>5</v>
      </c>
      <c r="E1454" t="s">
        <v>895</v>
      </c>
      <c r="F1454" t="s">
        <v>897</v>
      </c>
      <c r="G1454" t="s">
        <v>898</v>
      </c>
      <c r="H1454" s="6">
        <f>_xlfn.XLOOKUP(A1454,Orders[OrderID],Orders[OrderDate])</f>
        <v>43331</v>
      </c>
      <c r="I1454" t="str">
        <f>_xlfn.XLOOKUP(A1454,Orders[OrderID],Orders[CustomerName])</f>
        <v>Shourya</v>
      </c>
      <c r="J1454" t="str">
        <f>_xlfn.XLOOKUP(A1454,Orders[OrderID],Orders[State])</f>
        <v xml:space="preserve">Kerala </v>
      </c>
      <c r="K1454" t="str">
        <f>_xlfn.XLOOKUP(A1454,Orders[OrderID],Orders[City])</f>
        <v>Thiruvananthapuram</v>
      </c>
      <c r="L1454" s="3">
        <f>YEAR(Clean_Data[[#This Row],[OrderDate]])</f>
        <v>2018</v>
      </c>
      <c r="M1454" s="3">
        <f>MONTH(Clean_Data[[#This Row],[OrderDate]])</f>
        <v>8</v>
      </c>
      <c r="N1454" s="8" t="str">
        <f>TEXT(Clean_Data[[#This Row],[OrderDate]],"mmm")</f>
        <v>Aug</v>
      </c>
      <c r="O1454" s="8" t="str">
        <f>TEXT(Clean_Data[[#This Row],[OrderDate]], "yyyy-mm")</f>
        <v>2018-08</v>
      </c>
      <c r="P1454" s="7">
        <f>Clean_Data[[#This Row],[Profit]]/Clean_Data[[#This Row],[Revenue ]]</f>
        <v>0.98130841121495327</v>
      </c>
      <c r="Q1454" t="str">
        <f>"Q"&amp;ROUNDUP(MONTH(Clean_Data[[#This Row],[OrderDate]])/3,0)</f>
        <v>Q3</v>
      </c>
      <c r="R1454" t="str">
        <f>TEXT(Clean_Data[[#This Row],[OrderDate]], "dddd")</f>
        <v>Sunday</v>
      </c>
    </row>
    <row r="1455" spans="1:18" x14ac:dyDescent="0.25">
      <c r="A1455" t="s">
        <v>290</v>
      </c>
      <c r="B1455" s="4">
        <v>736</v>
      </c>
      <c r="C1455" s="4">
        <v>346</v>
      </c>
      <c r="D1455" s="3">
        <v>5</v>
      </c>
      <c r="E1455" t="s">
        <v>885</v>
      </c>
      <c r="F1455" t="s">
        <v>892</v>
      </c>
      <c r="G1455" t="s">
        <v>887</v>
      </c>
      <c r="H1455" s="6">
        <f>_xlfn.XLOOKUP(A1455,Orders[OrderID],Orders[OrderDate])</f>
        <v>43169</v>
      </c>
      <c r="I1455" t="str">
        <f>_xlfn.XLOOKUP(A1455,Orders[OrderID],Orders[CustomerName])</f>
        <v>Sharda</v>
      </c>
      <c r="J1455" t="str">
        <f>_xlfn.XLOOKUP(A1455,Orders[OrderID],Orders[State])</f>
        <v xml:space="preserve">Kerala </v>
      </c>
      <c r="K1455" t="str">
        <f>_xlfn.XLOOKUP(A1455,Orders[OrderID],Orders[City])</f>
        <v>Thiruvananthapuram</v>
      </c>
      <c r="L1455" s="3">
        <f>YEAR(Clean_Data[[#This Row],[OrderDate]])</f>
        <v>2018</v>
      </c>
      <c r="M1455" s="3">
        <f>MONTH(Clean_Data[[#This Row],[OrderDate]])</f>
        <v>3</v>
      </c>
      <c r="N1455" s="8" t="str">
        <f>TEXT(Clean_Data[[#This Row],[OrderDate]],"mmm")</f>
        <v>Mar</v>
      </c>
      <c r="O1455" s="8" t="str">
        <f>TEXT(Clean_Data[[#This Row],[OrderDate]], "yyyy-mm")</f>
        <v>2018-03</v>
      </c>
      <c r="P1455" s="7">
        <f>Clean_Data[[#This Row],[Profit]]/Clean_Data[[#This Row],[Revenue ]]</f>
        <v>0.47010869565217389</v>
      </c>
      <c r="Q1455" t="str">
        <f>"Q"&amp;ROUNDUP(MONTH(Clean_Data[[#This Row],[OrderDate]])/3,0)</f>
        <v>Q1</v>
      </c>
      <c r="R1455" t="str">
        <f>TEXT(Clean_Data[[#This Row],[OrderDate]], "dddd")</f>
        <v>Saturday</v>
      </c>
    </row>
    <row r="1456" spans="1:18" x14ac:dyDescent="0.25">
      <c r="A1456" t="s">
        <v>3</v>
      </c>
      <c r="B1456" s="4">
        <v>1218</v>
      </c>
      <c r="C1456" s="4">
        <v>-420</v>
      </c>
      <c r="D1456" s="3">
        <v>8</v>
      </c>
      <c r="E1456" t="s">
        <v>888</v>
      </c>
      <c r="F1456" t="s">
        <v>891</v>
      </c>
      <c r="G1456" t="s">
        <v>887</v>
      </c>
      <c r="H1456" s="6">
        <f>_xlfn.XLOOKUP(A1456,Orders[OrderID],Orders[OrderDate])</f>
        <v>43169</v>
      </c>
      <c r="I1456" t="str">
        <f>_xlfn.XLOOKUP(A1456,Orders[OrderID],Orders[CustomerName])</f>
        <v>Harivansh</v>
      </c>
      <c r="J1456" t="str">
        <f>_xlfn.XLOOKUP(A1456,Orders[OrderID],Orders[State])</f>
        <v>Uttar Pradesh</v>
      </c>
      <c r="K1456" t="str">
        <f>_xlfn.XLOOKUP(A1456,Orders[OrderID],Orders[City])</f>
        <v>Mathura</v>
      </c>
      <c r="L1456" s="3">
        <f>YEAR(Clean_Data[[#This Row],[OrderDate]])</f>
        <v>2018</v>
      </c>
      <c r="M1456" s="3">
        <f>MONTH(Clean_Data[[#This Row],[OrderDate]])</f>
        <v>3</v>
      </c>
      <c r="N1456" s="8" t="str">
        <f>TEXT(Clean_Data[[#This Row],[OrderDate]],"mmm")</f>
        <v>Mar</v>
      </c>
      <c r="O1456" s="8" t="str">
        <f>TEXT(Clean_Data[[#This Row],[OrderDate]], "yyyy-mm")</f>
        <v>2018-03</v>
      </c>
      <c r="P1456" s="7">
        <f>Clean_Data[[#This Row],[Profit]]/Clean_Data[[#This Row],[Revenue ]]</f>
        <v>-0.34482758620689657</v>
      </c>
      <c r="Q1456" t="str">
        <f>"Q"&amp;ROUNDUP(MONTH(Clean_Data[[#This Row],[OrderDate]])/3,0)</f>
        <v>Q1</v>
      </c>
      <c r="R1456" t="str">
        <f>TEXT(Clean_Data[[#This Row],[OrderDate]], "dddd")</f>
        <v>Saturday</v>
      </c>
    </row>
    <row r="1457" spans="1:18" x14ac:dyDescent="0.25">
      <c r="A1457" t="s">
        <v>142</v>
      </c>
      <c r="B1457" s="4">
        <v>1027</v>
      </c>
      <c r="C1457" s="4">
        <v>441</v>
      </c>
      <c r="D1457" s="3">
        <v>8</v>
      </c>
      <c r="E1457" t="s">
        <v>895</v>
      </c>
      <c r="F1457" t="s">
        <v>897</v>
      </c>
      <c r="G1457" t="s">
        <v>887</v>
      </c>
      <c r="H1457" s="6">
        <f>_xlfn.XLOOKUP(A1457,Orders[OrderID],Orders[OrderDate])</f>
        <v>43412</v>
      </c>
      <c r="I1457" t="str">
        <f>_xlfn.XLOOKUP(A1457,Orders[OrderID],Orders[CustomerName])</f>
        <v>Abhijeet</v>
      </c>
      <c r="J1457" t="str">
        <f>_xlfn.XLOOKUP(A1457,Orders[OrderID],Orders[State])</f>
        <v>Madhya Pradesh</v>
      </c>
      <c r="K1457" t="str">
        <f>_xlfn.XLOOKUP(A1457,Orders[OrderID],Orders[City])</f>
        <v>Bhopal</v>
      </c>
      <c r="L1457" s="3">
        <f>YEAR(Clean_Data[[#This Row],[OrderDate]])</f>
        <v>2018</v>
      </c>
      <c r="M1457" s="3">
        <f>MONTH(Clean_Data[[#This Row],[OrderDate]])</f>
        <v>11</v>
      </c>
      <c r="N1457" s="8" t="str">
        <f>TEXT(Clean_Data[[#This Row],[OrderDate]],"mmm")</f>
        <v>Nov</v>
      </c>
      <c r="O1457" s="8" t="str">
        <f>TEXT(Clean_Data[[#This Row],[OrderDate]], "yyyy-mm")</f>
        <v>2018-11</v>
      </c>
      <c r="P1457" s="7">
        <f>Clean_Data[[#This Row],[Profit]]/Clean_Data[[#This Row],[Revenue ]]</f>
        <v>0.42940603700097368</v>
      </c>
      <c r="Q1457" t="str">
        <f>"Q"&amp;ROUNDUP(MONTH(Clean_Data[[#This Row],[OrderDate]])/3,0)</f>
        <v>Q4</v>
      </c>
      <c r="R1457" t="str">
        <f>TEXT(Clean_Data[[#This Row],[OrderDate]], "dddd")</f>
        <v>Thursday</v>
      </c>
    </row>
    <row r="1458" spans="1:18" x14ac:dyDescent="0.25">
      <c r="A1458" t="s">
        <v>467</v>
      </c>
      <c r="B1458" s="4">
        <v>10</v>
      </c>
      <c r="C1458" s="4">
        <v>5</v>
      </c>
      <c r="D1458" s="3">
        <v>1</v>
      </c>
      <c r="E1458" t="s">
        <v>895</v>
      </c>
      <c r="F1458" t="s">
        <v>903</v>
      </c>
      <c r="G1458" t="s">
        <v>887</v>
      </c>
      <c r="H1458" s="6">
        <f>_xlfn.XLOOKUP(A1458,Orders[OrderID],Orders[OrderDate])</f>
        <v>43132</v>
      </c>
      <c r="I1458" t="str">
        <f>_xlfn.XLOOKUP(A1458,Orders[OrderID],Orders[CustomerName])</f>
        <v>Anjali</v>
      </c>
      <c r="J1458" t="str">
        <f>_xlfn.XLOOKUP(A1458,Orders[OrderID],Orders[State])</f>
        <v>Delhi</v>
      </c>
      <c r="K1458" t="str">
        <f>_xlfn.XLOOKUP(A1458,Orders[OrderID],Orders[City])</f>
        <v>Delhi</v>
      </c>
      <c r="L1458" s="3">
        <f>YEAR(Clean_Data[[#This Row],[OrderDate]])</f>
        <v>2018</v>
      </c>
      <c r="M1458" s="3">
        <f>MONTH(Clean_Data[[#This Row],[OrderDate]])</f>
        <v>2</v>
      </c>
      <c r="N1458" s="8" t="str">
        <f>TEXT(Clean_Data[[#This Row],[OrderDate]],"mmm")</f>
        <v>Feb</v>
      </c>
      <c r="O1458" s="8" t="str">
        <f>TEXT(Clean_Data[[#This Row],[OrderDate]], "yyyy-mm")</f>
        <v>2018-02</v>
      </c>
      <c r="P1458" s="7">
        <f>Clean_Data[[#This Row],[Profit]]/Clean_Data[[#This Row],[Revenue ]]</f>
        <v>0.5</v>
      </c>
      <c r="Q1458" t="str">
        <f>"Q"&amp;ROUNDUP(MONTH(Clean_Data[[#This Row],[OrderDate]])/3,0)</f>
        <v>Q1</v>
      </c>
      <c r="R1458" t="str">
        <f>TEXT(Clean_Data[[#This Row],[OrderDate]], "dddd")</f>
        <v>Thursday</v>
      </c>
    </row>
    <row r="1459" spans="1:18" x14ac:dyDescent="0.25">
      <c r="A1459" t="s">
        <v>40</v>
      </c>
      <c r="B1459" s="4">
        <v>2366</v>
      </c>
      <c r="C1459" s="4">
        <v>552</v>
      </c>
      <c r="D1459" s="3">
        <v>5</v>
      </c>
      <c r="E1459" t="s">
        <v>895</v>
      </c>
      <c r="F1459" t="s">
        <v>896</v>
      </c>
      <c r="G1459" t="s">
        <v>898</v>
      </c>
      <c r="H1459" s="6">
        <f>_xlfn.XLOOKUP(A1459,Orders[OrderID],Orders[OrderDate])</f>
        <v>43189</v>
      </c>
      <c r="I1459" t="str">
        <f>_xlfn.XLOOKUP(A1459,Orders[OrderID],Orders[CustomerName])</f>
        <v>Bhishm</v>
      </c>
      <c r="J1459" t="str">
        <f>_xlfn.XLOOKUP(A1459,Orders[OrderID],Orders[State])</f>
        <v>Maharashtra</v>
      </c>
      <c r="K1459" t="str">
        <f>_xlfn.XLOOKUP(A1459,Orders[OrderID],Orders[City])</f>
        <v>Mumbai</v>
      </c>
      <c r="L1459" s="3">
        <f>YEAR(Clean_Data[[#This Row],[OrderDate]])</f>
        <v>2018</v>
      </c>
      <c r="M1459" s="3">
        <f>MONTH(Clean_Data[[#This Row],[OrderDate]])</f>
        <v>3</v>
      </c>
      <c r="N1459" s="8" t="str">
        <f>TEXT(Clean_Data[[#This Row],[OrderDate]],"mmm")</f>
        <v>Mar</v>
      </c>
      <c r="O1459" s="8" t="str">
        <f>TEXT(Clean_Data[[#This Row],[OrderDate]], "yyyy-mm")</f>
        <v>2018-03</v>
      </c>
      <c r="P1459" s="7">
        <f>Clean_Data[[#This Row],[Profit]]/Clean_Data[[#This Row],[Revenue ]]</f>
        <v>0.23330515638207946</v>
      </c>
      <c r="Q1459" t="str">
        <f>"Q"&amp;ROUNDUP(MONTH(Clean_Data[[#This Row],[OrderDate]])/3,0)</f>
        <v>Q1</v>
      </c>
      <c r="R1459" t="str">
        <f>TEXT(Clean_Data[[#This Row],[OrderDate]], "dddd")</f>
        <v>Friday</v>
      </c>
    </row>
    <row r="1460" spans="1:18" x14ac:dyDescent="0.25">
      <c r="A1460" t="s">
        <v>553</v>
      </c>
      <c r="B1460" s="4">
        <v>9</v>
      </c>
      <c r="C1460" s="4">
        <v>-6</v>
      </c>
      <c r="D1460" s="3">
        <v>2</v>
      </c>
      <c r="E1460" t="s">
        <v>895</v>
      </c>
      <c r="F1460" t="s">
        <v>899</v>
      </c>
      <c r="G1460" t="s">
        <v>887</v>
      </c>
      <c r="H1460" s="6">
        <f>_xlfn.XLOOKUP(A1460,Orders[OrderID],Orders[OrderDate])</f>
        <v>43228</v>
      </c>
      <c r="I1460" t="str">
        <f>_xlfn.XLOOKUP(A1460,Orders[OrderID],Orders[CustomerName])</f>
        <v>Tushina</v>
      </c>
      <c r="J1460" t="str">
        <f>_xlfn.XLOOKUP(A1460,Orders[OrderID],Orders[State])</f>
        <v>Goa</v>
      </c>
      <c r="K1460" t="str">
        <f>_xlfn.XLOOKUP(A1460,Orders[OrderID],Orders[City])</f>
        <v>Goa</v>
      </c>
      <c r="L1460" s="3">
        <f>YEAR(Clean_Data[[#This Row],[OrderDate]])</f>
        <v>2018</v>
      </c>
      <c r="M1460" s="3">
        <f>MONTH(Clean_Data[[#This Row],[OrderDate]])</f>
        <v>5</v>
      </c>
      <c r="N1460" s="8" t="str">
        <f>TEXT(Clean_Data[[#This Row],[OrderDate]],"mmm")</f>
        <v>May</v>
      </c>
      <c r="O1460" s="8" t="str">
        <f>TEXT(Clean_Data[[#This Row],[OrderDate]], "yyyy-mm")</f>
        <v>2018-05</v>
      </c>
      <c r="P1460" s="7">
        <f>Clean_Data[[#This Row],[Profit]]/Clean_Data[[#This Row],[Revenue ]]</f>
        <v>-0.66666666666666663</v>
      </c>
      <c r="Q1460" t="str">
        <f>"Q"&amp;ROUNDUP(MONTH(Clean_Data[[#This Row],[OrderDate]])/3,0)</f>
        <v>Q2</v>
      </c>
      <c r="R1460" t="str">
        <f>TEXT(Clean_Data[[#This Row],[OrderDate]], "dddd")</f>
        <v>Tuesday</v>
      </c>
    </row>
    <row r="1461" spans="1:18" x14ac:dyDescent="0.25">
      <c r="A1461" t="s">
        <v>753</v>
      </c>
      <c r="B1461" s="4">
        <v>16</v>
      </c>
      <c r="C1461" s="4">
        <v>-12</v>
      </c>
      <c r="D1461" s="3">
        <v>2</v>
      </c>
      <c r="E1461" t="s">
        <v>895</v>
      </c>
      <c r="F1461" t="s">
        <v>903</v>
      </c>
      <c r="G1461" t="s">
        <v>898</v>
      </c>
      <c r="H1461" s="6">
        <f>_xlfn.XLOOKUP(A1461,Orders[OrderID],Orders[OrderDate])</f>
        <v>43299</v>
      </c>
      <c r="I1461" t="str">
        <f>_xlfn.XLOOKUP(A1461,Orders[OrderID],Orders[CustomerName])</f>
        <v>Wale</v>
      </c>
      <c r="J1461" t="str">
        <f>_xlfn.XLOOKUP(A1461,Orders[OrderID],Orders[State])</f>
        <v>Maharashtra</v>
      </c>
      <c r="K1461" t="str">
        <f>_xlfn.XLOOKUP(A1461,Orders[OrderID],Orders[City])</f>
        <v>Mumbai</v>
      </c>
      <c r="L1461" s="3">
        <f>YEAR(Clean_Data[[#This Row],[OrderDate]])</f>
        <v>2018</v>
      </c>
      <c r="M1461" s="3">
        <f>MONTH(Clean_Data[[#This Row],[OrderDate]])</f>
        <v>7</v>
      </c>
      <c r="N1461" s="8" t="str">
        <f>TEXT(Clean_Data[[#This Row],[OrderDate]],"mmm")</f>
        <v>Jul</v>
      </c>
      <c r="O1461" s="8" t="str">
        <f>TEXT(Clean_Data[[#This Row],[OrderDate]], "yyyy-mm")</f>
        <v>2018-07</v>
      </c>
      <c r="P1461" s="7">
        <f>Clean_Data[[#This Row],[Profit]]/Clean_Data[[#This Row],[Revenue ]]</f>
        <v>-0.75</v>
      </c>
      <c r="Q1461" t="str">
        <f>"Q"&amp;ROUNDUP(MONTH(Clean_Data[[#This Row],[OrderDate]])/3,0)</f>
        <v>Q3</v>
      </c>
      <c r="R1461" t="str">
        <f>TEXT(Clean_Data[[#This Row],[OrderDate]], "dddd")</f>
        <v>Wednesday</v>
      </c>
    </row>
    <row r="1462" spans="1:18" x14ac:dyDescent="0.25">
      <c r="A1462" t="s">
        <v>40</v>
      </c>
      <c r="B1462" s="4">
        <v>9</v>
      </c>
      <c r="C1462" s="4">
        <v>3</v>
      </c>
      <c r="D1462" s="3">
        <v>1</v>
      </c>
      <c r="E1462" t="s">
        <v>895</v>
      </c>
      <c r="F1462" t="s">
        <v>901</v>
      </c>
      <c r="G1462" t="s">
        <v>887</v>
      </c>
      <c r="H1462" s="6">
        <f>_xlfn.XLOOKUP(A1462,Orders[OrderID],Orders[OrderDate])</f>
        <v>43189</v>
      </c>
      <c r="I1462" t="str">
        <f>_xlfn.XLOOKUP(A1462,Orders[OrderID],Orders[CustomerName])</f>
        <v>Bhishm</v>
      </c>
      <c r="J1462" t="str">
        <f>_xlfn.XLOOKUP(A1462,Orders[OrderID],Orders[State])</f>
        <v>Maharashtra</v>
      </c>
      <c r="K1462" t="str">
        <f>_xlfn.XLOOKUP(A1462,Orders[OrderID],Orders[City])</f>
        <v>Mumbai</v>
      </c>
      <c r="L1462" s="3">
        <f>YEAR(Clean_Data[[#This Row],[OrderDate]])</f>
        <v>2018</v>
      </c>
      <c r="M1462" s="3">
        <f>MONTH(Clean_Data[[#This Row],[OrderDate]])</f>
        <v>3</v>
      </c>
      <c r="N1462" s="8" t="str">
        <f>TEXT(Clean_Data[[#This Row],[OrderDate]],"mmm")</f>
        <v>Mar</v>
      </c>
      <c r="O1462" s="8" t="str">
        <f>TEXT(Clean_Data[[#This Row],[OrderDate]], "yyyy-mm")</f>
        <v>2018-03</v>
      </c>
      <c r="P1462" s="7">
        <f>Clean_Data[[#This Row],[Profit]]/Clean_Data[[#This Row],[Revenue ]]</f>
        <v>0.33333333333333331</v>
      </c>
      <c r="Q1462" t="str">
        <f>"Q"&amp;ROUNDUP(MONTH(Clean_Data[[#This Row],[OrderDate]])/3,0)</f>
        <v>Q1</v>
      </c>
      <c r="R1462" t="str">
        <f>TEXT(Clean_Data[[#This Row],[OrderDate]], "dddd")</f>
        <v>Friday</v>
      </c>
    </row>
    <row r="1463" spans="1:18" x14ac:dyDescent="0.25">
      <c r="A1463" t="s">
        <v>104</v>
      </c>
      <c r="B1463" s="4">
        <v>1560</v>
      </c>
      <c r="C1463" s="4">
        <v>421</v>
      </c>
      <c r="D1463" s="3">
        <v>3</v>
      </c>
      <c r="E1463" t="s">
        <v>895</v>
      </c>
      <c r="F1463" t="s">
        <v>896</v>
      </c>
      <c r="G1463" t="s">
        <v>887</v>
      </c>
      <c r="H1463" s="6">
        <f>_xlfn.XLOOKUP(A1463,Orders[OrderID],Orders[OrderDate])</f>
        <v>43214</v>
      </c>
      <c r="I1463" t="str">
        <f>_xlfn.XLOOKUP(A1463,Orders[OrderID],Orders[CustomerName])</f>
        <v>Hemant</v>
      </c>
      <c r="J1463" t="str">
        <f>_xlfn.XLOOKUP(A1463,Orders[OrderID],Orders[State])</f>
        <v xml:space="preserve">Kerala </v>
      </c>
      <c r="K1463" t="str">
        <f>_xlfn.XLOOKUP(A1463,Orders[OrderID],Orders[City])</f>
        <v>Thiruvananthapuram</v>
      </c>
      <c r="L1463" s="3">
        <f>YEAR(Clean_Data[[#This Row],[OrderDate]])</f>
        <v>2018</v>
      </c>
      <c r="M1463" s="3">
        <f>MONTH(Clean_Data[[#This Row],[OrderDate]])</f>
        <v>4</v>
      </c>
      <c r="N1463" s="8" t="str">
        <f>TEXT(Clean_Data[[#This Row],[OrderDate]],"mmm")</f>
        <v>Apr</v>
      </c>
      <c r="O1463" s="8" t="str">
        <f>TEXT(Clean_Data[[#This Row],[OrderDate]], "yyyy-mm")</f>
        <v>2018-04</v>
      </c>
      <c r="P1463" s="7">
        <f>Clean_Data[[#This Row],[Profit]]/Clean_Data[[#This Row],[Revenue ]]</f>
        <v>0.26987179487179486</v>
      </c>
      <c r="Q1463" t="str">
        <f>"Q"&amp;ROUNDUP(MONTH(Clean_Data[[#This Row],[OrderDate]])/3,0)</f>
        <v>Q2</v>
      </c>
      <c r="R1463" t="str">
        <f>TEXT(Clean_Data[[#This Row],[OrderDate]], "dddd")</f>
        <v>Tuesday</v>
      </c>
    </row>
    <row r="1464" spans="1:18" x14ac:dyDescent="0.25">
      <c r="A1464" t="s">
        <v>183</v>
      </c>
      <c r="B1464" s="4">
        <v>1137</v>
      </c>
      <c r="C1464" s="4">
        <v>568</v>
      </c>
      <c r="D1464" s="3">
        <v>2</v>
      </c>
      <c r="E1464" t="s">
        <v>895</v>
      </c>
      <c r="F1464" t="s">
        <v>896</v>
      </c>
      <c r="G1464" t="s">
        <v>890</v>
      </c>
      <c r="H1464" s="6">
        <f>_xlfn.XLOOKUP(A1464,Orders[OrderID],Orders[OrderDate])</f>
        <v>43428</v>
      </c>
      <c r="I1464" t="str">
        <f>_xlfn.XLOOKUP(A1464,Orders[OrderID],Orders[CustomerName])</f>
        <v>Dashyam</v>
      </c>
      <c r="J1464" t="str">
        <f>_xlfn.XLOOKUP(A1464,Orders[OrderID],Orders[State])</f>
        <v>Gujarat</v>
      </c>
      <c r="K1464" t="str">
        <f>_xlfn.XLOOKUP(A1464,Orders[OrderID],Orders[City])</f>
        <v>Surat</v>
      </c>
      <c r="L1464" s="3">
        <f>YEAR(Clean_Data[[#This Row],[OrderDate]])</f>
        <v>2018</v>
      </c>
      <c r="M1464" s="3">
        <f>MONTH(Clean_Data[[#This Row],[OrderDate]])</f>
        <v>11</v>
      </c>
      <c r="N1464" s="8" t="str">
        <f>TEXT(Clean_Data[[#This Row],[OrderDate]],"mmm")</f>
        <v>Nov</v>
      </c>
      <c r="O1464" s="8" t="str">
        <f>TEXT(Clean_Data[[#This Row],[OrderDate]], "yyyy-mm")</f>
        <v>2018-11</v>
      </c>
      <c r="P1464" s="7">
        <f>Clean_Data[[#This Row],[Profit]]/Clean_Data[[#This Row],[Revenue ]]</f>
        <v>0.49956024626209322</v>
      </c>
      <c r="Q1464" t="str">
        <f>"Q"&amp;ROUNDUP(MONTH(Clean_Data[[#This Row],[OrderDate]])/3,0)</f>
        <v>Q4</v>
      </c>
      <c r="R1464" t="str">
        <f>TEXT(Clean_Data[[#This Row],[OrderDate]], "dddd")</f>
        <v>Saturday</v>
      </c>
    </row>
    <row r="1465" spans="1:18" x14ac:dyDescent="0.25">
      <c r="A1465" t="s">
        <v>497</v>
      </c>
      <c r="B1465" s="4">
        <v>9</v>
      </c>
      <c r="C1465" s="4">
        <v>-9</v>
      </c>
      <c r="D1465" s="3">
        <v>2</v>
      </c>
      <c r="E1465" t="s">
        <v>895</v>
      </c>
      <c r="F1465" t="s">
        <v>900</v>
      </c>
      <c r="G1465" t="s">
        <v>887</v>
      </c>
      <c r="H1465" s="6">
        <f>_xlfn.XLOOKUP(A1465,Orders[OrderID],Orders[OrderDate])</f>
        <v>43343</v>
      </c>
      <c r="I1465" t="str">
        <f>_xlfn.XLOOKUP(A1465,Orders[OrderID],Orders[CustomerName])</f>
        <v>Ashmeet</v>
      </c>
      <c r="J1465" t="str">
        <f>_xlfn.XLOOKUP(A1465,Orders[OrderID],Orders[State])</f>
        <v>West Bengal</v>
      </c>
      <c r="K1465" t="str">
        <f>_xlfn.XLOOKUP(A1465,Orders[OrderID],Orders[City])</f>
        <v>Kolkata</v>
      </c>
      <c r="L1465" s="3">
        <f>YEAR(Clean_Data[[#This Row],[OrderDate]])</f>
        <v>2018</v>
      </c>
      <c r="M1465" s="3">
        <f>MONTH(Clean_Data[[#This Row],[OrderDate]])</f>
        <v>8</v>
      </c>
      <c r="N1465" s="8" t="str">
        <f>TEXT(Clean_Data[[#This Row],[OrderDate]],"mmm")</f>
        <v>Aug</v>
      </c>
      <c r="O1465" s="8" t="str">
        <f>TEXT(Clean_Data[[#This Row],[OrderDate]], "yyyy-mm")</f>
        <v>2018-08</v>
      </c>
      <c r="P1465" s="7">
        <f>Clean_Data[[#This Row],[Profit]]/Clean_Data[[#This Row],[Revenue ]]</f>
        <v>-1</v>
      </c>
      <c r="Q1465" t="str">
        <f>"Q"&amp;ROUNDUP(MONTH(Clean_Data[[#This Row],[OrderDate]])/3,0)</f>
        <v>Q3</v>
      </c>
      <c r="R1465" t="str">
        <f>TEXT(Clean_Data[[#This Row],[OrderDate]], "dddd")</f>
        <v>Friday</v>
      </c>
    </row>
    <row r="1466" spans="1:18" x14ac:dyDescent="0.25">
      <c r="A1466" t="s">
        <v>718</v>
      </c>
      <c r="B1466" s="4">
        <v>15</v>
      </c>
      <c r="C1466" s="4">
        <v>-7</v>
      </c>
      <c r="D1466" s="3">
        <v>1</v>
      </c>
      <c r="E1466" t="s">
        <v>895</v>
      </c>
      <c r="F1466" t="s">
        <v>899</v>
      </c>
      <c r="G1466" t="s">
        <v>898</v>
      </c>
      <c r="H1466" s="6">
        <f>_xlfn.XLOOKUP(A1466,Orders[OrderID],Orders[OrderDate])</f>
        <v>43311</v>
      </c>
      <c r="I1466" t="str">
        <f>_xlfn.XLOOKUP(A1466,Orders[OrderID],Orders[CustomerName])</f>
        <v>Arindam</v>
      </c>
      <c r="J1466" t="str">
        <f>_xlfn.XLOOKUP(A1466,Orders[OrderID],Orders[State])</f>
        <v>Uttar Pradesh</v>
      </c>
      <c r="K1466" t="str">
        <f>_xlfn.XLOOKUP(A1466,Orders[OrderID],Orders[City])</f>
        <v>Lucknow</v>
      </c>
      <c r="L1466" s="3">
        <f>YEAR(Clean_Data[[#This Row],[OrderDate]])</f>
        <v>2018</v>
      </c>
      <c r="M1466" s="3">
        <f>MONTH(Clean_Data[[#This Row],[OrderDate]])</f>
        <v>7</v>
      </c>
      <c r="N1466" s="8" t="str">
        <f>TEXT(Clean_Data[[#This Row],[OrderDate]],"mmm")</f>
        <v>Jul</v>
      </c>
      <c r="O1466" s="8" t="str">
        <f>TEXT(Clean_Data[[#This Row],[OrderDate]], "yyyy-mm")</f>
        <v>2018-07</v>
      </c>
      <c r="P1466" s="7">
        <f>Clean_Data[[#This Row],[Profit]]/Clean_Data[[#This Row],[Revenue ]]</f>
        <v>-0.46666666666666667</v>
      </c>
      <c r="Q1466" t="str">
        <f>"Q"&amp;ROUNDUP(MONTH(Clean_Data[[#This Row],[OrderDate]])/3,0)</f>
        <v>Q3</v>
      </c>
      <c r="R1466" t="str">
        <f>TEXT(Clean_Data[[#This Row],[OrderDate]], "dddd")</f>
        <v>Monday</v>
      </c>
    </row>
    <row r="1467" spans="1:18" x14ac:dyDescent="0.25">
      <c r="A1467" t="s">
        <v>313</v>
      </c>
      <c r="B1467" s="4">
        <v>14</v>
      </c>
      <c r="C1467" s="4">
        <v>5</v>
      </c>
      <c r="D1467" s="3">
        <v>1</v>
      </c>
      <c r="E1467" t="s">
        <v>895</v>
      </c>
      <c r="F1467" t="s">
        <v>899</v>
      </c>
      <c r="G1467" t="s">
        <v>898</v>
      </c>
      <c r="H1467" s="6">
        <f>_xlfn.XLOOKUP(A1467,Orders[OrderID],Orders[OrderDate])</f>
        <v>43187</v>
      </c>
      <c r="I1467" t="str">
        <f>_xlfn.XLOOKUP(A1467,Orders[OrderID],Orders[CustomerName])</f>
        <v>Vini</v>
      </c>
      <c r="J1467" t="str">
        <f>_xlfn.XLOOKUP(A1467,Orders[OrderID],Orders[State])</f>
        <v>Karnataka</v>
      </c>
      <c r="K1467" t="str">
        <f>_xlfn.XLOOKUP(A1467,Orders[OrderID],Orders[City])</f>
        <v>Bangalore</v>
      </c>
      <c r="L1467" s="3">
        <f>YEAR(Clean_Data[[#This Row],[OrderDate]])</f>
        <v>2018</v>
      </c>
      <c r="M1467" s="3">
        <f>MONTH(Clean_Data[[#This Row],[OrderDate]])</f>
        <v>3</v>
      </c>
      <c r="N1467" s="8" t="str">
        <f>TEXT(Clean_Data[[#This Row],[OrderDate]],"mmm")</f>
        <v>Mar</v>
      </c>
      <c r="O1467" s="8" t="str">
        <f>TEXT(Clean_Data[[#This Row],[OrderDate]], "yyyy-mm")</f>
        <v>2018-03</v>
      </c>
      <c r="P1467" s="7">
        <f>Clean_Data[[#This Row],[Profit]]/Clean_Data[[#This Row],[Revenue ]]</f>
        <v>0.35714285714285715</v>
      </c>
      <c r="Q1467" t="str">
        <f>"Q"&amp;ROUNDUP(MONTH(Clean_Data[[#This Row],[OrderDate]])/3,0)</f>
        <v>Q1</v>
      </c>
      <c r="R1467" t="str">
        <f>TEXT(Clean_Data[[#This Row],[OrderDate]], "dddd")</f>
        <v>Wednesday</v>
      </c>
    </row>
    <row r="1468" spans="1:18" x14ac:dyDescent="0.25">
      <c r="A1468" t="s">
        <v>351</v>
      </c>
      <c r="B1468" s="4">
        <v>14</v>
      </c>
      <c r="C1468" s="4">
        <v>7</v>
      </c>
      <c r="D1468" s="3">
        <v>2</v>
      </c>
      <c r="E1468" t="s">
        <v>895</v>
      </c>
      <c r="F1468" t="s">
        <v>899</v>
      </c>
      <c r="G1468" t="s">
        <v>898</v>
      </c>
      <c r="H1468" s="6">
        <f>_xlfn.XLOOKUP(A1468,Orders[OrderID],Orders[OrderDate])</f>
        <v>43177</v>
      </c>
      <c r="I1468" t="str">
        <f>_xlfn.XLOOKUP(A1468,Orders[OrderID],Orders[CustomerName])</f>
        <v>Shruti</v>
      </c>
      <c r="J1468" t="str">
        <f>_xlfn.XLOOKUP(A1468,Orders[OrderID],Orders[State])</f>
        <v>Karnataka</v>
      </c>
      <c r="K1468" t="str">
        <f>_xlfn.XLOOKUP(A1468,Orders[OrderID],Orders[City])</f>
        <v>Bangalore</v>
      </c>
      <c r="L1468" s="3">
        <f>YEAR(Clean_Data[[#This Row],[OrderDate]])</f>
        <v>2018</v>
      </c>
      <c r="M1468" s="3">
        <f>MONTH(Clean_Data[[#This Row],[OrderDate]])</f>
        <v>3</v>
      </c>
      <c r="N1468" s="8" t="str">
        <f>TEXT(Clean_Data[[#This Row],[OrderDate]],"mmm")</f>
        <v>Mar</v>
      </c>
      <c r="O1468" s="8" t="str">
        <f>TEXT(Clean_Data[[#This Row],[OrderDate]], "yyyy-mm")</f>
        <v>2018-03</v>
      </c>
      <c r="P1468" s="7">
        <f>Clean_Data[[#This Row],[Profit]]/Clean_Data[[#This Row],[Revenue ]]</f>
        <v>0.5</v>
      </c>
      <c r="Q1468" t="str">
        <f>"Q"&amp;ROUNDUP(MONTH(Clean_Data[[#This Row],[OrderDate]])/3,0)</f>
        <v>Q1</v>
      </c>
      <c r="R1468" t="str">
        <f>TEXT(Clean_Data[[#This Row],[OrderDate]], "dddd")</f>
        <v>Sunday</v>
      </c>
    </row>
    <row r="1469" spans="1:18" x14ac:dyDescent="0.25">
      <c r="A1469" t="s">
        <v>130</v>
      </c>
      <c r="B1469" s="4">
        <v>8</v>
      </c>
      <c r="C1469" s="4">
        <v>-2</v>
      </c>
      <c r="D1469" s="3">
        <v>2</v>
      </c>
      <c r="E1469" t="s">
        <v>895</v>
      </c>
      <c r="F1469" t="s">
        <v>899</v>
      </c>
      <c r="G1469" t="s">
        <v>887</v>
      </c>
      <c r="H1469" s="6">
        <f>_xlfn.XLOOKUP(A1469,Orders[OrderID],Orders[OrderDate])</f>
        <v>43326</v>
      </c>
      <c r="I1469" t="str">
        <f>_xlfn.XLOOKUP(A1469,Orders[OrderID],Orders[CustomerName])</f>
        <v>Vaibhav</v>
      </c>
      <c r="J1469" t="str">
        <f>_xlfn.XLOOKUP(A1469,Orders[OrderID],Orders[State])</f>
        <v>Madhya Pradesh</v>
      </c>
      <c r="K1469" t="str">
        <f>_xlfn.XLOOKUP(A1469,Orders[OrderID],Orders[City])</f>
        <v>Indore</v>
      </c>
      <c r="L1469" s="3">
        <f>YEAR(Clean_Data[[#This Row],[OrderDate]])</f>
        <v>2018</v>
      </c>
      <c r="M1469" s="3">
        <f>MONTH(Clean_Data[[#This Row],[OrderDate]])</f>
        <v>8</v>
      </c>
      <c r="N1469" s="8" t="str">
        <f>TEXT(Clean_Data[[#This Row],[OrderDate]],"mmm")</f>
        <v>Aug</v>
      </c>
      <c r="O1469" s="8" t="str">
        <f>TEXT(Clean_Data[[#This Row],[OrderDate]], "yyyy-mm")</f>
        <v>2018-08</v>
      </c>
      <c r="P1469" s="7">
        <f>Clean_Data[[#This Row],[Profit]]/Clean_Data[[#This Row],[Revenue ]]</f>
        <v>-0.25</v>
      </c>
      <c r="Q1469" t="str">
        <f>"Q"&amp;ROUNDUP(MONTH(Clean_Data[[#This Row],[OrderDate]])/3,0)</f>
        <v>Q3</v>
      </c>
      <c r="R1469" t="str">
        <f>TEXT(Clean_Data[[#This Row],[OrderDate]], "dddd")</f>
        <v>Tuesday</v>
      </c>
    </row>
    <row r="1470" spans="1:18" x14ac:dyDescent="0.25">
      <c r="A1470" t="s">
        <v>124</v>
      </c>
      <c r="B1470" s="4">
        <v>1389</v>
      </c>
      <c r="C1470" s="4">
        <v>680</v>
      </c>
      <c r="D1470" s="3">
        <v>7</v>
      </c>
      <c r="E1470" t="s">
        <v>895</v>
      </c>
      <c r="F1470" t="s">
        <v>897</v>
      </c>
      <c r="G1470" t="s">
        <v>887</v>
      </c>
      <c r="H1470" s="6">
        <f>_xlfn.XLOOKUP(A1470,Orders[OrderID],Orders[OrderDate])</f>
        <v>43231</v>
      </c>
      <c r="I1470" t="str">
        <f>_xlfn.XLOOKUP(A1470,Orders[OrderID],Orders[CustomerName])</f>
        <v>Priyanka</v>
      </c>
      <c r="J1470" t="str">
        <f>_xlfn.XLOOKUP(A1470,Orders[OrderID],Orders[State])</f>
        <v>Maharashtra</v>
      </c>
      <c r="K1470" t="str">
        <f>_xlfn.XLOOKUP(A1470,Orders[OrderID],Orders[City])</f>
        <v>Pune</v>
      </c>
      <c r="L1470" s="3">
        <f>YEAR(Clean_Data[[#This Row],[OrderDate]])</f>
        <v>2018</v>
      </c>
      <c r="M1470" s="3">
        <f>MONTH(Clean_Data[[#This Row],[OrderDate]])</f>
        <v>5</v>
      </c>
      <c r="N1470" s="8" t="str">
        <f>TEXT(Clean_Data[[#This Row],[OrderDate]],"mmm")</f>
        <v>May</v>
      </c>
      <c r="O1470" s="8" t="str">
        <f>TEXT(Clean_Data[[#This Row],[OrderDate]], "yyyy-mm")</f>
        <v>2018-05</v>
      </c>
      <c r="P1470" s="7">
        <f>Clean_Data[[#This Row],[Profit]]/Clean_Data[[#This Row],[Revenue ]]</f>
        <v>0.48956083513318932</v>
      </c>
      <c r="Q1470" t="str">
        <f>"Q"&amp;ROUNDUP(MONTH(Clean_Data[[#This Row],[OrderDate]])/3,0)</f>
        <v>Q2</v>
      </c>
      <c r="R1470" t="str">
        <f>TEXT(Clean_Data[[#This Row],[OrderDate]], "dddd")</f>
        <v>Friday</v>
      </c>
    </row>
    <row r="1471" spans="1:18" x14ac:dyDescent="0.25">
      <c r="A1471" t="s">
        <v>541</v>
      </c>
      <c r="B1471" s="4">
        <v>8</v>
      </c>
      <c r="C1471" s="4">
        <v>-1</v>
      </c>
      <c r="D1471" s="3">
        <v>2</v>
      </c>
      <c r="E1471" t="s">
        <v>895</v>
      </c>
      <c r="F1471" t="s">
        <v>904</v>
      </c>
      <c r="G1471" t="s">
        <v>887</v>
      </c>
      <c r="H1471" s="6">
        <f>_xlfn.XLOOKUP(A1471,Orders[OrderID],Orders[OrderDate])</f>
        <v>43324</v>
      </c>
      <c r="I1471" t="str">
        <f>_xlfn.XLOOKUP(A1471,Orders[OrderID],Orders[CustomerName])</f>
        <v>Nitant</v>
      </c>
      <c r="J1471" t="str">
        <f>_xlfn.XLOOKUP(A1471,Orders[OrderID],Orders[State])</f>
        <v>Rajasthan</v>
      </c>
      <c r="K1471" t="str">
        <f>_xlfn.XLOOKUP(A1471,Orders[OrderID],Orders[City])</f>
        <v>Jaipur</v>
      </c>
      <c r="L1471" s="3">
        <f>YEAR(Clean_Data[[#This Row],[OrderDate]])</f>
        <v>2018</v>
      </c>
      <c r="M1471" s="3">
        <f>MONTH(Clean_Data[[#This Row],[OrderDate]])</f>
        <v>8</v>
      </c>
      <c r="N1471" s="8" t="str">
        <f>TEXT(Clean_Data[[#This Row],[OrderDate]],"mmm")</f>
        <v>Aug</v>
      </c>
      <c r="O1471" s="8" t="str">
        <f>TEXT(Clean_Data[[#This Row],[OrderDate]], "yyyy-mm")</f>
        <v>2018-08</v>
      </c>
      <c r="P1471" s="7">
        <f>Clean_Data[[#This Row],[Profit]]/Clean_Data[[#This Row],[Revenue ]]</f>
        <v>-0.125</v>
      </c>
      <c r="Q1471" t="str">
        <f>"Q"&amp;ROUNDUP(MONTH(Clean_Data[[#This Row],[OrderDate]])/3,0)</f>
        <v>Q3</v>
      </c>
      <c r="R1471" t="str">
        <f>TEXT(Clean_Data[[#This Row],[OrderDate]], "dddd")</f>
        <v>Sunday</v>
      </c>
    </row>
    <row r="1472" spans="1:18" x14ac:dyDescent="0.25">
      <c r="A1472" t="s">
        <v>879</v>
      </c>
      <c r="B1472" s="4">
        <v>8</v>
      </c>
      <c r="C1472" s="4">
        <v>-2</v>
      </c>
      <c r="D1472" s="3">
        <v>1</v>
      </c>
      <c r="E1472" t="s">
        <v>895</v>
      </c>
      <c r="F1472" t="s">
        <v>903</v>
      </c>
      <c r="G1472" t="s">
        <v>887</v>
      </c>
      <c r="H1472" s="6">
        <f>_xlfn.XLOOKUP(A1472,Orders[OrderID],Orders[OrderDate])</f>
        <v>43334</v>
      </c>
      <c r="I1472" t="str">
        <f>_xlfn.XLOOKUP(A1472,Orders[OrderID],Orders[CustomerName])</f>
        <v>Shubham</v>
      </c>
      <c r="J1472" t="str">
        <f>_xlfn.XLOOKUP(A1472,Orders[OrderID],Orders[State])</f>
        <v>Himachal Pradesh</v>
      </c>
      <c r="K1472" t="str">
        <f>_xlfn.XLOOKUP(A1472,Orders[OrderID],Orders[City])</f>
        <v>Simla</v>
      </c>
      <c r="L1472" s="3">
        <f>YEAR(Clean_Data[[#This Row],[OrderDate]])</f>
        <v>2018</v>
      </c>
      <c r="M1472" s="3">
        <f>MONTH(Clean_Data[[#This Row],[OrderDate]])</f>
        <v>8</v>
      </c>
      <c r="N1472" s="8" t="str">
        <f>TEXT(Clean_Data[[#This Row],[OrderDate]],"mmm")</f>
        <v>Aug</v>
      </c>
      <c r="O1472" s="8" t="str">
        <f>TEXT(Clean_Data[[#This Row],[OrderDate]], "yyyy-mm")</f>
        <v>2018-08</v>
      </c>
      <c r="P1472" s="7">
        <f>Clean_Data[[#This Row],[Profit]]/Clean_Data[[#This Row],[Revenue ]]</f>
        <v>-0.25</v>
      </c>
      <c r="Q1472" t="str">
        <f>"Q"&amp;ROUNDUP(MONTH(Clean_Data[[#This Row],[OrderDate]])/3,0)</f>
        <v>Q3</v>
      </c>
      <c r="R1472" t="str">
        <f>TEXT(Clean_Data[[#This Row],[OrderDate]], "dddd")</f>
        <v>Wednesday</v>
      </c>
    </row>
    <row r="1473" spans="1:18" x14ac:dyDescent="0.25">
      <c r="A1473" t="s">
        <v>91</v>
      </c>
      <c r="B1473" s="4">
        <v>13</v>
      </c>
      <c r="C1473" s="4">
        <v>4</v>
      </c>
      <c r="D1473" s="3">
        <v>1</v>
      </c>
      <c r="E1473" t="s">
        <v>895</v>
      </c>
      <c r="F1473" t="s">
        <v>904</v>
      </c>
      <c r="G1473" t="s">
        <v>898</v>
      </c>
      <c r="H1473" s="6">
        <f>_xlfn.XLOOKUP(A1473,Orders[OrderID],Orders[OrderDate])</f>
        <v>43113</v>
      </c>
      <c r="I1473" t="str">
        <f>_xlfn.XLOOKUP(A1473,Orders[OrderID],Orders[CustomerName])</f>
        <v>Shruti</v>
      </c>
      <c r="J1473" t="str">
        <f>_xlfn.XLOOKUP(A1473,Orders[OrderID],Orders[State])</f>
        <v>Madhya Pradesh</v>
      </c>
      <c r="K1473" t="str">
        <f>_xlfn.XLOOKUP(A1473,Orders[OrderID],Orders[City])</f>
        <v>Indore</v>
      </c>
      <c r="L1473" s="3">
        <f>YEAR(Clean_Data[[#This Row],[OrderDate]])</f>
        <v>2018</v>
      </c>
      <c r="M1473" s="3">
        <f>MONTH(Clean_Data[[#This Row],[OrderDate]])</f>
        <v>1</v>
      </c>
      <c r="N1473" s="8" t="str">
        <f>TEXT(Clean_Data[[#This Row],[OrderDate]],"mmm")</f>
        <v>Jan</v>
      </c>
      <c r="O1473" s="8" t="str">
        <f>TEXT(Clean_Data[[#This Row],[OrderDate]], "yyyy-mm")</f>
        <v>2018-01</v>
      </c>
      <c r="P1473" s="7">
        <f>Clean_Data[[#This Row],[Profit]]/Clean_Data[[#This Row],[Revenue ]]</f>
        <v>0.30769230769230771</v>
      </c>
      <c r="Q1473" t="str">
        <f>"Q"&amp;ROUNDUP(MONTH(Clean_Data[[#This Row],[OrderDate]])/3,0)</f>
        <v>Q1</v>
      </c>
      <c r="R1473" t="str">
        <f>TEXT(Clean_Data[[#This Row],[OrderDate]], "dddd")</f>
        <v>Saturday</v>
      </c>
    </row>
    <row r="1474" spans="1:18" x14ac:dyDescent="0.25">
      <c r="A1474" t="s">
        <v>878</v>
      </c>
      <c r="B1474" s="4">
        <v>8</v>
      </c>
      <c r="C1474" s="4">
        <v>-6</v>
      </c>
      <c r="D1474" s="3">
        <v>1</v>
      </c>
      <c r="E1474" t="s">
        <v>895</v>
      </c>
      <c r="F1474" t="s">
        <v>903</v>
      </c>
      <c r="G1474" t="s">
        <v>887</v>
      </c>
      <c r="H1474" s="6">
        <f>_xlfn.XLOOKUP(A1474,Orders[OrderID],Orders[OrderDate])</f>
        <v>43282</v>
      </c>
      <c r="I1474" t="str">
        <f>_xlfn.XLOOKUP(A1474,Orders[OrderID],Orders[CustomerName])</f>
        <v>Shivani</v>
      </c>
      <c r="J1474" t="str">
        <f>_xlfn.XLOOKUP(A1474,Orders[OrderID],Orders[State])</f>
        <v>Maharashtra</v>
      </c>
      <c r="K1474" t="str">
        <f>_xlfn.XLOOKUP(A1474,Orders[OrderID],Orders[City])</f>
        <v>Mumbai</v>
      </c>
      <c r="L1474" s="3">
        <f>YEAR(Clean_Data[[#This Row],[OrderDate]])</f>
        <v>2018</v>
      </c>
      <c r="M1474" s="3">
        <f>MONTH(Clean_Data[[#This Row],[OrderDate]])</f>
        <v>7</v>
      </c>
      <c r="N1474" s="8" t="str">
        <f>TEXT(Clean_Data[[#This Row],[OrderDate]],"mmm")</f>
        <v>Jul</v>
      </c>
      <c r="O1474" s="8" t="str">
        <f>TEXT(Clean_Data[[#This Row],[OrderDate]], "yyyy-mm")</f>
        <v>2018-07</v>
      </c>
      <c r="P1474" s="7">
        <f>Clean_Data[[#This Row],[Profit]]/Clean_Data[[#This Row],[Revenue ]]</f>
        <v>-0.75</v>
      </c>
      <c r="Q1474" t="str">
        <f>"Q"&amp;ROUNDUP(MONTH(Clean_Data[[#This Row],[OrderDate]])/3,0)</f>
        <v>Q3</v>
      </c>
      <c r="R1474" t="str">
        <f>TEXT(Clean_Data[[#This Row],[OrderDate]], "dddd")</f>
        <v>Sunday</v>
      </c>
    </row>
    <row r="1475" spans="1:18" x14ac:dyDescent="0.25">
      <c r="A1475" t="s">
        <v>87</v>
      </c>
      <c r="B1475" s="4">
        <v>12</v>
      </c>
      <c r="C1475" s="4">
        <v>2</v>
      </c>
      <c r="D1475" s="3">
        <v>2</v>
      </c>
      <c r="E1475" t="s">
        <v>895</v>
      </c>
      <c r="F1475" t="s">
        <v>901</v>
      </c>
      <c r="G1475" t="s">
        <v>893</v>
      </c>
      <c r="H1475" s="6">
        <f>_xlfn.XLOOKUP(A1475,Orders[OrderID],Orders[OrderDate])</f>
        <v>43447</v>
      </c>
      <c r="I1475" t="str">
        <f>_xlfn.XLOOKUP(A1475,Orders[OrderID],Orders[CustomerName])</f>
        <v>Sujay</v>
      </c>
      <c r="J1475" t="str">
        <f>_xlfn.XLOOKUP(A1475,Orders[OrderID],Orders[State])</f>
        <v>Maharashtra</v>
      </c>
      <c r="K1475" t="str">
        <f>_xlfn.XLOOKUP(A1475,Orders[OrderID],Orders[City])</f>
        <v>Pune</v>
      </c>
      <c r="L1475" s="3">
        <f>YEAR(Clean_Data[[#This Row],[OrderDate]])</f>
        <v>2018</v>
      </c>
      <c r="M1475" s="3">
        <f>MONTH(Clean_Data[[#This Row],[OrderDate]])</f>
        <v>12</v>
      </c>
      <c r="N1475" s="8" t="str">
        <f>TEXT(Clean_Data[[#This Row],[OrderDate]],"mmm")</f>
        <v>Dec</v>
      </c>
      <c r="O1475" s="8" t="str">
        <f>TEXT(Clean_Data[[#This Row],[OrderDate]], "yyyy-mm")</f>
        <v>2018-12</v>
      </c>
      <c r="P1475" s="7">
        <f>Clean_Data[[#This Row],[Profit]]/Clean_Data[[#This Row],[Revenue ]]</f>
        <v>0.16666666666666666</v>
      </c>
      <c r="Q1475" t="str">
        <f>"Q"&amp;ROUNDUP(MONTH(Clean_Data[[#This Row],[OrderDate]])/3,0)</f>
        <v>Q4</v>
      </c>
      <c r="R1475" t="str">
        <f>TEXT(Clean_Data[[#This Row],[OrderDate]], "dddd")</f>
        <v>Thursday</v>
      </c>
    </row>
    <row r="1476" spans="1:18" x14ac:dyDescent="0.25">
      <c r="A1476" t="s">
        <v>23</v>
      </c>
      <c r="B1476" s="4">
        <v>1716</v>
      </c>
      <c r="C1476" s="4">
        <v>309</v>
      </c>
      <c r="D1476" s="3">
        <v>7</v>
      </c>
      <c r="E1476" t="s">
        <v>885</v>
      </c>
      <c r="F1476" t="s">
        <v>905</v>
      </c>
      <c r="G1476" t="s">
        <v>887</v>
      </c>
      <c r="H1476" s="6">
        <f>_xlfn.XLOOKUP(A1476,Orders[OrderID],Orders[OrderDate])</f>
        <v>43116</v>
      </c>
      <c r="I1476" t="str">
        <f>_xlfn.XLOOKUP(A1476,Orders[OrderID],Orders[CustomerName])</f>
        <v>Shiva</v>
      </c>
      <c r="J1476" t="str">
        <f>_xlfn.XLOOKUP(A1476,Orders[OrderID],Orders[State])</f>
        <v>Maharashtra</v>
      </c>
      <c r="K1476" t="str">
        <f>_xlfn.XLOOKUP(A1476,Orders[OrderID],Orders[City])</f>
        <v>Pune</v>
      </c>
      <c r="L1476" s="3">
        <f>YEAR(Clean_Data[[#This Row],[OrderDate]])</f>
        <v>2018</v>
      </c>
      <c r="M1476" s="3">
        <f>MONTH(Clean_Data[[#This Row],[OrderDate]])</f>
        <v>1</v>
      </c>
      <c r="N1476" s="8" t="str">
        <f>TEXT(Clean_Data[[#This Row],[OrderDate]],"mmm")</f>
        <v>Jan</v>
      </c>
      <c r="O1476" s="8" t="str">
        <f>TEXT(Clean_Data[[#This Row],[OrderDate]], "yyyy-mm")</f>
        <v>2018-01</v>
      </c>
      <c r="P1476" s="7">
        <f>Clean_Data[[#This Row],[Profit]]/Clean_Data[[#This Row],[Revenue ]]</f>
        <v>0.18006993006993008</v>
      </c>
      <c r="Q1476" t="str">
        <f>"Q"&amp;ROUNDUP(MONTH(Clean_Data[[#This Row],[OrderDate]])/3,0)</f>
        <v>Q1</v>
      </c>
      <c r="R1476" t="str">
        <f>TEXT(Clean_Data[[#This Row],[OrderDate]], "dddd")</f>
        <v>Tuesday</v>
      </c>
    </row>
    <row r="1477" spans="1:18" x14ac:dyDescent="0.25">
      <c r="A1477" t="s">
        <v>192</v>
      </c>
      <c r="B1477" s="4">
        <v>1117</v>
      </c>
      <c r="C1477" s="4">
        <v>447</v>
      </c>
      <c r="D1477" s="3">
        <v>10</v>
      </c>
      <c r="E1477" t="s">
        <v>888</v>
      </c>
      <c r="F1477" t="s">
        <v>891</v>
      </c>
      <c r="G1477" t="s">
        <v>890</v>
      </c>
      <c r="H1477" s="6">
        <f>_xlfn.XLOOKUP(A1477,Orders[OrderID],Orders[OrderDate])</f>
        <v>43150</v>
      </c>
      <c r="I1477" t="str">
        <f>_xlfn.XLOOKUP(A1477,Orders[OrderID],Orders[CustomerName])</f>
        <v>Mukesh</v>
      </c>
      <c r="J1477" t="str">
        <f>_xlfn.XLOOKUP(A1477,Orders[OrderID],Orders[State])</f>
        <v>Haryana</v>
      </c>
      <c r="K1477" t="str">
        <f>_xlfn.XLOOKUP(A1477,Orders[OrderID],Orders[City])</f>
        <v>Chandigarh</v>
      </c>
      <c r="L1477" s="3">
        <f>YEAR(Clean_Data[[#This Row],[OrderDate]])</f>
        <v>2018</v>
      </c>
      <c r="M1477" s="3">
        <f>MONTH(Clean_Data[[#This Row],[OrderDate]])</f>
        <v>2</v>
      </c>
      <c r="N1477" s="8" t="str">
        <f>TEXT(Clean_Data[[#This Row],[OrderDate]],"mmm")</f>
        <v>Feb</v>
      </c>
      <c r="O1477" s="8" t="str">
        <f>TEXT(Clean_Data[[#This Row],[OrderDate]], "yyyy-mm")</f>
        <v>2018-02</v>
      </c>
      <c r="P1477" s="7">
        <f>Clean_Data[[#This Row],[Profit]]/Clean_Data[[#This Row],[Revenue ]]</f>
        <v>0.40017905102954343</v>
      </c>
      <c r="Q1477" t="str">
        <f>"Q"&amp;ROUNDUP(MONTH(Clean_Data[[#This Row],[OrderDate]])/3,0)</f>
        <v>Q1</v>
      </c>
      <c r="R1477" t="str">
        <f>TEXT(Clean_Data[[#This Row],[OrderDate]], "dddd")</f>
        <v>Monday</v>
      </c>
    </row>
    <row r="1478" spans="1:18" x14ac:dyDescent="0.25">
      <c r="A1478" t="s">
        <v>434</v>
      </c>
      <c r="B1478" s="4">
        <v>9</v>
      </c>
      <c r="C1478" s="4">
        <v>-6</v>
      </c>
      <c r="D1478" s="3">
        <v>2</v>
      </c>
      <c r="E1478" t="s">
        <v>895</v>
      </c>
      <c r="F1478" t="s">
        <v>901</v>
      </c>
      <c r="G1478" t="s">
        <v>893</v>
      </c>
      <c r="H1478" s="6">
        <f>_xlfn.XLOOKUP(A1478,Orders[OrderID],Orders[OrderDate])</f>
        <v>43231</v>
      </c>
      <c r="I1478" t="str">
        <f>_xlfn.XLOOKUP(A1478,Orders[OrderID],Orders[CustomerName])</f>
        <v>Nida</v>
      </c>
      <c r="J1478" t="str">
        <f>_xlfn.XLOOKUP(A1478,Orders[OrderID],Orders[State])</f>
        <v>Madhya Pradesh</v>
      </c>
      <c r="K1478" t="str">
        <f>_xlfn.XLOOKUP(A1478,Orders[OrderID],Orders[City])</f>
        <v>Indore</v>
      </c>
      <c r="L1478" s="3">
        <f>YEAR(Clean_Data[[#This Row],[OrderDate]])</f>
        <v>2018</v>
      </c>
      <c r="M1478" s="3">
        <f>MONTH(Clean_Data[[#This Row],[OrderDate]])</f>
        <v>5</v>
      </c>
      <c r="N1478" s="8" t="str">
        <f>TEXT(Clean_Data[[#This Row],[OrderDate]],"mmm")</f>
        <v>May</v>
      </c>
      <c r="O1478" s="8" t="str">
        <f>TEXT(Clean_Data[[#This Row],[OrderDate]], "yyyy-mm")</f>
        <v>2018-05</v>
      </c>
      <c r="P1478" s="7">
        <f>Clean_Data[[#This Row],[Profit]]/Clean_Data[[#This Row],[Revenue ]]</f>
        <v>-0.66666666666666663</v>
      </c>
      <c r="Q1478" t="str">
        <f>"Q"&amp;ROUNDUP(MONTH(Clean_Data[[#This Row],[OrderDate]])/3,0)</f>
        <v>Q2</v>
      </c>
      <c r="R1478" t="str">
        <f>TEXT(Clean_Data[[#This Row],[OrderDate]], "dddd")</f>
        <v>Friday</v>
      </c>
    </row>
    <row r="1479" spans="1:18" x14ac:dyDescent="0.25">
      <c r="A1479" t="s">
        <v>62</v>
      </c>
      <c r="B1479" s="4">
        <v>332</v>
      </c>
      <c r="C1479" s="4">
        <v>503</v>
      </c>
      <c r="D1479" s="3">
        <v>3</v>
      </c>
      <c r="E1479" t="s">
        <v>885</v>
      </c>
      <c r="F1479" t="s">
        <v>892</v>
      </c>
      <c r="G1479" t="s">
        <v>887</v>
      </c>
      <c r="H1479" s="6">
        <f>_xlfn.XLOOKUP(A1479,Orders[OrderID],Orders[OrderDate])</f>
        <v>43262</v>
      </c>
      <c r="I1479" t="str">
        <f>_xlfn.XLOOKUP(A1479,Orders[OrderID],Orders[CustomerName])</f>
        <v>Pooja</v>
      </c>
      <c r="J1479" t="str">
        <f>_xlfn.XLOOKUP(A1479,Orders[OrderID],Orders[State])</f>
        <v>Himachal Pradesh</v>
      </c>
      <c r="K1479" t="str">
        <f>_xlfn.XLOOKUP(A1479,Orders[OrderID],Orders[City])</f>
        <v>Simla</v>
      </c>
      <c r="L1479" s="3">
        <f>YEAR(Clean_Data[[#This Row],[OrderDate]])</f>
        <v>2018</v>
      </c>
      <c r="M1479" s="3">
        <f>MONTH(Clean_Data[[#This Row],[OrderDate]])</f>
        <v>6</v>
      </c>
      <c r="N1479" s="8" t="str">
        <f>TEXT(Clean_Data[[#This Row],[OrderDate]],"mmm")</f>
        <v>Jun</v>
      </c>
      <c r="O1479" s="8" t="str">
        <f>TEXT(Clean_Data[[#This Row],[OrderDate]], "yyyy-mm")</f>
        <v>2018-06</v>
      </c>
      <c r="P1479" s="7">
        <f>Clean_Data[[#This Row],[Profit]]/Clean_Data[[#This Row],[Revenue ]]</f>
        <v>1.5150602409638554</v>
      </c>
      <c r="Q1479" t="str">
        <f>"Q"&amp;ROUNDUP(MONTH(Clean_Data[[#This Row],[OrderDate]])/3,0)</f>
        <v>Q2</v>
      </c>
      <c r="R1479" t="str">
        <f>TEXT(Clean_Data[[#This Row],[OrderDate]], "dddd")</f>
        <v>Monday</v>
      </c>
    </row>
    <row r="1480" spans="1:18" x14ac:dyDescent="0.25">
      <c r="A1480" t="s">
        <v>434</v>
      </c>
      <c r="B1480" s="4">
        <v>7</v>
      </c>
      <c r="C1480" s="4">
        <v>-4</v>
      </c>
      <c r="D1480" s="3">
        <v>3</v>
      </c>
      <c r="E1480" t="s">
        <v>895</v>
      </c>
      <c r="F1480" t="s">
        <v>899</v>
      </c>
      <c r="G1480" t="s">
        <v>887</v>
      </c>
      <c r="H1480" s="6">
        <f>_xlfn.XLOOKUP(A1480,Orders[OrderID],Orders[OrderDate])</f>
        <v>43231</v>
      </c>
      <c r="I1480" t="str">
        <f>_xlfn.XLOOKUP(A1480,Orders[OrderID],Orders[CustomerName])</f>
        <v>Nida</v>
      </c>
      <c r="J1480" t="str">
        <f>_xlfn.XLOOKUP(A1480,Orders[OrderID],Orders[State])</f>
        <v>Madhya Pradesh</v>
      </c>
      <c r="K1480" t="str">
        <f>_xlfn.XLOOKUP(A1480,Orders[OrderID],Orders[City])</f>
        <v>Indore</v>
      </c>
      <c r="L1480" s="3">
        <f>YEAR(Clean_Data[[#This Row],[OrderDate]])</f>
        <v>2018</v>
      </c>
      <c r="M1480" s="3">
        <f>MONTH(Clean_Data[[#This Row],[OrderDate]])</f>
        <v>5</v>
      </c>
      <c r="N1480" s="8" t="str">
        <f>TEXT(Clean_Data[[#This Row],[OrderDate]],"mmm")</f>
        <v>May</v>
      </c>
      <c r="O1480" s="8" t="str">
        <f>TEXT(Clean_Data[[#This Row],[OrderDate]], "yyyy-mm")</f>
        <v>2018-05</v>
      </c>
      <c r="P1480" s="7">
        <f>Clean_Data[[#This Row],[Profit]]/Clean_Data[[#This Row],[Revenue ]]</f>
        <v>-0.5714285714285714</v>
      </c>
      <c r="Q1480" t="str">
        <f>"Q"&amp;ROUNDUP(MONTH(Clean_Data[[#This Row],[OrderDate]])/3,0)</f>
        <v>Q2</v>
      </c>
      <c r="R1480" t="str">
        <f>TEXT(Clean_Data[[#This Row],[OrderDate]], "dddd")</f>
        <v>Friday</v>
      </c>
    </row>
    <row r="1481" spans="1:18" x14ac:dyDescent="0.25">
      <c r="A1481" t="s">
        <v>158</v>
      </c>
      <c r="B1481" s="4">
        <v>8</v>
      </c>
      <c r="C1481" s="4">
        <v>-2</v>
      </c>
      <c r="D1481" s="3">
        <v>3</v>
      </c>
      <c r="E1481" t="s">
        <v>895</v>
      </c>
      <c r="F1481" t="s">
        <v>899</v>
      </c>
      <c r="G1481" t="s">
        <v>893</v>
      </c>
      <c r="H1481" s="6">
        <f>_xlfn.XLOOKUP(A1481,Orders[OrderID],Orders[OrderDate])</f>
        <v>43191</v>
      </c>
      <c r="I1481" t="str">
        <f>_xlfn.XLOOKUP(A1481,Orders[OrderID],Orders[CustomerName])</f>
        <v>Bharat</v>
      </c>
      <c r="J1481" t="str">
        <f>_xlfn.XLOOKUP(A1481,Orders[OrderID],Orders[State])</f>
        <v>Gujarat</v>
      </c>
      <c r="K1481" t="str">
        <f>_xlfn.XLOOKUP(A1481,Orders[OrderID],Orders[City])</f>
        <v>Ahmedabad</v>
      </c>
      <c r="L1481" s="3">
        <f>YEAR(Clean_Data[[#This Row],[OrderDate]])</f>
        <v>2018</v>
      </c>
      <c r="M1481" s="3">
        <f>MONTH(Clean_Data[[#This Row],[OrderDate]])</f>
        <v>4</v>
      </c>
      <c r="N1481" s="8" t="str">
        <f>TEXT(Clean_Data[[#This Row],[OrderDate]],"mmm")</f>
        <v>Apr</v>
      </c>
      <c r="O1481" s="8" t="str">
        <f>TEXT(Clean_Data[[#This Row],[OrderDate]], "yyyy-mm")</f>
        <v>2018-04</v>
      </c>
      <c r="P1481" s="7">
        <f>Clean_Data[[#This Row],[Profit]]/Clean_Data[[#This Row],[Revenue ]]</f>
        <v>-0.25</v>
      </c>
      <c r="Q1481" t="str">
        <f>"Q"&amp;ROUNDUP(MONTH(Clean_Data[[#This Row],[OrderDate]])/3,0)</f>
        <v>Q2</v>
      </c>
      <c r="R1481" t="str">
        <f>TEXT(Clean_Data[[#This Row],[OrderDate]], "dddd")</f>
        <v>Sunday</v>
      </c>
    </row>
    <row r="1482" spans="1:18" x14ac:dyDescent="0.25">
      <c r="A1482" t="s">
        <v>53</v>
      </c>
      <c r="B1482" s="4">
        <v>2061</v>
      </c>
      <c r="C1482" s="4">
        <v>701</v>
      </c>
      <c r="D1482" s="3">
        <v>5</v>
      </c>
      <c r="E1482" t="s">
        <v>888</v>
      </c>
      <c r="F1482" t="s">
        <v>891</v>
      </c>
      <c r="G1482" t="s">
        <v>898</v>
      </c>
      <c r="H1482" s="6">
        <f>_xlfn.XLOOKUP(A1482,Orders[OrderID],Orders[OrderDate])</f>
        <v>43419</v>
      </c>
      <c r="I1482" t="str">
        <f>_xlfn.XLOOKUP(A1482,Orders[OrderID],Orders[CustomerName])</f>
        <v>Amol</v>
      </c>
      <c r="J1482" t="str">
        <f>_xlfn.XLOOKUP(A1482,Orders[OrderID],Orders[State])</f>
        <v>Bihar</v>
      </c>
      <c r="K1482" t="str">
        <f>_xlfn.XLOOKUP(A1482,Orders[OrderID],Orders[City])</f>
        <v>Patna</v>
      </c>
      <c r="L1482" s="3">
        <f>YEAR(Clean_Data[[#This Row],[OrderDate]])</f>
        <v>2018</v>
      </c>
      <c r="M1482" s="3">
        <f>MONTH(Clean_Data[[#This Row],[OrderDate]])</f>
        <v>11</v>
      </c>
      <c r="N1482" s="8" t="str">
        <f>TEXT(Clean_Data[[#This Row],[OrderDate]],"mmm")</f>
        <v>Nov</v>
      </c>
      <c r="O1482" s="8" t="str">
        <f>TEXT(Clean_Data[[#This Row],[OrderDate]], "yyyy-mm")</f>
        <v>2018-11</v>
      </c>
      <c r="P1482" s="7">
        <f>Clean_Data[[#This Row],[Profit]]/Clean_Data[[#This Row],[Revenue ]]</f>
        <v>0.34012615235322657</v>
      </c>
      <c r="Q1482" t="str">
        <f>"Q"&amp;ROUNDUP(MONTH(Clean_Data[[#This Row],[OrderDate]])/3,0)</f>
        <v>Q4</v>
      </c>
      <c r="R1482" t="str">
        <f>TEXT(Clean_Data[[#This Row],[OrderDate]], "dddd")</f>
        <v>Thursday</v>
      </c>
    </row>
    <row r="1483" spans="1:18" x14ac:dyDescent="0.25">
      <c r="A1483" t="s">
        <v>194</v>
      </c>
      <c r="B1483" s="4">
        <v>1103</v>
      </c>
      <c r="C1483" s="4">
        <v>276</v>
      </c>
      <c r="D1483" s="3">
        <v>3</v>
      </c>
      <c r="E1483" t="s">
        <v>888</v>
      </c>
      <c r="F1483" t="s">
        <v>889</v>
      </c>
      <c r="G1483" t="s">
        <v>890</v>
      </c>
      <c r="H1483" s="6">
        <f>_xlfn.XLOOKUP(A1483,Orders[OrderID],Orders[OrderDate])</f>
        <v>43213</v>
      </c>
      <c r="I1483" t="str">
        <f>_xlfn.XLOOKUP(A1483,Orders[OrderID],Orders[CustomerName])</f>
        <v>Bhishm</v>
      </c>
      <c r="J1483" t="str">
        <f>_xlfn.XLOOKUP(A1483,Orders[OrderID],Orders[State])</f>
        <v>Maharashtra</v>
      </c>
      <c r="K1483" t="str">
        <f>_xlfn.XLOOKUP(A1483,Orders[OrderID],Orders[City])</f>
        <v>Mumbai</v>
      </c>
      <c r="L1483" s="3">
        <f>YEAR(Clean_Data[[#This Row],[OrderDate]])</f>
        <v>2018</v>
      </c>
      <c r="M1483" s="3">
        <f>MONTH(Clean_Data[[#This Row],[OrderDate]])</f>
        <v>4</v>
      </c>
      <c r="N1483" s="8" t="str">
        <f>TEXT(Clean_Data[[#This Row],[OrderDate]],"mmm")</f>
        <v>Apr</v>
      </c>
      <c r="O1483" s="8" t="str">
        <f>TEXT(Clean_Data[[#This Row],[OrderDate]], "yyyy-mm")</f>
        <v>2018-04</v>
      </c>
      <c r="P1483" s="7">
        <f>Clean_Data[[#This Row],[Profit]]/Clean_Data[[#This Row],[Revenue ]]</f>
        <v>0.25022665457842247</v>
      </c>
      <c r="Q1483" t="str">
        <f>"Q"&amp;ROUNDUP(MONTH(Clean_Data[[#This Row],[OrderDate]])/3,0)</f>
        <v>Q2</v>
      </c>
      <c r="R1483" t="str">
        <f>TEXT(Clean_Data[[#This Row],[OrderDate]], "dddd")</f>
        <v>Monday</v>
      </c>
    </row>
    <row r="1484" spans="1:18" x14ac:dyDescent="0.25">
      <c r="A1484" t="s">
        <v>48</v>
      </c>
      <c r="B1484" s="4">
        <v>2103</v>
      </c>
      <c r="C1484" s="4">
        <v>322</v>
      </c>
      <c r="D1484" s="3">
        <v>8</v>
      </c>
      <c r="E1484" t="s">
        <v>885</v>
      </c>
      <c r="F1484" t="s">
        <v>886</v>
      </c>
      <c r="G1484" t="s">
        <v>898</v>
      </c>
      <c r="H1484" s="6">
        <f>_xlfn.XLOOKUP(A1484,Orders[OrderID],Orders[OrderDate])</f>
        <v>43391</v>
      </c>
      <c r="I1484" t="str">
        <f>_xlfn.XLOOKUP(A1484,Orders[OrderID],Orders[CustomerName])</f>
        <v>Rohan</v>
      </c>
      <c r="J1484" t="str">
        <f>_xlfn.XLOOKUP(A1484,Orders[OrderID],Orders[State])</f>
        <v>Maharashtra</v>
      </c>
      <c r="K1484" t="str">
        <f>_xlfn.XLOOKUP(A1484,Orders[OrderID],Orders[City])</f>
        <v>Mumbai</v>
      </c>
      <c r="L1484" s="3">
        <f>YEAR(Clean_Data[[#This Row],[OrderDate]])</f>
        <v>2018</v>
      </c>
      <c r="M1484" s="3">
        <f>MONTH(Clean_Data[[#This Row],[OrderDate]])</f>
        <v>10</v>
      </c>
      <c r="N1484" s="8" t="str">
        <f>TEXT(Clean_Data[[#This Row],[OrderDate]],"mmm")</f>
        <v>Oct</v>
      </c>
      <c r="O1484" s="8" t="str">
        <f>TEXT(Clean_Data[[#This Row],[OrderDate]], "yyyy-mm")</f>
        <v>2018-10</v>
      </c>
      <c r="P1484" s="7">
        <f>Clean_Data[[#This Row],[Profit]]/Clean_Data[[#This Row],[Revenue ]]</f>
        <v>0.15311459819305753</v>
      </c>
      <c r="Q1484" t="str">
        <f>"Q"&amp;ROUNDUP(MONTH(Clean_Data[[#This Row],[OrderDate]])/3,0)</f>
        <v>Q4</v>
      </c>
      <c r="R1484" t="str">
        <f>TEXT(Clean_Data[[#This Row],[OrderDate]], "dddd")</f>
        <v>Thursday</v>
      </c>
    </row>
    <row r="1485" spans="1:18" x14ac:dyDescent="0.25">
      <c r="A1485" t="s">
        <v>44</v>
      </c>
      <c r="B1485" s="4">
        <v>2115</v>
      </c>
      <c r="C1485" s="4">
        <v>23</v>
      </c>
      <c r="D1485" s="3">
        <v>5</v>
      </c>
      <c r="E1485" t="s">
        <v>888</v>
      </c>
      <c r="F1485" t="s">
        <v>889</v>
      </c>
      <c r="G1485" t="s">
        <v>887</v>
      </c>
      <c r="H1485" s="6">
        <f>_xlfn.XLOOKUP(A1485,Orders[OrderID],Orders[OrderDate])</f>
        <v>43429</v>
      </c>
      <c r="I1485" t="str">
        <f>_xlfn.XLOOKUP(A1485,Orders[OrderID],Orders[CustomerName])</f>
        <v>Lalita</v>
      </c>
      <c r="J1485" t="str">
        <f>_xlfn.XLOOKUP(A1485,Orders[OrderID],Orders[State])</f>
        <v>Uttar Pradesh</v>
      </c>
      <c r="K1485" t="str">
        <f>_xlfn.XLOOKUP(A1485,Orders[OrderID],Orders[City])</f>
        <v>Mathura</v>
      </c>
      <c r="L1485" s="3">
        <f>YEAR(Clean_Data[[#This Row],[OrderDate]])</f>
        <v>2018</v>
      </c>
      <c r="M1485" s="3">
        <f>MONTH(Clean_Data[[#This Row],[OrderDate]])</f>
        <v>11</v>
      </c>
      <c r="N1485" s="8" t="str">
        <f>TEXT(Clean_Data[[#This Row],[OrderDate]],"mmm")</f>
        <v>Nov</v>
      </c>
      <c r="O1485" s="8" t="str">
        <f>TEXT(Clean_Data[[#This Row],[OrderDate]], "yyyy-mm")</f>
        <v>2018-11</v>
      </c>
      <c r="P1485" s="7">
        <f>Clean_Data[[#This Row],[Profit]]/Clean_Data[[#This Row],[Revenue ]]</f>
        <v>1.0874704491725768E-2</v>
      </c>
      <c r="Q1485" t="str">
        <f>"Q"&amp;ROUNDUP(MONTH(Clean_Data[[#This Row],[OrderDate]])/3,0)</f>
        <v>Q4</v>
      </c>
      <c r="R1485" t="str">
        <f>TEXT(Clean_Data[[#This Row],[OrderDate]], "dddd")</f>
        <v>Sunday</v>
      </c>
    </row>
    <row r="1486" spans="1:18" x14ac:dyDescent="0.25">
      <c r="A1486" t="s">
        <v>89</v>
      </c>
      <c r="B1486" s="4">
        <v>850</v>
      </c>
      <c r="C1486" s="4">
        <v>-289</v>
      </c>
      <c r="D1486" s="3">
        <v>5</v>
      </c>
      <c r="E1486" t="s">
        <v>885</v>
      </c>
      <c r="F1486" t="s">
        <v>886</v>
      </c>
      <c r="G1486" t="s">
        <v>887</v>
      </c>
      <c r="H1486" s="6">
        <f>_xlfn.XLOOKUP(A1486,Orders[OrderID],Orders[OrderDate])</f>
        <v>43448</v>
      </c>
      <c r="I1486" t="str">
        <f>_xlfn.XLOOKUP(A1486,Orders[OrderID],Orders[CustomerName])</f>
        <v>Jay</v>
      </c>
      <c r="J1486" t="str">
        <f>_xlfn.XLOOKUP(A1486,Orders[OrderID],Orders[State])</f>
        <v>Delhi</v>
      </c>
      <c r="K1486" t="str">
        <f>_xlfn.XLOOKUP(A1486,Orders[OrderID],Orders[City])</f>
        <v>Delhi</v>
      </c>
      <c r="L1486" s="3">
        <f>YEAR(Clean_Data[[#This Row],[OrderDate]])</f>
        <v>2018</v>
      </c>
      <c r="M1486" s="3">
        <f>MONTH(Clean_Data[[#This Row],[OrderDate]])</f>
        <v>12</v>
      </c>
      <c r="N1486" s="8" t="str">
        <f>TEXT(Clean_Data[[#This Row],[OrderDate]],"mmm")</f>
        <v>Dec</v>
      </c>
      <c r="O1486" s="8" t="str">
        <f>TEXT(Clean_Data[[#This Row],[OrderDate]], "yyyy-mm")</f>
        <v>2018-12</v>
      </c>
      <c r="P1486" s="7">
        <f>Clean_Data[[#This Row],[Profit]]/Clean_Data[[#This Row],[Revenue ]]</f>
        <v>-0.34</v>
      </c>
      <c r="Q1486" t="str">
        <f>"Q"&amp;ROUNDUP(MONTH(Clean_Data[[#This Row],[OrderDate]])/3,0)</f>
        <v>Q4</v>
      </c>
      <c r="R1486" t="str">
        <f>TEXT(Clean_Data[[#This Row],[OrderDate]], "dddd")</f>
        <v>Friday</v>
      </c>
    </row>
    <row r="1487" spans="1:18" x14ac:dyDescent="0.25">
      <c r="A1487" t="s">
        <v>57</v>
      </c>
      <c r="B1487" s="4">
        <v>1063</v>
      </c>
      <c r="C1487" s="4">
        <v>64</v>
      </c>
      <c r="D1487" s="3">
        <v>7</v>
      </c>
      <c r="E1487" t="s">
        <v>885</v>
      </c>
      <c r="F1487" t="s">
        <v>894</v>
      </c>
      <c r="G1487" t="s">
        <v>890</v>
      </c>
      <c r="H1487" s="6">
        <f>_xlfn.XLOOKUP(A1487,Orders[OrderID],Orders[OrderDate])</f>
        <v>43399</v>
      </c>
      <c r="I1487" t="str">
        <f>_xlfn.XLOOKUP(A1487,Orders[OrderID],Orders[CustomerName])</f>
        <v>Aastha</v>
      </c>
      <c r="J1487" t="str">
        <f>_xlfn.XLOOKUP(A1487,Orders[OrderID],Orders[State])</f>
        <v>Himachal Pradesh</v>
      </c>
      <c r="K1487" t="str">
        <f>_xlfn.XLOOKUP(A1487,Orders[OrderID],Orders[City])</f>
        <v>Simla</v>
      </c>
      <c r="L1487" s="3">
        <f>YEAR(Clean_Data[[#This Row],[OrderDate]])</f>
        <v>2018</v>
      </c>
      <c r="M1487" s="3">
        <f>MONTH(Clean_Data[[#This Row],[OrderDate]])</f>
        <v>10</v>
      </c>
      <c r="N1487" s="8" t="str">
        <f>TEXT(Clean_Data[[#This Row],[OrderDate]],"mmm")</f>
        <v>Oct</v>
      </c>
      <c r="O1487" s="8" t="str">
        <f>TEXT(Clean_Data[[#This Row],[OrderDate]], "yyyy-mm")</f>
        <v>2018-10</v>
      </c>
      <c r="P1487" s="7">
        <f>Clean_Data[[#This Row],[Profit]]/Clean_Data[[#This Row],[Revenue ]]</f>
        <v>6.0206961429915336E-2</v>
      </c>
      <c r="Q1487" t="str">
        <f>"Q"&amp;ROUNDUP(MONTH(Clean_Data[[#This Row],[OrderDate]])/3,0)</f>
        <v>Q4</v>
      </c>
      <c r="R1487" t="str">
        <f>TEXT(Clean_Data[[#This Row],[OrderDate]], "dddd")</f>
        <v>Friday</v>
      </c>
    </row>
    <row r="1488" spans="1:18" x14ac:dyDescent="0.25">
      <c r="A1488" t="s">
        <v>202</v>
      </c>
      <c r="B1488" s="4">
        <v>1063</v>
      </c>
      <c r="C1488" s="4">
        <v>-175</v>
      </c>
      <c r="D1488" s="3">
        <v>4</v>
      </c>
      <c r="E1488" t="s">
        <v>885</v>
      </c>
      <c r="F1488" t="s">
        <v>886</v>
      </c>
      <c r="G1488" t="s">
        <v>890</v>
      </c>
      <c r="H1488" s="6">
        <f>_xlfn.XLOOKUP(A1488,Orders[OrderID],Orders[OrderDate])</f>
        <v>43127</v>
      </c>
      <c r="I1488" t="str">
        <f>_xlfn.XLOOKUP(A1488,Orders[OrderID],Orders[CustomerName])</f>
        <v>Parin</v>
      </c>
      <c r="J1488" t="str">
        <f>_xlfn.XLOOKUP(A1488,Orders[OrderID],Orders[State])</f>
        <v>Maharashtra</v>
      </c>
      <c r="K1488" t="str">
        <f>_xlfn.XLOOKUP(A1488,Orders[OrderID],Orders[City])</f>
        <v>Mumbai</v>
      </c>
      <c r="L1488" s="3">
        <f>YEAR(Clean_Data[[#This Row],[OrderDate]])</f>
        <v>2018</v>
      </c>
      <c r="M1488" s="3">
        <f>MONTH(Clean_Data[[#This Row],[OrderDate]])</f>
        <v>1</v>
      </c>
      <c r="N1488" s="8" t="str">
        <f>TEXT(Clean_Data[[#This Row],[OrderDate]],"mmm")</f>
        <v>Jan</v>
      </c>
      <c r="O1488" s="8" t="str">
        <f>TEXT(Clean_Data[[#This Row],[OrderDate]], "yyyy-mm")</f>
        <v>2018-01</v>
      </c>
      <c r="P1488" s="7">
        <f>Clean_Data[[#This Row],[Profit]]/Clean_Data[[#This Row],[Revenue ]]</f>
        <v>-0.16462841015992474</v>
      </c>
      <c r="Q1488" t="str">
        <f>"Q"&amp;ROUNDUP(MONTH(Clean_Data[[#This Row],[OrderDate]])/3,0)</f>
        <v>Q1</v>
      </c>
      <c r="R1488" t="str">
        <f>TEXT(Clean_Data[[#This Row],[OrderDate]], "dddd")</f>
        <v>Saturday</v>
      </c>
    </row>
    <row r="1489" spans="1:18" x14ac:dyDescent="0.25">
      <c r="A1489" t="s">
        <v>42</v>
      </c>
      <c r="B1489" s="4">
        <v>2292</v>
      </c>
      <c r="C1489" s="4">
        <v>127</v>
      </c>
      <c r="D1489" s="3">
        <v>7</v>
      </c>
      <c r="E1489" t="s">
        <v>888</v>
      </c>
      <c r="F1489" t="s">
        <v>891</v>
      </c>
      <c r="G1489" t="s">
        <v>887</v>
      </c>
      <c r="H1489" s="6">
        <f>_xlfn.XLOOKUP(A1489,Orders[OrderID],Orders[OrderDate])</f>
        <v>43135</v>
      </c>
      <c r="I1489" t="str">
        <f>_xlfn.XLOOKUP(A1489,Orders[OrderID],Orders[CustomerName])</f>
        <v>Yogesh</v>
      </c>
      <c r="J1489" t="str">
        <f>_xlfn.XLOOKUP(A1489,Orders[OrderID],Orders[State])</f>
        <v>Maharashtra</v>
      </c>
      <c r="K1489" t="str">
        <f>_xlfn.XLOOKUP(A1489,Orders[OrderID],Orders[City])</f>
        <v>Pune</v>
      </c>
      <c r="L1489" s="3">
        <f>YEAR(Clean_Data[[#This Row],[OrderDate]])</f>
        <v>2018</v>
      </c>
      <c r="M1489" s="3">
        <f>MONTH(Clean_Data[[#This Row],[OrderDate]])</f>
        <v>2</v>
      </c>
      <c r="N1489" s="8" t="str">
        <f>TEXT(Clean_Data[[#This Row],[OrderDate]],"mmm")</f>
        <v>Feb</v>
      </c>
      <c r="O1489" s="8" t="str">
        <f>TEXT(Clean_Data[[#This Row],[OrderDate]], "yyyy-mm")</f>
        <v>2018-02</v>
      </c>
      <c r="P1489" s="7">
        <f>Clean_Data[[#This Row],[Profit]]/Clean_Data[[#This Row],[Revenue ]]</f>
        <v>5.5410122164048864E-2</v>
      </c>
      <c r="Q1489" t="str">
        <f>"Q"&amp;ROUNDUP(MONTH(Clean_Data[[#This Row],[OrderDate]])/3,0)</f>
        <v>Q1</v>
      </c>
      <c r="R1489" t="str">
        <f>TEXT(Clean_Data[[#This Row],[OrderDate]], "dddd")</f>
        <v>Sunday</v>
      </c>
    </row>
    <row r="1490" spans="1:18" x14ac:dyDescent="0.25">
      <c r="A1490" t="s">
        <v>539</v>
      </c>
      <c r="B1490" s="4">
        <v>7</v>
      </c>
      <c r="C1490" s="4">
        <v>-1</v>
      </c>
      <c r="D1490" s="3">
        <v>2</v>
      </c>
      <c r="E1490" t="s">
        <v>895</v>
      </c>
      <c r="F1490" t="s">
        <v>899</v>
      </c>
      <c r="G1490" t="s">
        <v>893</v>
      </c>
      <c r="H1490" s="6">
        <f>_xlfn.XLOOKUP(A1490,Orders[OrderID],Orders[OrderDate])</f>
        <v>43237</v>
      </c>
      <c r="I1490" t="str">
        <f>_xlfn.XLOOKUP(A1490,Orders[OrderID],Orders[CustomerName])</f>
        <v>Subhashree</v>
      </c>
      <c r="J1490" t="str">
        <f>_xlfn.XLOOKUP(A1490,Orders[OrderID],Orders[State])</f>
        <v>Jammu and Kashmir</v>
      </c>
      <c r="K1490" t="str">
        <f>_xlfn.XLOOKUP(A1490,Orders[OrderID],Orders[City])</f>
        <v>Kashmir</v>
      </c>
      <c r="L1490" s="3">
        <f>YEAR(Clean_Data[[#This Row],[OrderDate]])</f>
        <v>2018</v>
      </c>
      <c r="M1490" s="3">
        <f>MONTH(Clean_Data[[#This Row],[OrderDate]])</f>
        <v>5</v>
      </c>
      <c r="N1490" s="8" t="str">
        <f>TEXT(Clean_Data[[#This Row],[OrderDate]],"mmm")</f>
        <v>May</v>
      </c>
      <c r="O1490" s="8" t="str">
        <f>TEXT(Clean_Data[[#This Row],[OrderDate]], "yyyy-mm")</f>
        <v>2018-05</v>
      </c>
      <c r="P1490" s="7">
        <f>Clean_Data[[#This Row],[Profit]]/Clean_Data[[#This Row],[Revenue ]]</f>
        <v>-0.14285714285714285</v>
      </c>
      <c r="Q1490" t="str">
        <f>"Q"&amp;ROUNDUP(MONTH(Clean_Data[[#This Row],[OrderDate]])/3,0)</f>
        <v>Q2</v>
      </c>
      <c r="R1490" t="str">
        <f>TEXT(Clean_Data[[#This Row],[OrderDate]], "dddd")</f>
        <v>Thursday</v>
      </c>
    </row>
    <row r="1491" spans="1:18" x14ac:dyDescent="0.25">
      <c r="A1491" t="s">
        <v>36</v>
      </c>
      <c r="B1491" s="4">
        <v>2452</v>
      </c>
      <c r="C1491" s="4">
        <v>191</v>
      </c>
      <c r="D1491" s="3">
        <v>7</v>
      </c>
      <c r="E1491" t="s">
        <v>888</v>
      </c>
      <c r="F1491" t="s">
        <v>891</v>
      </c>
      <c r="G1491" t="s">
        <v>898</v>
      </c>
      <c r="H1491" s="6">
        <f>_xlfn.XLOOKUP(A1491,Orders[OrderID],Orders[OrderDate])</f>
        <v>43121</v>
      </c>
      <c r="I1491" t="str">
        <f>_xlfn.XLOOKUP(A1491,Orders[OrderID],Orders[CustomerName])</f>
        <v>Shreyshi</v>
      </c>
      <c r="J1491" t="str">
        <f>_xlfn.XLOOKUP(A1491,Orders[OrderID],Orders[State])</f>
        <v>Gujarat</v>
      </c>
      <c r="K1491" t="str">
        <f>_xlfn.XLOOKUP(A1491,Orders[OrderID],Orders[City])</f>
        <v>Surat</v>
      </c>
      <c r="L1491" s="3">
        <f>YEAR(Clean_Data[[#This Row],[OrderDate]])</f>
        <v>2018</v>
      </c>
      <c r="M1491" s="3">
        <f>MONTH(Clean_Data[[#This Row],[OrderDate]])</f>
        <v>1</v>
      </c>
      <c r="N1491" s="8" t="str">
        <f>TEXT(Clean_Data[[#This Row],[OrderDate]],"mmm")</f>
        <v>Jan</v>
      </c>
      <c r="O1491" s="8" t="str">
        <f>TEXT(Clean_Data[[#This Row],[OrderDate]], "yyyy-mm")</f>
        <v>2018-01</v>
      </c>
      <c r="P1491" s="7">
        <f>Clean_Data[[#This Row],[Profit]]/Clean_Data[[#This Row],[Revenue ]]</f>
        <v>7.7895595432300166E-2</v>
      </c>
      <c r="Q1491" t="str">
        <f>"Q"&amp;ROUNDUP(MONTH(Clean_Data[[#This Row],[OrderDate]])/3,0)</f>
        <v>Q1</v>
      </c>
      <c r="R1491" t="str">
        <f>TEXT(Clean_Data[[#This Row],[OrderDate]], "dddd")</f>
        <v>Sunday</v>
      </c>
    </row>
    <row r="1492" spans="1:18" x14ac:dyDescent="0.25">
      <c r="A1492" t="s">
        <v>34</v>
      </c>
      <c r="B1492" s="4">
        <v>2457</v>
      </c>
      <c r="C1492" s="4">
        <v>665</v>
      </c>
      <c r="D1492" s="3">
        <v>11</v>
      </c>
      <c r="E1492" t="s">
        <v>885</v>
      </c>
      <c r="F1492" t="s">
        <v>886</v>
      </c>
      <c r="G1492" t="s">
        <v>890</v>
      </c>
      <c r="H1492" s="6">
        <f>_xlfn.XLOOKUP(A1492,Orders[OrderID],Orders[OrderDate])</f>
        <v>43417</v>
      </c>
      <c r="I1492" t="str">
        <f>_xlfn.XLOOKUP(A1492,Orders[OrderID],Orders[CustomerName])</f>
        <v>Uudhav</v>
      </c>
      <c r="J1492" t="str">
        <f>_xlfn.XLOOKUP(A1492,Orders[OrderID],Orders[State])</f>
        <v>Maharashtra</v>
      </c>
      <c r="K1492" t="str">
        <f>_xlfn.XLOOKUP(A1492,Orders[OrderID],Orders[City])</f>
        <v>Mumbai</v>
      </c>
      <c r="L1492" s="3">
        <f>YEAR(Clean_Data[[#This Row],[OrderDate]])</f>
        <v>2018</v>
      </c>
      <c r="M1492" s="3">
        <f>MONTH(Clean_Data[[#This Row],[OrderDate]])</f>
        <v>11</v>
      </c>
      <c r="N1492" s="8" t="str">
        <f>TEXT(Clean_Data[[#This Row],[OrderDate]],"mmm")</f>
        <v>Nov</v>
      </c>
      <c r="O1492" s="8" t="str">
        <f>TEXT(Clean_Data[[#This Row],[OrderDate]], "yyyy-mm")</f>
        <v>2018-11</v>
      </c>
      <c r="P1492" s="7">
        <f>Clean_Data[[#This Row],[Profit]]/Clean_Data[[#This Row],[Revenue ]]</f>
        <v>0.27065527065527067</v>
      </c>
      <c r="Q1492" t="str">
        <f>"Q"&amp;ROUNDUP(MONTH(Clean_Data[[#This Row],[OrderDate]])/3,0)</f>
        <v>Q4</v>
      </c>
      <c r="R1492" t="str">
        <f>TEXT(Clean_Data[[#This Row],[OrderDate]], "dddd")</f>
        <v>Tuesday</v>
      </c>
    </row>
    <row r="1493" spans="1:18" x14ac:dyDescent="0.25">
      <c r="A1493" t="s">
        <v>152</v>
      </c>
      <c r="B1493" s="4">
        <v>4</v>
      </c>
      <c r="C1493" s="4">
        <v>-3</v>
      </c>
      <c r="D1493" s="3">
        <v>1</v>
      </c>
      <c r="E1493" t="s">
        <v>895</v>
      </c>
      <c r="F1493" t="s">
        <v>901</v>
      </c>
      <c r="G1493" t="s">
        <v>893</v>
      </c>
      <c r="H1493" s="6">
        <f>_xlfn.XLOOKUP(A1493,Orders[OrderID],Orders[OrderDate])</f>
        <v>43273</v>
      </c>
      <c r="I1493" t="str">
        <f>_xlfn.XLOOKUP(A1493,Orders[OrderID],Orders[CustomerName])</f>
        <v>Vijay</v>
      </c>
      <c r="J1493" t="str">
        <f>_xlfn.XLOOKUP(A1493,Orders[OrderID],Orders[State])</f>
        <v>Jammu and Kashmir</v>
      </c>
      <c r="K1493" t="str">
        <f>_xlfn.XLOOKUP(A1493,Orders[OrderID],Orders[City])</f>
        <v>Kashmir</v>
      </c>
      <c r="L1493" s="3">
        <f>YEAR(Clean_Data[[#This Row],[OrderDate]])</f>
        <v>2018</v>
      </c>
      <c r="M1493" s="3">
        <f>MONTH(Clean_Data[[#This Row],[OrderDate]])</f>
        <v>6</v>
      </c>
      <c r="N1493" s="8" t="str">
        <f>TEXT(Clean_Data[[#This Row],[OrderDate]],"mmm")</f>
        <v>Jun</v>
      </c>
      <c r="O1493" s="8" t="str">
        <f>TEXT(Clean_Data[[#This Row],[OrderDate]], "yyyy-mm")</f>
        <v>2018-06</v>
      </c>
      <c r="P1493" s="7">
        <f>Clean_Data[[#This Row],[Profit]]/Clean_Data[[#This Row],[Revenue ]]</f>
        <v>-0.75</v>
      </c>
      <c r="Q1493" t="str">
        <f>"Q"&amp;ROUNDUP(MONTH(Clean_Data[[#This Row],[OrderDate]])/3,0)</f>
        <v>Q2</v>
      </c>
      <c r="R1493" t="str">
        <f>TEXT(Clean_Data[[#This Row],[OrderDate]], "dddd")</f>
        <v>Friday</v>
      </c>
    </row>
    <row r="1494" spans="1:18" x14ac:dyDescent="0.25">
      <c r="A1494" t="s">
        <v>28</v>
      </c>
      <c r="B1494" s="4">
        <v>2830</v>
      </c>
      <c r="C1494" s="4">
        <v>-1981</v>
      </c>
      <c r="D1494" s="3">
        <v>13</v>
      </c>
      <c r="E1494" t="s">
        <v>888</v>
      </c>
      <c r="F1494" t="s">
        <v>891</v>
      </c>
      <c r="G1494" t="s">
        <v>890</v>
      </c>
      <c r="H1494" s="6">
        <f>_xlfn.XLOOKUP(A1494,Orders[OrderID],Orders[OrderDate])</f>
        <v>43374</v>
      </c>
      <c r="I1494" t="str">
        <f>_xlfn.XLOOKUP(A1494,Orders[OrderID],Orders[CustomerName])</f>
        <v>Shishu</v>
      </c>
      <c r="J1494" t="str">
        <f>_xlfn.XLOOKUP(A1494,Orders[OrderID],Orders[State])</f>
        <v>Andhra Pradesh</v>
      </c>
      <c r="K1494" t="str">
        <f>_xlfn.XLOOKUP(A1494,Orders[OrderID],Orders[City])</f>
        <v>Hyderabad</v>
      </c>
      <c r="L1494" s="3">
        <f>YEAR(Clean_Data[[#This Row],[OrderDate]])</f>
        <v>2018</v>
      </c>
      <c r="M1494" s="3">
        <f>MONTH(Clean_Data[[#This Row],[OrderDate]])</f>
        <v>10</v>
      </c>
      <c r="N1494" s="8" t="str">
        <f>TEXT(Clean_Data[[#This Row],[OrderDate]],"mmm")</f>
        <v>Oct</v>
      </c>
      <c r="O1494" s="8" t="str">
        <f>TEXT(Clean_Data[[#This Row],[OrderDate]], "yyyy-mm")</f>
        <v>2018-10</v>
      </c>
      <c r="P1494" s="7">
        <f>Clean_Data[[#This Row],[Profit]]/Clean_Data[[#This Row],[Revenue ]]</f>
        <v>-0.7</v>
      </c>
      <c r="Q1494" t="str">
        <f>"Q"&amp;ROUNDUP(MONTH(Clean_Data[[#This Row],[OrderDate]])/3,0)</f>
        <v>Q4</v>
      </c>
      <c r="R1494" t="str">
        <f>TEXT(Clean_Data[[#This Row],[OrderDate]], "dddd")</f>
        <v>Monday</v>
      </c>
    </row>
    <row r="1495" spans="1:18" x14ac:dyDescent="0.25">
      <c r="A1495" t="s">
        <v>160</v>
      </c>
      <c r="B1495" s="4">
        <v>7</v>
      </c>
      <c r="C1495" s="4">
        <v>1</v>
      </c>
      <c r="D1495" s="3">
        <v>1</v>
      </c>
      <c r="E1495" t="s">
        <v>895</v>
      </c>
      <c r="F1495" t="s">
        <v>899</v>
      </c>
      <c r="G1495" t="s">
        <v>887</v>
      </c>
      <c r="H1495" s="6">
        <f>_xlfn.XLOOKUP(A1495,Orders[OrderID],Orders[OrderDate])</f>
        <v>43427</v>
      </c>
      <c r="I1495" t="str">
        <f>_xlfn.XLOOKUP(A1495,Orders[OrderID],Orders[CustomerName])</f>
        <v>Divyeta</v>
      </c>
      <c r="J1495" t="str">
        <f>_xlfn.XLOOKUP(A1495,Orders[OrderID],Orders[State])</f>
        <v>Madhya Pradesh</v>
      </c>
      <c r="K1495" t="str">
        <f>_xlfn.XLOOKUP(A1495,Orders[OrderID],Orders[City])</f>
        <v>Indore</v>
      </c>
      <c r="L1495" s="3">
        <f>YEAR(Clean_Data[[#This Row],[OrderDate]])</f>
        <v>2018</v>
      </c>
      <c r="M1495" s="3">
        <f>MONTH(Clean_Data[[#This Row],[OrderDate]])</f>
        <v>11</v>
      </c>
      <c r="N1495" s="8" t="str">
        <f>TEXT(Clean_Data[[#This Row],[OrderDate]],"mmm")</f>
        <v>Nov</v>
      </c>
      <c r="O1495" s="8" t="str">
        <f>TEXT(Clean_Data[[#This Row],[OrderDate]], "yyyy-mm")</f>
        <v>2018-11</v>
      </c>
      <c r="P1495" s="7">
        <f>Clean_Data[[#This Row],[Profit]]/Clean_Data[[#This Row],[Revenue ]]</f>
        <v>0.14285714285714285</v>
      </c>
      <c r="Q1495" t="str">
        <f>"Q"&amp;ROUNDUP(MONTH(Clean_Data[[#This Row],[OrderDate]])/3,0)</f>
        <v>Q4</v>
      </c>
      <c r="R1495" t="str">
        <f>TEXT(Clean_Data[[#This Row],[OrderDate]], "dddd")</f>
        <v>Friday</v>
      </c>
    </row>
    <row r="1496" spans="1:18" x14ac:dyDescent="0.25">
      <c r="A1496" t="s">
        <v>775</v>
      </c>
      <c r="B1496" s="4">
        <v>7</v>
      </c>
      <c r="C1496" s="4">
        <v>0</v>
      </c>
      <c r="D1496" s="3">
        <v>2</v>
      </c>
      <c r="E1496" t="s">
        <v>895</v>
      </c>
      <c r="F1496" t="s">
        <v>901</v>
      </c>
      <c r="G1496" t="s">
        <v>887</v>
      </c>
      <c r="H1496" s="6">
        <f>_xlfn.XLOOKUP(A1496,Orders[OrderID],Orders[OrderDate])</f>
        <v>43315</v>
      </c>
      <c r="I1496" t="str">
        <f>_xlfn.XLOOKUP(A1496,Orders[OrderID],Orders[CustomerName])</f>
        <v>Rane</v>
      </c>
      <c r="J1496" t="str">
        <f>_xlfn.XLOOKUP(A1496,Orders[OrderID],Orders[State])</f>
        <v>Maharashtra</v>
      </c>
      <c r="K1496" t="str">
        <f>_xlfn.XLOOKUP(A1496,Orders[OrderID],Orders[City])</f>
        <v>Mumbai</v>
      </c>
      <c r="L1496" s="3">
        <f>YEAR(Clean_Data[[#This Row],[OrderDate]])</f>
        <v>2018</v>
      </c>
      <c r="M1496" s="3">
        <f>MONTH(Clean_Data[[#This Row],[OrderDate]])</f>
        <v>8</v>
      </c>
      <c r="N1496" s="8" t="str">
        <f>TEXT(Clean_Data[[#This Row],[OrderDate]],"mmm")</f>
        <v>Aug</v>
      </c>
      <c r="O1496" s="8" t="str">
        <f>TEXT(Clean_Data[[#This Row],[OrderDate]], "yyyy-mm")</f>
        <v>2018-08</v>
      </c>
      <c r="P1496" s="7">
        <f>Clean_Data[[#This Row],[Profit]]/Clean_Data[[#This Row],[Revenue ]]</f>
        <v>0</v>
      </c>
      <c r="Q1496" t="str">
        <f>"Q"&amp;ROUNDUP(MONTH(Clean_Data[[#This Row],[OrderDate]])/3,0)</f>
        <v>Q3</v>
      </c>
      <c r="R1496" t="str">
        <f>TEXT(Clean_Data[[#This Row],[OrderDate]], "dddd")</f>
        <v>Friday</v>
      </c>
    </row>
    <row r="1497" spans="1:18" x14ac:dyDescent="0.25">
      <c r="A1497" t="s">
        <v>661</v>
      </c>
      <c r="B1497" s="4">
        <v>7</v>
      </c>
      <c r="C1497" s="4">
        <v>-3</v>
      </c>
      <c r="D1497" s="3">
        <v>2</v>
      </c>
      <c r="E1497" t="s">
        <v>895</v>
      </c>
      <c r="F1497" t="s">
        <v>899</v>
      </c>
      <c r="G1497" t="s">
        <v>887</v>
      </c>
      <c r="H1497" s="6">
        <f>_xlfn.XLOOKUP(A1497,Orders[OrderID],Orders[OrderDate])</f>
        <v>43276</v>
      </c>
      <c r="I1497" t="str">
        <f>_xlfn.XLOOKUP(A1497,Orders[OrderID],Orders[CustomerName])</f>
        <v>Shubhi</v>
      </c>
      <c r="J1497" t="str">
        <f>_xlfn.XLOOKUP(A1497,Orders[OrderID],Orders[State])</f>
        <v>Maharashtra</v>
      </c>
      <c r="K1497" t="str">
        <f>_xlfn.XLOOKUP(A1497,Orders[OrderID],Orders[City])</f>
        <v>Mumbai</v>
      </c>
      <c r="L1497" s="3">
        <f>YEAR(Clean_Data[[#This Row],[OrderDate]])</f>
        <v>2018</v>
      </c>
      <c r="M1497" s="3">
        <f>MONTH(Clean_Data[[#This Row],[OrderDate]])</f>
        <v>6</v>
      </c>
      <c r="N1497" s="8" t="str">
        <f>TEXT(Clean_Data[[#This Row],[OrderDate]],"mmm")</f>
        <v>Jun</v>
      </c>
      <c r="O1497" s="8" t="str">
        <f>TEXT(Clean_Data[[#This Row],[OrderDate]], "yyyy-mm")</f>
        <v>2018-06</v>
      </c>
      <c r="P1497" s="7">
        <f>Clean_Data[[#This Row],[Profit]]/Clean_Data[[#This Row],[Revenue ]]</f>
        <v>-0.42857142857142855</v>
      </c>
      <c r="Q1497" t="str">
        <f>"Q"&amp;ROUNDUP(MONTH(Clean_Data[[#This Row],[OrderDate]])/3,0)</f>
        <v>Q2</v>
      </c>
      <c r="R1497" t="str">
        <f>TEXT(Clean_Data[[#This Row],[OrderDate]], "dddd")</f>
        <v>Monday</v>
      </c>
    </row>
    <row r="1498" spans="1:18" x14ac:dyDescent="0.25">
      <c r="A1498" t="s">
        <v>16</v>
      </c>
      <c r="B1498" s="4">
        <v>3151</v>
      </c>
      <c r="C1498" s="4">
        <v>-35</v>
      </c>
      <c r="D1498" s="3">
        <v>7</v>
      </c>
      <c r="E1498" t="s">
        <v>895</v>
      </c>
      <c r="F1498" t="s">
        <v>896</v>
      </c>
      <c r="G1498" t="s">
        <v>890</v>
      </c>
      <c r="H1498" s="6">
        <f>_xlfn.XLOOKUP(A1498,Orders[OrderID],Orders[OrderDate])</f>
        <v>43333</v>
      </c>
      <c r="I1498" t="str">
        <f>_xlfn.XLOOKUP(A1498,Orders[OrderID],Orders[CustomerName])</f>
        <v>Vishakha</v>
      </c>
      <c r="J1498" t="str">
        <f>_xlfn.XLOOKUP(A1498,Orders[OrderID],Orders[State])</f>
        <v>Madhya Pradesh</v>
      </c>
      <c r="K1498" t="str">
        <f>_xlfn.XLOOKUP(A1498,Orders[OrderID],Orders[City])</f>
        <v>Indore</v>
      </c>
      <c r="L1498" s="3">
        <f>YEAR(Clean_Data[[#This Row],[OrderDate]])</f>
        <v>2018</v>
      </c>
      <c r="M1498" s="3">
        <f>MONTH(Clean_Data[[#This Row],[OrderDate]])</f>
        <v>8</v>
      </c>
      <c r="N1498" s="8" t="str">
        <f>TEXT(Clean_Data[[#This Row],[OrderDate]],"mmm")</f>
        <v>Aug</v>
      </c>
      <c r="O1498" s="8" t="str">
        <f>TEXT(Clean_Data[[#This Row],[OrderDate]], "yyyy-mm")</f>
        <v>2018-08</v>
      </c>
      <c r="P1498" s="7">
        <f>Clean_Data[[#This Row],[Profit]]/Clean_Data[[#This Row],[Revenue ]]</f>
        <v>-1.1107584893684545E-2</v>
      </c>
      <c r="Q1498" t="str">
        <f>"Q"&amp;ROUNDUP(MONTH(Clean_Data[[#This Row],[OrderDate]])/3,0)</f>
        <v>Q3</v>
      </c>
      <c r="R1498" t="str">
        <f>TEXT(Clean_Data[[#This Row],[OrderDate]], "dddd")</f>
        <v>Tuesday</v>
      </c>
    </row>
    <row r="1499" spans="1:18" x14ac:dyDescent="0.25">
      <c r="A1499" t="s">
        <v>10</v>
      </c>
      <c r="B1499" s="4">
        <v>4141</v>
      </c>
      <c r="C1499" s="4">
        <v>1698</v>
      </c>
      <c r="D1499" s="3">
        <v>13</v>
      </c>
      <c r="E1499" t="s">
        <v>885</v>
      </c>
      <c r="F1499" t="s">
        <v>892</v>
      </c>
      <c r="G1499" t="s">
        <v>887</v>
      </c>
      <c r="H1499" s="6">
        <f>_xlfn.XLOOKUP(A1499,Orders[OrderID],Orders[OrderDate])</f>
        <v>43124</v>
      </c>
      <c r="I1499" t="str">
        <f>_xlfn.XLOOKUP(A1499,Orders[OrderID],Orders[CustomerName])</f>
        <v>Madan Mohan</v>
      </c>
      <c r="J1499" t="str">
        <f>_xlfn.XLOOKUP(A1499,Orders[OrderID],Orders[State])</f>
        <v>Uttar Pradesh</v>
      </c>
      <c r="K1499" t="str">
        <f>_xlfn.XLOOKUP(A1499,Orders[OrderID],Orders[City])</f>
        <v>Mathura</v>
      </c>
      <c r="L1499" s="3">
        <f>YEAR(Clean_Data[[#This Row],[OrderDate]])</f>
        <v>2018</v>
      </c>
      <c r="M1499" s="3">
        <f>MONTH(Clean_Data[[#This Row],[OrderDate]])</f>
        <v>1</v>
      </c>
      <c r="N1499" s="8" t="str">
        <f>TEXT(Clean_Data[[#This Row],[OrderDate]],"mmm")</f>
        <v>Jan</v>
      </c>
      <c r="O1499" s="8" t="str">
        <f>TEXT(Clean_Data[[#This Row],[OrderDate]], "yyyy-mm")</f>
        <v>2018-01</v>
      </c>
      <c r="P1499" s="7">
        <f>Clean_Data[[#This Row],[Profit]]/Clean_Data[[#This Row],[Revenue ]]</f>
        <v>0.41004588263704417</v>
      </c>
      <c r="Q1499" t="str">
        <f>"Q"&amp;ROUNDUP(MONTH(Clean_Data[[#This Row],[OrderDate]])/3,0)</f>
        <v>Q1</v>
      </c>
      <c r="R1499" t="str">
        <f>TEXT(Clean_Data[[#This Row],[OrderDate]], "dddd")</f>
        <v>Wednesday</v>
      </c>
    </row>
    <row r="1500" spans="1:18" x14ac:dyDescent="0.25">
      <c r="A1500" t="s">
        <v>379</v>
      </c>
      <c r="B1500" s="4">
        <v>7</v>
      </c>
      <c r="C1500" s="4">
        <v>-2</v>
      </c>
      <c r="D1500" s="3">
        <v>1</v>
      </c>
      <c r="E1500" t="s">
        <v>895</v>
      </c>
      <c r="F1500" t="s">
        <v>899</v>
      </c>
      <c r="G1500" t="s">
        <v>887</v>
      </c>
      <c r="H1500" s="6">
        <f>_xlfn.XLOOKUP(A1500,Orders[OrderID],Orders[OrderDate])</f>
        <v>43274</v>
      </c>
      <c r="I1500" t="str">
        <f>_xlfn.XLOOKUP(A1500,Orders[OrderID],Orders[CustomerName])</f>
        <v>Amisha</v>
      </c>
      <c r="J1500" t="str">
        <f>_xlfn.XLOOKUP(A1500,Orders[OrderID],Orders[State])</f>
        <v>Tamil Nadu</v>
      </c>
      <c r="K1500" t="str">
        <f>_xlfn.XLOOKUP(A1500,Orders[OrderID],Orders[City])</f>
        <v>Chennai</v>
      </c>
      <c r="L1500" s="3">
        <f>YEAR(Clean_Data[[#This Row],[OrderDate]])</f>
        <v>2018</v>
      </c>
      <c r="M1500" s="3">
        <f>MONTH(Clean_Data[[#This Row],[OrderDate]])</f>
        <v>6</v>
      </c>
      <c r="N1500" s="8" t="str">
        <f>TEXT(Clean_Data[[#This Row],[OrderDate]],"mmm")</f>
        <v>Jun</v>
      </c>
      <c r="O1500" s="8" t="str">
        <f>TEXT(Clean_Data[[#This Row],[OrderDate]], "yyyy-mm")</f>
        <v>2018-06</v>
      </c>
      <c r="P1500" s="7">
        <f>Clean_Data[[#This Row],[Profit]]/Clean_Data[[#This Row],[Revenue ]]</f>
        <v>-0.2857142857142857</v>
      </c>
      <c r="Q1500" t="str">
        <f>"Q"&amp;ROUNDUP(MONTH(Clean_Data[[#This Row],[OrderDate]])/3,0)</f>
        <v>Q2</v>
      </c>
      <c r="R1500" t="str">
        <f>TEXT(Clean_Data[[#This Row],[OrderDate]], "dddd")</f>
        <v>Saturday</v>
      </c>
    </row>
    <row r="1501" spans="1:18" x14ac:dyDescent="0.25">
      <c r="A1501" t="s">
        <v>7</v>
      </c>
      <c r="B1501" s="4">
        <v>4363</v>
      </c>
      <c r="C1501" s="4">
        <v>305</v>
      </c>
      <c r="D1501" s="3">
        <v>5</v>
      </c>
      <c r="E1501" t="s">
        <v>888</v>
      </c>
      <c r="F1501" t="s">
        <v>902</v>
      </c>
      <c r="G1501" t="s">
        <v>890</v>
      </c>
      <c r="H1501" s="6">
        <f>_xlfn.XLOOKUP(A1501,Orders[OrderID],Orders[OrderDate])</f>
        <v>43134</v>
      </c>
      <c r="I1501" t="str">
        <f>_xlfn.XLOOKUP(A1501,Orders[OrderID],Orders[CustomerName])</f>
        <v>Madhav</v>
      </c>
      <c r="J1501" t="str">
        <f>_xlfn.XLOOKUP(A1501,Orders[OrderID],Orders[State])</f>
        <v>Delhi</v>
      </c>
      <c r="K1501" t="str">
        <f>_xlfn.XLOOKUP(A1501,Orders[OrderID],Orders[City])</f>
        <v>Delhi</v>
      </c>
      <c r="L1501" s="3">
        <f>YEAR(Clean_Data[[#This Row],[OrderDate]])</f>
        <v>2018</v>
      </c>
      <c r="M1501" s="3">
        <f>MONTH(Clean_Data[[#This Row],[OrderDate]])</f>
        <v>2</v>
      </c>
      <c r="N1501" s="8" t="str">
        <f>TEXT(Clean_Data[[#This Row],[OrderDate]],"mmm")</f>
        <v>Feb</v>
      </c>
      <c r="O1501" s="8" t="str">
        <f>TEXT(Clean_Data[[#This Row],[OrderDate]], "yyyy-mm")</f>
        <v>2018-02</v>
      </c>
      <c r="P1501" s="7">
        <f>Clean_Data[[#This Row],[Profit]]/Clean_Data[[#This Row],[Revenue ]]</f>
        <v>6.9906027962411188E-2</v>
      </c>
      <c r="Q1501" t="str">
        <f>"Q"&amp;ROUNDUP(MONTH(Clean_Data[[#This Row],[OrderDate]])/3,0)</f>
        <v>Q1</v>
      </c>
      <c r="R1501" t="str">
        <f>TEXT(Clean_Data[[#This Row],[OrderDate]], "dddd")</f>
        <v>Saturday</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07C81-7B2F-4715-9A51-3830339D6B6F}">
  <dimension ref="A1:D13"/>
  <sheetViews>
    <sheetView workbookViewId="0">
      <selection activeCell="B14" sqref="B14"/>
    </sheetView>
  </sheetViews>
  <sheetFormatPr defaultRowHeight="15" x14ac:dyDescent="0.25"/>
  <cols>
    <col min="1" max="1" width="49.85546875" customWidth="1"/>
    <col min="2" max="2" width="50.42578125" customWidth="1"/>
  </cols>
  <sheetData>
    <row r="1" spans="1:4" s="21" customFormat="1" ht="28.5" x14ac:dyDescent="0.45">
      <c r="A1" s="14" t="s">
        <v>921</v>
      </c>
      <c r="B1" s="14" t="s">
        <v>922</v>
      </c>
    </row>
    <row r="2" spans="1:4" s="9" customFormat="1" ht="21" x14ac:dyDescent="0.35">
      <c r="A2" s="15" t="s">
        <v>928</v>
      </c>
      <c r="B2" s="23">
        <f>SUM(Clean_Data[[Revenue ]])</f>
        <v>437771</v>
      </c>
    </row>
    <row r="3" spans="1:4" s="9" customFormat="1" ht="21" x14ac:dyDescent="0.35">
      <c r="A3" s="15" t="s">
        <v>923</v>
      </c>
      <c r="B3" s="23">
        <f>SUM(Clean_Data[Profit])</f>
        <v>36963</v>
      </c>
    </row>
    <row r="4" spans="1:4" s="12" customFormat="1" ht="21" x14ac:dyDescent="0.35">
      <c r="A4" s="16" t="s">
        <v>924</v>
      </c>
      <c r="B4" s="24">
        <f>COUNTA(_xlfn.UNIQUE(Clean_Data[OrderID]))</f>
        <v>500</v>
      </c>
    </row>
    <row r="5" spans="1:4" ht="21" x14ac:dyDescent="0.35">
      <c r="A5" s="17" t="s">
        <v>925</v>
      </c>
      <c r="B5" s="25">
        <f>COUNTA(_xlfn.UNIQUE(Clean_Data[CustomerName]))</f>
        <v>336</v>
      </c>
    </row>
    <row r="6" spans="1:4" s="22" customFormat="1" ht="21" x14ac:dyDescent="0.35">
      <c r="A6" s="19" t="s">
        <v>926</v>
      </c>
      <c r="B6" s="26">
        <f>SUM(Clean_Data[[Revenue ]])/COUNTA(_xlfn.UNIQUE(Clean_Data[OrderID]))</f>
        <v>875.54200000000003</v>
      </c>
    </row>
    <row r="7" spans="1:4" s="10" customFormat="1" ht="21" x14ac:dyDescent="0.35">
      <c r="A7" s="18" t="s">
        <v>927</v>
      </c>
      <c r="B7" s="27">
        <f>SUM(Clean_Data[Profit])/SUM(Clean_Data[[Revenue ]])</f>
        <v>8.4434555966475616E-2</v>
      </c>
    </row>
    <row r="8" spans="1:4" s="13" customFormat="1" ht="21" x14ac:dyDescent="0.35">
      <c r="A8" s="19" t="s">
        <v>929</v>
      </c>
      <c r="B8" s="28">
        <f>SUM(Clean_Data[Profit])/COUNTA(_xlfn.UNIQUE(Clean_Data[OrderID]))</f>
        <v>73.926000000000002</v>
      </c>
    </row>
    <row r="9" spans="1:4" s="11" customFormat="1" ht="21" x14ac:dyDescent="0.35">
      <c r="A9" s="20" t="s">
        <v>930</v>
      </c>
      <c r="B9" s="29">
        <f>SUM(Clean_Data[Quantity])/COUNTA(_xlfn.UNIQUE(Clean_Data[OrderID]))</f>
        <v>11.23</v>
      </c>
      <c r="D9" s="2"/>
    </row>
    <row r="13" spans="1:4" x14ac:dyDescent="0.25">
      <c r="D13" s="3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5C82E-0369-4B1F-A24C-E9C817D1CD62}">
  <dimension ref="A1:L20"/>
  <sheetViews>
    <sheetView workbookViewId="0">
      <selection activeCell="B10" sqref="B10"/>
    </sheetView>
  </sheetViews>
  <sheetFormatPr defaultRowHeight="15" x14ac:dyDescent="0.25"/>
  <cols>
    <col min="1" max="1" width="13.7109375" bestFit="1" customWidth="1"/>
    <col min="2" max="2" width="16.85546875" bestFit="1" customWidth="1"/>
    <col min="5" max="5" width="18.140625" bestFit="1" customWidth="1"/>
    <col min="6" max="6" width="21.42578125" bestFit="1" customWidth="1"/>
    <col min="8" max="8" width="19.42578125" bestFit="1" customWidth="1"/>
    <col min="9" max="9" width="16.85546875" bestFit="1" customWidth="1"/>
    <col min="11" max="11" width="16.42578125" bestFit="1" customWidth="1"/>
    <col min="12" max="12" width="15.28515625" bestFit="1" customWidth="1"/>
  </cols>
  <sheetData>
    <row r="1" spans="1:12" x14ac:dyDescent="0.25">
      <c r="A1" s="30" t="s">
        <v>943</v>
      </c>
      <c r="B1" t="s">
        <v>948</v>
      </c>
      <c r="E1" s="30" t="s">
        <v>883</v>
      </c>
      <c r="F1" t="s">
        <v>947</v>
      </c>
      <c r="H1" s="30" t="s">
        <v>1</v>
      </c>
      <c r="I1" t="s">
        <v>946</v>
      </c>
    </row>
    <row r="2" spans="1:12" x14ac:dyDescent="0.25">
      <c r="A2" s="31" t="s">
        <v>931</v>
      </c>
      <c r="B2" s="4">
        <v>61632</v>
      </c>
      <c r="E2" s="31" t="s">
        <v>895</v>
      </c>
      <c r="F2" s="4">
        <v>13325</v>
      </c>
      <c r="H2" s="31" t="s">
        <v>14</v>
      </c>
      <c r="I2" s="4">
        <v>102498</v>
      </c>
    </row>
    <row r="3" spans="1:12" x14ac:dyDescent="0.25">
      <c r="A3" s="31" t="s">
        <v>932</v>
      </c>
      <c r="B3" s="4">
        <v>38962</v>
      </c>
      <c r="E3" s="31" t="s">
        <v>885</v>
      </c>
      <c r="F3" s="4">
        <v>13162</v>
      </c>
      <c r="H3" s="31" t="s">
        <v>18</v>
      </c>
      <c r="I3" s="4">
        <v>87463</v>
      </c>
    </row>
    <row r="4" spans="1:12" x14ac:dyDescent="0.25">
      <c r="A4" s="31" t="s">
        <v>933</v>
      </c>
      <c r="B4" s="4">
        <v>60694</v>
      </c>
      <c r="E4" s="31" t="s">
        <v>888</v>
      </c>
      <c r="F4" s="4">
        <v>10476</v>
      </c>
      <c r="H4" s="31" t="s">
        <v>5</v>
      </c>
      <c r="I4" s="4">
        <v>38362</v>
      </c>
    </row>
    <row r="5" spans="1:12" x14ac:dyDescent="0.25">
      <c r="A5" s="31" t="s">
        <v>934</v>
      </c>
      <c r="B5" s="4">
        <v>34330</v>
      </c>
      <c r="H5" s="31" t="s">
        <v>9</v>
      </c>
      <c r="I5" s="4">
        <v>22957</v>
      </c>
    </row>
    <row r="6" spans="1:12" x14ac:dyDescent="0.25">
      <c r="A6" s="31" t="s">
        <v>935</v>
      </c>
      <c r="B6" s="4">
        <v>29093</v>
      </c>
      <c r="H6" s="31" t="s">
        <v>98</v>
      </c>
      <c r="I6" s="4">
        <v>22334</v>
      </c>
    </row>
    <row r="7" spans="1:12" x14ac:dyDescent="0.25">
      <c r="A7" s="31" t="s">
        <v>936</v>
      </c>
      <c r="B7" s="4">
        <v>23658</v>
      </c>
      <c r="H7" s="31" t="s">
        <v>38</v>
      </c>
      <c r="I7" s="4">
        <v>21371</v>
      </c>
    </row>
    <row r="8" spans="1:12" x14ac:dyDescent="0.25">
      <c r="A8" s="31" t="s">
        <v>937</v>
      </c>
      <c r="B8" s="4">
        <v>12966</v>
      </c>
      <c r="E8" s="30" t="s">
        <v>949</v>
      </c>
      <c r="F8" t="s">
        <v>950</v>
      </c>
      <c r="H8" s="31" t="s">
        <v>66</v>
      </c>
      <c r="I8" s="4">
        <v>16786</v>
      </c>
      <c r="K8" s="30" t="s">
        <v>944</v>
      </c>
      <c r="L8" t="s">
        <v>945</v>
      </c>
    </row>
    <row r="9" spans="1:12" x14ac:dyDescent="0.25">
      <c r="A9" s="31" t="s">
        <v>938</v>
      </c>
      <c r="B9" s="4">
        <v>31492</v>
      </c>
      <c r="E9" s="31" t="s">
        <v>4</v>
      </c>
      <c r="F9" s="4">
        <v>9902</v>
      </c>
      <c r="H9" s="31" t="s">
        <v>138</v>
      </c>
      <c r="I9" s="4">
        <v>14328</v>
      </c>
      <c r="K9" s="31" t="s">
        <v>892</v>
      </c>
      <c r="L9" s="4">
        <v>59252</v>
      </c>
    </row>
    <row r="10" spans="1:12" x14ac:dyDescent="0.25">
      <c r="A10" s="31" t="s">
        <v>939</v>
      </c>
      <c r="B10" s="4">
        <v>27283</v>
      </c>
      <c r="E10" s="31" t="s">
        <v>8</v>
      </c>
      <c r="F10" s="4">
        <v>9365</v>
      </c>
      <c r="H10" s="31" t="s">
        <v>73</v>
      </c>
      <c r="I10" s="4">
        <v>13871</v>
      </c>
      <c r="K10" s="31" t="s">
        <v>897</v>
      </c>
      <c r="L10" s="4">
        <v>59094</v>
      </c>
    </row>
    <row r="11" spans="1:12" x14ac:dyDescent="0.25">
      <c r="A11" s="31" t="s">
        <v>940</v>
      </c>
      <c r="B11" s="4">
        <v>31613</v>
      </c>
      <c r="E11" s="31" t="s">
        <v>11</v>
      </c>
      <c r="F11" s="4">
        <v>7766</v>
      </c>
      <c r="H11" s="31" t="s">
        <v>55</v>
      </c>
      <c r="I11" s="4">
        <v>13417</v>
      </c>
      <c r="K11" s="31" t="s">
        <v>891</v>
      </c>
      <c r="L11" s="4">
        <v>56861</v>
      </c>
    </row>
    <row r="12" spans="1:12" x14ac:dyDescent="0.25">
      <c r="A12" s="31" t="s">
        <v>941</v>
      </c>
      <c r="B12" s="4">
        <v>48469</v>
      </c>
      <c r="E12" s="31" t="s">
        <v>24</v>
      </c>
      <c r="F12" s="4">
        <v>6339</v>
      </c>
      <c r="H12" s="31" t="s">
        <v>30</v>
      </c>
      <c r="I12" s="4">
        <v>13256</v>
      </c>
      <c r="K12" s="31" t="s">
        <v>894</v>
      </c>
      <c r="L12" s="4">
        <v>46119</v>
      </c>
    </row>
    <row r="13" spans="1:12" x14ac:dyDescent="0.25">
      <c r="A13" s="31" t="s">
        <v>942</v>
      </c>
      <c r="B13" s="4">
        <v>37579</v>
      </c>
      <c r="E13" s="31" t="s">
        <v>17</v>
      </c>
      <c r="F13" s="4">
        <v>6120</v>
      </c>
      <c r="H13" s="31" t="s">
        <v>102</v>
      </c>
      <c r="I13" s="4">
        <v>12520</v>
      </c>
      <c r="K13" s="31" t="s">
        <v>886</v>
      </c>
      <c r="L13" s="4">
        <v>39168</v>
      </c>
    </row>
    <row r="14" spans="1:12" x14ac:dyDescent="0.25">
      <c r="E14" s="31" t="s">
        <v>33</v>
      </c>
      <c r="F14" s="4">
        <v>5820</v>
      </c>
      <c r="H14" s="31" t="s">
        <v>79</v>
      </c>
      <c r="I14" s="4">
        <v>11993</v>
      </c>
      <c r="K14" s="31" t="s">
        <v>889</v>
      </c>
      <c r="L14" s="4">
        <v>34222</v>
      </c>
    </row>
    <row r="15" spans="1:12" x14ac:dyDescent="0.25">
      <c r="E15" s="31" t="s">
        <v>45</v>
      </c>
      <c r="F15" s="4">
        <v>5809</v>
      </c>
      <c r="H15" s="31" t="s">
        <v>154</v>
      </c>
      <c r="I15" s="4">
        <v>10829</v>
      </c>
      <c r="K15" s="31" t="s">
        <v>896</v>
      </c>
      <c r="L15" s="4">
        <v>30039</v>
      </c>
    </row>
    <row r="16" spans="1:12" x14ac:dyDescent="0.25">
      <c r="E16" s="31" t="s">
        <v>125</v>
      </c>
      <c r="F16" s="4">
        <v>5762</v>
      </c>
      <c r="H16" s="31" t="s">
        <v>95</v>
      </c>
      <c r="I16" s="4">
        <v>8863</v>
      </c>
      <c r="K16" s="31" t="s">
        <v>902</v>
      </c>
      <c r="L16" s="4">
        <v>22614</v>
      </c>
    </row>
    <row r="17" spans="5:12" x14ac:dyDescent="0.25">
      <c r="E17" s="31" t="s">
        <v>92</v>
      </c>
      <c r="F17" s="4">
        <v>5750</v>
      </c>
      <c r="H17" s="31" t="s">
        <v>59</v>
      </c>
      <c r="I17" s="4">
        <v>8666</v>
      </c>
      <c r="K17" s="31" t="s">
        <v>905</v>
      </c>
      <c r="L17" s="4">
        <v>21728</v>
      </c>
    </row>
    <row r="18" spans="5:12" x14ac:dyDescent="0.25">
      <c r="E18" s="31" t="s">
        <v>143</v>
      </c>
      <c r="F18" s="4">
        <v>5691</v>
      </c>
      <c r="H18" s="31" t="s">
        <v>191</v>
      </c>
      <c r="I18" s="4">
        <v>6705</v>
      </c>
      <c r="K18" s="31" t="s">
        <v>903</v>
      </c>
      <c r="L18" s="4">
        <v>18546</v>
      </c>
    </row>
    <row r="19" spans="5:12" x14ac:dyDescent="0.25">
      <c r="H19" s="31" t="s">
        <v>128</v>
      </c>
      <c r="I19" s="4">
        <v>6276</v>
      </c>
    </row>
    <row r="20" spans="5:12" x14ac:dyDescent="0.25">
      <c r="H20" s="31" t="s">
        <v>302</v>
      </c>
      <c r="I20" s="4">
        <v>5276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7C0D2-34E3-4ED4-BAD3-711E834F44EC}">
  <dimension ref="A1:U82"/>
  <sheetViews>
    <sheetView showGridLines="0" showRowColHeaders="0" tabSelected="1" showWhiteSpace="0" zoomScaleNormal="100" workbookViewId="0">
      <selection activeCell="X39" sqref="X39"/>
    </sheetView>
  </sheetViews>
  <sheetFormatPr defaultRowHeight="15" x14ac:dyDescent="0.25"/>
  <sheetData>
    <row r="1" spans="1:21" x14ac:dyDescent="0.25">
      <c r="A1" s="37" t="s">
        <v>951</v>
      </c>
      <c r="B1" s="36"/>
      <c r="C1" s="36"/>
      <c r="D1" s="36"/>
      <c r="E1" s="36"/>
      <c r="F1" s="36"/>
      <c r="G1" s="36"/>
      <c r="H1" s="36"/>
      <c r="I1" s="36"/>
      <c r="J1" s="36"/>
      <c r="K1" s="36"/>
      <c r="L1" s="36"/>
      <c r="M1" s="36"/>
      <c r="N1" s="36"/>
      <c r="O1" s="36"/>
      <c r="P1" s="36"/>
      <c r="Q1" s="36"/>
      <c r="R1" s="36"/>
      <c r="S1" s="36"/>
      <c r="T1" s="33"/>
      <c r="U1" s="33"/>
    </row>
    <row r="2" spans="1:21" x14ac:dyDescent="0.25">
      <c r="A2" s="36"/>
      <c r="B2" s="36"/>
      <c r="C2" s="36"/>
      <c r="D2" s="36"/>
      <c r="E2" s="36"/>
      <c r="F2" s="36"/>
      <c r="G2" s="36"/>
      <c r="H2" s="36"/>
      <c r="I2" s="36"/>
      <c r="J2" s="36"/>
      <c r="K2" s="36"/>
      <c r="L2" s="36"/>
      <c r="M2" s="36"/>
      <c r="N2" s="36"/>
      <c r="O2" s="36"/>
      <c r="P2" s="36"/>
      <c r="Q2" s="36"/>
      <c r="R2" s="36"/>
      <c r="S2" s="36"/>
      <c r="T2" s="33"/>
      <c r="U2" s="33"/>
    </row>
    <row r="3" spans="1:21" x14ac:dyDescent="0.25">
      <c r="A3" s="36"/>
      <c r="B3" s="36"/>
      <c r="C3" s="36"/>
      <c r="D3" s="36"/>
      <c r="E3" s="36"/>
      <c r="F3" s="36"/>
      <c r="G3" s="36"/>
      <c r="H3" s="36"/>
      <c r="I3" s="36"/>
      <c r="J3" s="36"/>
      <c r="K3" s="36"/>
      <c r="L3" s="36"/>
      <c r="M3" s="36"/>
      <c r="N3" s="36"/>
      <c r="O3" s="36"/>
      <c r="P3" s="36"/>
      <c r="Q3" s="36"/>
      <c r="R3" s="36"/>
      <c r="S3" s="36"/>
      <c r="T3" s="33"/>
      <c r="U3" s="33"/>
    </row>
    <row r="4" spans="1:21" x14ac:dyDescent="0.25">
      <c r="A4" s="33"/>
      <c r="B4" s="33"/>
      <c r="C4" s="33"/>
      <c r="D4" s="33"/>
      <c r="E4" s="33"/>
      <c r="F4" s="33"/>
      <c r="G4" s="33"/>
      <c r="H4" s="33"/>
      <c r="I4" s="33"/>
      <c r="J4" s="33"/>
      <c r="K4" s="33"/>
      <c r="L4" s="33"/>
      <c r="M4" s="33"/>
      <c r="N4" s="33"/>
      <c r="O4" s="33"/>
      <c r="P4" s="33"/>
      <c r="Q4" s="33"/>
      <c r="R4" s="33"/>
      <c r="S4" s="33"/>
      <c r="T4" s="33"/>
      <c r="U4" s="33"/>
    </row>
    <row r="5" spans="1:21" ht="15" customHeight="1" x14ac:dyDescent="0.45">
      <c r="A5" s="34"/>
      <c r="B5" s="35"/>
      <c r="C5" s="35"/>
      <c r="D5" s="33"/>
      <c r="E5" s="33"/>
      <c r="F5" s="33"/>
      <c r="G5" s="33"/>
      <c r="H5" s="33"/>
      <c r="I5" s="33"/>
      <c r="J5" s="33"/>
      <c r="K5" s="33"/>
      <c r="L5" s="33"/>
      <c r="M5" s="33"/>
      <c r="N5" s="33"/>
      <c r="O5" s="33"/>
      <c r="P5" s="33"/>
      <c r="Q5" s="33"/>
      <c r="R5" s="33"/>
      <c r="S5" s="33"/>
      <c r="T5" s="33"/>
      <c r="U5" s="33"/>
    </row>
    <row r="6" spans="1:21" x14ac:dyDescent="0.25">
      <c r="A6" s="35"/>
      <c r="B6" s="35"/>
      <c r="C6" s="35"/>
      <c r="D6" s="33"/>
      <c r="E6" s="33"/>
      <c r="F6" s="33"/>
      <c r="G6" s="33"/>
      <c r="H6" s="33"/>
      <c r="I6" s="33"/>
      <c r="J6" s="33"/>
      <c r="K6" s="33"/>
      <c r="L6" s="33"/>
      <c r="M6" s="33"/>
      <c r="N6" s="33"/>
      <c r="O6" s="33"/>
      <c r="P6" s="33"/>
      <c r="Q6" s="33"/>
      <c r="R6" s="33"/>
      <c r="S6" s="33"/>
      <c r="T6" s="33"/>
      <c r="U6" s="33"/>
    </row>
    <row r="7" spans="1:21" ht="15" customHeight="1" x14ac:dyDescent="0.25">
      <c r="A7" s="35"/>
      <c r="B7" s="35"/>
      <c r="C7" s="35"/>
      <c r="D7" s="33"/>
      <c r="E7" s="33"/>
      <c r="F7" s="33"/>
      <c r="G7" s="33"/>
      <c r="H7" s="33"/>
      <c r="I7" s="33"/>
      <c r="J7" s="33"/>
      <c r="K7" s="33"/>
      <c r="L7" s="33"/>
      <c r="M7" s="33"/>
      <c r="N7" s="33"/>
      <c r="O7" s="33"/>
      <c r="P7" s="33"/>
      <c r="Q7" s="33"/>
      <c r="R7" s="33"/>
      <c r="S7" s="33"/>
      <c r="T7" s="33"/>
      <c r="U7" s="33"/>
    </row>
    <row r="8" spans="1:21" x14ac:dyDescent="0.25">
      <c r="A8" s="33"/>
      <c r="B8" s="33"/>
      <c r="C8" s="33"/>
      <c r="D8" s="33"/>
      <c r="E8" s="33"/>
      <c r="F8" s="33"/>
      <c r="G8" s="33"/>
      <c r="H8" s="33"/>
      <c r="I8" s="33"/>
      <c r="J8" s="33"/>
      <c r="K8" s="33"/>
      <c r="L8" s="33"/>
      <c r="M8" s="33"/>
      <c r="N8" s="33"/>
      <c r="O8" s="33"/>
      <c r="P8" s="33"/>
      <c r="Q8" s="33"/>
      <c r="R8" s="33"/>
      <c r="S8" s="33"/>
      <c r="T8" s="33"/>
      <c r="U8" s="33"/>
    </row>
    <row r="9" spans="1:21" x14ac:dyDescent="0.25">
      <c r="A9" s="33"/>
      <c r="B9" s="33"/>
      <c r="C9" s="33"/>
      <c r="D9" s="33"/>
      <c r="E9" s="33"/>
      <c r="F9" s="33"/>
      <c r="G9" s="33"/>
      <c r="H9" s="33"/>
      <c r="I9" s="33"/>
      <c r="J9" s="33"/>
      <c r="K9" s="33"/>
      <c r="L9" s="33"/>
      <c r="M9" s="33"/>
      <c r="N9" s="33"/>
      <c r="O9" s="33"/>
      <c r="P9" s="33"/>
      <c r="Q9" s="33"/>
      <c r="R9" s="33"/>
      <c r="S9" s="33"/>
      <c r="T9" s="33"/>
      <c r="U9" s="33"/>
    </row>
    <row r="10" spans="1:21" x14ac:dyDescent="0.25">
      <c r="A10" s="33"/>
      <c r="B10" s="33"/>
      <c r="C10" s="33"/>
      <c r="D10" s="33"/>
      <c r="E10" s="33"/>
      <c r="F10" s="33"/>
      <c r="G10" s="33"/>
      <c r="H10" s="33"/>
      <c r="I10" s="33"/>
      <c r="J10" s="33"/>
      <c r="K10" s="33"/>
      <c r="L10" s="33"/>
      <c r="M10" s="33"/>
      <c r="N10" s="33"/>
      <c r="O10" s="33"/>
      <c r="P10" s="33"/>
      <c r="Q10" s="33"/>
      <c r="R10" s="33"/>
      <c r="S10" s="33"/>
      <c r="T10" s="33"/>
      <c r="U10" s="33"/>
    </row>
    <row r="11" spans="1:21" x14ac:dyDescent="0.25">
      <c r="A11" s="33"/>
      <c r="B11" s="33"/>
      <c r="C11" s="33"/>
      <c r="D11" s="33"/>
      <c r="E11" s="33"/>
      <c r="F11" s="33"/>
      <c r="G11" s="33"/>
      <c r="H11" s="33"/>
      <c r="I11" s="33"/>
      <c r="J11" s="33"/>
      <c r="K11" s="33"/>
      <c r="L11" s="33"/>
      <c r="M11" s="33"/>
      <c r="N11" s="33"/>
      <c r="O11" s="33"/>
      <c r="P11" s="33"/>
      <c r="Q11" s="33"/>
      <c r="R11" s="33"/>
      <c r="S11" s="33"/>
      <c r="T11" s="33"/>
      <c r="U11" s="33"/>
    </row>
    <row r="12" spans="1:21" x14ac:dyDescent="0.25">
      <c r="A12" s="33"/>
      <c r="B12" s="33"/>
      <c r="C12" s="33"/>
      <c r="D12" s="33"/>
      <c r="E12" s="33"/>
      <c r="F12" s="33"/>
      <c r="G12" s="33"/>
      <c r="H12" s="33"/>
      <c r="I12" s="33"/>
      <c r="J12" s="33"/>
      <c r="K12" s="33"/>
      <c r="L12" s="33"/>
      <c r="M12" s="33"/>
      <c r="N12" s="33"/>
      <c r="O12" s="33"/>
      <c r="P12" s="33"/>
      <c r="Q12" s="33"/>
      <c r="R12" s="33"/>
      <c r="S12" s="33"/>
      <c r="T12" s="33"/>
      <c r="U12" s="33"/>
    </row>
    <row r="13" spans="1:21" x14ac:dyDescent="0.25">
      <c r="A13" s="33"/>
      <c r="B13" s="33"/>
      <c r="C13" s="33"/>
      <c r="D13" s="33"/>
      <c r="E13" s="33"/>
      <c r="F13" s="33"/>
      <c r="G13" s="33"/>
      <c r="H13" s="33"/>
      <c r="I13" s="33"/>
      <c r="J13" s="33"/>
      <c r="K13" s="33"/>
      <c r="L13" s="33"/>
      <c r="M13" s="33"/>
      <c r="N13" s="33"/>
      <c r="O13" s="33"/>
      <c r="P13" s="33"/>
      <c r="Q13" s="33"/>
      <c r="R13" s="33"/>
      <c r="S13" s="33"/>
      <c r="T13" s="33"/>
      <c r="U13" s="33"/>
    </row>
    <row r="14" spans="1:21" x14ac:dyDescent="0.25">
      <c r="A14" s="33"/>
      <c r="B14" s="33"/>
      <c r="C14" s="33"/>
      <c r="D14" s="33"/>
      <c r="E14" s="33"/>
      <c r="F14" s="33"/>
      <c r="G14" s="33"/>
      <c r="H14" s="33"/>
      <c r="I14" s="33"/>
      <c r="J14" s="33"/>
      <c r="K14" s="33"/>
      <c r="L14" s="33"/>
      <c r="M14" s="33"/>
      <c r="N14" s="33"/>
      <c r="O14" s="33"/>
      <c r="P14" s="33"/>
      <c r="Q14" s="33"/>
      <c r="R14" s="33"/>
      <c r="S14" s="33"/>
      <c r="T14" s="33"/>
      <c r="U14" s="33"/>
    </row>
    <row r="15" spans="1:21" x14ac:dyDescent="0.25">
      <c r="A15" s="33"/>
      <c r="B15" s="33"/>
      <c r="C15" s="33"/>
      <c r="D15" s="33"/>
      <c r="E15" s="33"/>
      <c r="F15" s="33"/>
      <c r="G15" s="33"/>
      <c r="H15" s="33"/>
      <c r="I15" s="33"/>
      <c r="J15" s="33"/>
      <c r="K15" s="33"/>
      <c r="L15" s="33"/>
      <c r="M15" s="33"/>
      <c r="N15" s="33"/>
      <c r="O15" s="33"/>
      <c r="P15" s="33"/>
      <c r="Q15" s="33"/>
      <c r="R15" s="33"/>
      <c r="S15" s="33"/>
      <c r="T15" s="33"/>
      <c r="U15" s="33"/>
    </row>
    <row r="16" spans="1:21" x14ac:dyDescent="0.25">
      <c r="A16" s="33"/>
      <c r="B16" s="33"/>
      <c r="C16" s="33"/>
      <c r="D16" s="33"/>
      <c r="E16" s="33"/>
      <c r="F16" s="33"/>
      <c r="G16" s="33"/>
      <c r="H16" s="33"/>
      <c r="I16" s="33"/>
      <c r="J16" s="33"/>
      <c r="K16" s="33"/>
      <c r="L16" s="33"/>
      <c r="M16" s="33"/>
      <c r="N16" s="33"/>
      <c r="O16" s="33"/>
      <c r="P16" s="33"/>
      <c r="Q16" s="33"/>
      <c r="R16" s="33"/>
      <c r="S16" s="33"/>
      <c r="T16" s="33"/>
      <c r="U16" s="33"/>
    </row>
    <row r="17" spans="1:21" x14ac:dyDescent="0.25">
      <c r="A17" s="33"/>
      <c r="B17" s="33"/>
      <c r="C17" s="33"/>
      <c r="D17" s="33"/>
      <c r="E17" s="33"/>
      <c r="F17" s="33"/>
      <c r="G17" s="33"/>
      <c r="H17" s="33"/>
      <c r="I17" s="33"/>
      <c r="J17" s="33"/>
      <c r="K17" s="33"/>
      <c r="L17" s="33"/>
      <c r="M17" s="33"/>
      <c r="N17" s="33"/>
      <c r="O17" s="33"/>
      <c r="P17" s="33"/>
      <c r="Q17" s="33"/>
      <c r="R17" s="33"/>
      <c r="S17" s="33"/>
      <c r="T17" s="33"/>
      <c r="U17" s="33"/>
    </row>
    <row r="18" spans="1:21" x14ac:dyDescent="0.25">
      <c r="A18" s="33"/>
      <c r="B18" s="33"/>
      <c r="C18" s="33"/>
      <c r="D18" s="33"/>
      <c r="E18" s="33"/>
      <c r="F18" s="33"/>
      <c r="G18" s="33"/>
      <c r="H18" s="33"/>
      <c r="I18" s="33"/>
      <c r="J18" s="33"/>
      <c r="K18" s="33"/>
      <c r="L18" s="33"/>
      <c r="M18" s="33"/>
      <c r="N18" s="33"/>
      <c r="O18" s="33"/>
      <c r="P18" s="33"/>
      <c r="Q18" s="33"/>
      <c r="R18" s="33"/>
      <c r="S18" s="33"/>
      <c r="T18" s="33"/>
      <c r="U18" s="33"/>
    </row>
    <row r="19" spans="1:21" x14ac:dyDescent="0.25">
      <c r="A19" s="33"/>
      <c r="B19" s="33"/>
      <c r="C19" s="33"/>
      <c r="D19" s="33"/>
      <c r="E19" s="33"/>
      <c r="F19" s="33"/>
      <c r="G19" s="33"/>
      <c r="H19" s="33"/>
      <c r="I19" s="33"/>
      <c r="J19" s="33"/>
      <c r="K19" s="33"/>
      <c r="L19" s="33"/>
      <c r="M19" s="33"/>
      <c r="N19" s="33"/>
      <c r="O19" s="33"/>
      <c r="P19" s="33"/>
      <c r="Q19" s="33"/>
      <c r="R19" s="33"/>
      <c r="S19" s="33"/>
      <c r="T19" s="33"/>
      <c r="U19" s="33"/>
    </row>
    <row r="20" spans="1:21" x14ac:dyDescent="0.25">
      <c r="A20" s="33"/>
      <c r="B20" s="33"/>
      <c r="C20" s="33"/>
      <c r="D20" s="33"/>
      <c r="E20" s="33"/>
      <c r="F20" s="33"/>
      <c r="G20" s="33"/>
      <c r="H20" s="33"/>
      <c r="I20" s="33"/>
      <c r="J20" s="33"/>
      <c r="K20" s="33"/>
      <c r="L20" s="33"/>
      <c r="M20" s="33"/>
      <c r="N20" s="33"/>
      <c r="O20" s="33"/>
      <c r="P20" s="33"/>
      <c r="Q20" s="33"/>
      <c r="R20" s="33"/>
      <c r="S20" s="33"/>
      <c r="T20" s="33"/>
      <c r="U20" s="33"/>
    </row>
    <row r="21" spans="1:21" x14ac:dyDescent="0.25">
      <c r="A21" s="33"/>
      <c r="B21" s="33"/>
      <c r="C21" s="33"/>
      <c r="D21" s="33"/>
      <c r="E21" s="33"/>
      <c r="F21" s="33"/>
      <c r="G21" s="33"/>
      <c r="H21" s="33"/>
      <c r="I21" s="33"/>
      <c r="J21" s="33"/>
      <c r="K21" s="33"/>
      <c r="L21" s="33"/>
      <c r="M21" s="33"/>
      <c r="N21" s="33"/>
      <c r="O21" s="33"/>
      <c r="P21" s="33"/>
      <c r="Q21" s="33"/>
      <c r="R21" s="33"/>
      <c r="S21" s="33"/>
      <c r="T21" s="33"/>
      <c r="U21" s="33"/>
    </row>
    <row r="22" spans="1:21" x14ac:dyDescent="0.25">
      <c r="A22" s="33"/>
      <c r="B22" s="33"/>
      <c r="C22" s="33"/>
      <c r="D22" s="33"/>
      <c r="E22" s="33"/>
      <c r="F22" s="33"/>
      <c r="G22" s="33"/>
      <c r="H22" s="33"/>
      <c r="I22" s="33"/>
      <c r="J22" s="33"/>
      <c r="K22" s="33"/>
      <c r="L22" s="33"/>
      <c r="M22" s="33"/>
      <c r="N22" s="33"/>
      <c r="O22" s="33"/>
      <c r="P22" s="33"/>
      <c r="Q22" s="33"/>
      <c r="R22" s="33"/>
      <c r="S22" s="33"/>
      <c r="T22" s="33"/>
      <c r="U22" s="33"/>
    </row>
    <row r="23" spans="1:21" x14ac:dyDescent="0.25">
      <c r="A23" s="33"/>
      <c r="B23" s="33"/>
      <c r="C23" s="33"/>
      <c r="D23" s="33"/>
      <c r="E23" s="33"/>
      <c r="F23" s="33"/>
      <c r="G23" s="33"/>
      <c r="H23" s="33"/>
      <c r="I23" s="33"/>
      <c r="J23" s="33"/>
      <c r="K23" s="33"/>
      <c r="L23" s="33"/>
      <c r="M23" s="33"/>
      <c r="N23" s="33"/>
      <c r="O23" s="33"/>
      <c r="P23" s="33"/>
      <c r="Q23" s="33"/>
      <c r="R23" s="33"/>
      <c r="S23" s="33"/>
      <c r="T23" s="33"/>
      <c r="U23" s="33"/>
    </row>
    <row r="24" spans="1:21" x14ac:dyDescent="0.25">
      <c r="A24" s="33"/>
      <c r="B24" s="33"/>
      <c r="C24" s="33"/>
      <c r="D24" s="33"/>
      <c r="E24" s="33"/>
      <c r="F24" s="33"/>
      <c r="G24" s="33"/>
      <c r="H24" s="33"/>
      <c r="I24" s="33"/>
      <c r="J24" s="33"/>
      <c r="K24" s="33"/>
      <c r="L24" s="33"/>
      <c r="M24" s="33"/>
      <c r="N24" s="33"/>
      <c r="O24" s="33"/>
      <c r="P24" s="33"/>
      <c r="Q24" s="33"/>
      <c r="R24" s="33"/>
      <c r="S24" s="33"/>
      <c r="T24" s="33"/>
      <c r="U24" s="33"/>
    </row>
    <row r="25" spans="1:21" x14ac:dyDescent="0.25">
      <c r="A25" s="33"/>
      <c r="B25" s="33"/>
      <c r="C25" s="33"/>
      <c r="D25" s="33"/>
      <c r="E25" s="33"/>
      <c r="F25" s="33"/>
      <c r="G25" s="33"/>
      <c r="H25" s="33"/>
      <c r="I25" s="33"/>
      <c r="J25" s="33"/>
      <c r="K25" s="33"/>
      <c r="L25" s="33"/>
      <c r="M25" s="33"/>
      <c r="N25" s="33"/>
      <c r="O25" s="33"/>
      <c r="P25" s="33"/>
      <c r="Q25" s="33"/>
      <c r="R25" s="33"/>
      <c r="S25" s="33"/>
      <c r="T25" s="33"/>
      <c r="U25" s="33"/>
    </row>
    <row r="26" spans="1:21" x14ac:dyDescent="0.25">
      <c r="A26" s="33"/>
      <c r="B26" s="33"/>
      <c r="C26" s="33"/>
      <c r="D26" s="33"/>
      <c r="E26" s="33"/>
      <c r="F26" s="33"/>
      <c r="G26" s="33"/>
      <c r="H26" s="33"/>
      <c r="I26" s="33"/>
      <c r="J26" s="33"/>
      <c r="K26" s="33"/>
      <c r="L26" s="33"/>
      <c r="M26" s="33"/>
      <c r="N26" s="33"/>
      <c r="O26" s="33"/>
      <c r="P26" s="33"/>
      <c r="Q26" s="33"/>
      <c r="R26" s="33"/>
      <c r="S26" s="33"/>
      <c r="T26" s="33"/>
      <c r="U26" s="33"/>
    </row>
    <row r="27" spans="1:21" x14ac:dyDescent="0.25">
      <c r="A27" s="33"/>
      <c r="B27" s="33"/>
      <c r="C27" s="33"/>
      <c r="D27" s="33"/>
      <c r="E27" s="33"/>
      <c r="F27" s="33"/>
      <c r="G27" s="33"/>
      <c r="H27" s="33"/>
      <c r="I27" s="33"/>
      <c r="J27" s="33"/>
      <c r="K27" s="33"/>
      <c r="L27" s="33"/>
      <c r="M27" s="33"/>
      <c r="N27" s="33"/>
      <c r="O27" s="33"/>
      <c r="P27" s="33"/>
      <c r="Q27" s="33"/>
      <c r="R27" s="33"/>
      <c r="S27" s="33"/>
      <c r="T27" s="33"/>
      <c r="U27" s="33"/>
    </row>
    <row r="28" spans="1:21" x14ac:dyDescent="0.25">
      <c r="A28" s="33"/>
      <c r="B28" s="33"/>
      <c r="C28" s="33"/>
      <c r="D28" s="33"/>
      <c r="E28" s="33"/>
      <c r="F28" s="33"/>
      <c r="G28" s="33"/>
      <c r="H28" s="33"/>
      <c r="I28" s="33"/>
      <c r="J28" s="33"/>
      <c r="K28" s="33"/>
      <c r="L28" s="33"/>
      <c r="M28" s="33"/>
      <c r="N28" s="33"/>
      <c r="O28" s="33"/>
      <c r="P28" s="33"/>
      <c r="Q28" s="33"/>
      <c r="R28" s="33"/>
      <c r="S28" s="33"/>
      <c r="T28" s="33"/>
      <c r="U28" s="33"/>
    </row>
    <row r="29" spans="1:21" x14ac:dyDescent="0.25">
      <c r="A29" s="33"/>
      <c r="B29" s="33"/>
      <c r="C29" s="33"/>
      <c r="D29" s="33"/>
      <c r="E29" s="33"/>
      <c r="F29" s="33"/>
      <c r="G29" s="33"/>
      <c r="H29" s="33"/>
      <c r="I29" s="33"/>
      <c r="J29" s="33"/>
      <c r="K29" s="33"/>
      <c r="L29" s="33"/>
      <c r="M29" s="33"/>
      <c r="N29" s="33"/>
      <c r="O29" s="33"/>
      <c r="P29" s="33"/>
      <c r="Q29" s="33"/>
      <c r="R29" s="33"/>
      <c r="S29" s="33"/>
      <c r="T29" s="33"/>
      <c r="U29" s="33"/>
    </row>
    <row r="30" spans="1:21" x14ac:dyDescent="0.25">
      <c r="A30" s="33"/>
      <c r="B30" s="33"/>
      <c r="C30" s="33"/>
      <c r="D30" s="33"/>
      <c r="E30" s="33"/>
      <c r="F30" s="33"/>
      <c r="G30" s="33"/>
      <c r="H30" s="33"/>
      <c r="I30" s="33"/>
      <c r="J30" s="33"/>
      <c r="K30" s="33"/>
      <c r="L30" s="33"/>
      <c r="M30" s="33"/>
      <c r="N30" s="33"/>
      <c r="O30" s="33"/>
      <c r="P30" s="33"/>
      <c r="Q30" s="33"/>
      <c r="R30" s="33"/>
      <c r="S30" s="33"/>
      <c r="T30" s="33"/>
      <c r="U30" s="33"/>
    </row>
    <row r="31" spans="1:21" x14ac:dyDescent="0.25">
      <c r="A31" s="33"/>
      <c r="B31" s="33"/>
      <c r="C31" s="33"/>
      <c r="D31" s="33"/>
      <c r="E31" s="33"/>
      <c r="F31" s="33"/>
      <c r="G31" s="33"/>
      <c r="H31" s="33"/>
      <c r="I31" s="33"/>
      <c r="J31" s="33"/>
      <c r="K31" s="33"/>
      <c r="L31" s="33"/>
      <c r="M31" s="33"/>
      <c r="N31" s="33"/>
      <c r="O31" s="33"/>
      <c r="P31" s="33"/>
      <c r="Q31" s="33"/>
      <c r="R31" s="33"/>
      <c r="S31" s="33"/>
      <c r="T31" s="33"/>
      <c r="U31" s="33"/>
    </row>
    <row r="32" spans="1:21" x14ac:dyDescent="0.25">
      <c r="A32" s="33"/>
      <c r="B32" s="33"/>
      <c r="C32" s="33"/>
      <c r="D32" s="33"/>
      <c r="E32" s="33"/>
      <c r="F32" s="33"/>
      <c r="G32" s="33"/>
      <c r="H32" s="33"/>
      <c r="I32" s="33"/>
      <c r="J32" s="33"/>
      <c r="K32" s="33"/>
      <c r="L32" s="33"/>
      <c r="M32" s="33"/>
      <c r="N32" s="33"/>
      <c r="O32" s="33"/>
      <c r="P32" s="33"/>
      <c r="Q32" s="33"/>
      <c r="R32" s="33"/>
      <c r="S32" s="33"/>
      <c r="T32" s="33"/>
      <c r="U32" s="33"/>
    </row>
    <row r="33" spans="1:21" x14ac:dyDescent="0.25">
      <c r="A33" s="33"/>
      <c r="B33" s="33"/>
      <c r="C33" s="33"/>
      <c r="D33" s="33"/>
      <c r="E33" s="33"/>
      <c r="F33" s="33"/>
      <c r="G33" s="33"/>
      <c r="H33" s="33"/>
      <c r="I33" s="33"/>
      <c r="J33" s="33"/>
      <c r="K33" s="33"/>
      <c r="L33" s="33"/>
      <c r="M33" s="33"/>
      <c r="N33" s="33"/>
      <c r="O33" s="33"/>
      <c r="P33" s="33"/>
      <c r="Q33" s="33"/>
      <c r="R33" s="33"/>
      <c r="S33" s="33"/>
      <c r="T33" s="33"/>
      <c r="U33" s="33"/>
    </row>
    <row r="34" spans="1:21" x14ac:dyDescent="0.25">
      <c r="A34" s="33"/>
      <c r="B34" s="33"/>
      <c r="C34" s="33"/>
      <c r="D34" s="33"/>
      <c r="E34" s="33"/>
      <c r="F34" s="33"/>
      <c r="G34" s="33"/>
      <c r="H34" s="33"/>
      <c r="I34" s="33"/>
      <c r="J34" s="33"/>
      <c r="K34" s="33"/>
      <c r="L34" s="33"/>
      <c r="M34" s="33"/>
      <c r="N34" s="33"/>
      <c r="O34" s="33"/>
      <c r="P34" s="33"/>
      <c r="Q34" s="33"/>
      <c r="R34" s="33"/>
      <c r="S34" s="33"/>
      <c r="T34" s="33"/>
      <c r="U34" s="33"/>
    </row>
    <row r="35" spans="1:21" x14ac:dyDescent="0.25">
      <c r="A35" s="33"/>
      <c r="B35" s="33"/>
      <c r="C35" s="33"/>
      <c r="D35" s="33"/>
      <c r="E35" s="33"/>
      <c r="F35" s="33"/>
      <c r="G35" s="33"/>
      <c r="H35" s="33"/>
      <c r="I35" s="33"/>
      <c r="J35" s="33"/>
      <c r="K35" s="33"/>
      <c r="L35" s="33"/>
      <c r="M35" s="33"/>
      <c r="N35" s="33"/>
      <c r="O35" s="33"/>
      <c r="P35" s="33"/>
      <c r="Q35" s="33"/>
      <c r="R35" s="33"/>
      <c r="S35" s="33"/>
      <c r="T35" s="33"/>
      <c r="U35" s="33"/>
    </row>
    <row r="36" spans="1:21" x14ac:dyDescent="0.25">
      <c r="A36" s="33"/>
      <c r="B36" s="33"/>
      <c r="C36" s="33"/>
      <c r="D36" s="33"/>
      <c r="E36" s="33"/>
      <c r="F36" s="33"/>
      <c r="G36" s="33"/>
      <c r="H36" s="33"/>
      <c r="I36" s="33"/>
      <c r="J36" s="33"/>
      <c r="K36" s="33"/>
      <c r="L36" s="33"/>
      <c r="M36" s="33"/>
      <c r="N36" s="33"/>
      <c r="O36" s="33"/>
      <c r="P36" s="33"/>
      <c r="Q36" s="33"/>
      <c r="R36" s="33"/>
      <c r="S36" s="33"/>
      <c r="T36" s="33"/>
      <c r="U36" s="33"/>
    </row>
    <row r="37" spans="1:21" x14ac:dyDescent="0.25">
      <c r="A37" s="33"/>
      <c r="B37" s="33"/>
      <c r="C37" s="33"/>
      <c r="D37" s="33"/>
      <c r="E37" s="33"/>
      <c r="F37" s="33"/>
      <c r="G37" s="33"/>
      <c r="H37" s="33"/>
      <c r="I37" s="33"/>
      <c r="J37" s="33"/>
      <c r="K37" s="33"/>
      <c r="L37" s="33"/>
      <c r="M37" s="33"/>
      <c r="N37" s="33"/>
      <c r="O37" s="33"/>
      <c r="P37" s="33"/>
      <c r="Q37" s="33"/>
      <c r="R37" s="33"/>
      <c r="S37" s="33"/>
      <c r="T37" s="33"/>
      <c r="U37" s="33"/>
    </row>
    <row r="38" spans="1:21" x14ac:dyDescent="0.25">
      <c r="A38" s="33"/>
      <c r="B38" s="33"/>
      <c r="C38" s="33"/>
      <c r="D38" s="33"/>
      <c r="E38" s="33"/>
      <c r="F38" s="33"/>
      <c r="G38" s="33"/>
      <c r="H38" s="33"/>
      <c r="I38" s="33"/>
      <c r="J38" s="33"/>
      <c r="K38" s="33"/>
      <c r="L38" s="33"/>
      <c r="M38" s="33"/>
      <c r="N38" s="33"/>
      <c r="O38" s="33"/>
      <c r="P38" s="33"/>
      <c r="Q38" s="33"/>
      <c r="R38" s="33"/>
      <c r="S38" s="33"/>
      <c r="T38" s="33"/>
      <c r="U38" s="33"/>
    </row>
    <row r="39" spans="1:21" x14ac:dyDescent="0.25">
      <c r="A39" s="33"/>
      <c r="B39" s="33"/>
      <c r="C39" s="33"/>
      <c r="D39" s="33"/>
      <c r="E39" s="33"/>
      <c r="F39" s="33"/>
      <c r="G39" s="33"/>
      <c r="H39" s="33"/>
      <c r="I39" s="33"/>
      <c r="J39" s="33"/>
      <c r="K39" s="33"/>
      <c r="L39" s="33"/>
      <c r="M39" s="33"/>
      <c r="N39" s="33"/>
      <c r="O39" s="33"/>
      <c r="P39" s="33"/>
      <c r="Q39" s="33"/>
      <c r="R39" s="33"/>
      <c r="S39" s="33"/>
      <c r="T39" s="33"/>
      <c r="U39" s="33"/>
    </row>
    <row r="40" spans="1:21" x14ac:dyDescent="0.25">
      <c r="A40" s="33"/>
      <c r="B40" s="33"/>
      <c r="C40" s="33"/>
      <c r="D40" s="33"/>
      <c r="E40" s="33"/>
      <c r="F40" s="33"/>
      <c r="G40" s="33"/>
      <c r="H40" s="33"/>
      <c r="I40" s="33"/>
      <c r="J40" s="33"/>
      <c r="K40" s="33"/>
      <c r="L40" s="33"/>
      <c r="M40" s="33"/>
      <c r="N40" s="33"/>
      <c r="O40" s="33"/>
      <c r="P40" s="33"/>
      <c r="Q40" s="33"/>
      <c r="R40" s="33"/>
      <c r="S40" s="33"/>
      <c r="T40" s="33"/>
      <c r="U40" s="33"/>
    </row>
    <row r="41" spans="1:21" x14ac:dyDescent="0.25">
      <c r="A41" s="33"/>
      <c r="B41" s="33"/>
      <c r="C41" s="33"/>
      <c r="D41" s="33"/>
      <c r="E41" s="33"/>
      <c r="F41" s="33"/>
      <c r="G41" s="33"/>
      <c r="H41" s="33"/>
      <c r="I41" s="33"/>
      <c r="J41" s="33"/>
      <c r="K41" s="33"/>
      <c r="L41" s="33"/>
      <c r="M41" s="33"/>
      <c r="N41" s="33"/>
      <c r="O41" s="33"/>
      <c r="P41" s="33"/>
      <c r="Q41" s="33"/>
      <c r="R41" s="33"/>
      <c r="S41" s="33"/>
      <c r="T41" s="33"/>
      <c r="U41" s="33"/>
    </row>
    <row r="42" spans="1:21" x14ac:dyDescent="0.25">
      <c r="A42" s="33"/>
      <c r="B42" s="33"/>
      <c r="C42" s="33"/>
      <c r="D42" s="33"/>
      <c r="E42" s="33"/>
      <c r="F42" s="33"/>
      <c r="G42" s="33"/>
      <c r="H42" s="33"/>
      <c r="I42" s="33"/>
      <c r="J42" s="33"/>
      <c r="K42" s="33"/>
      <c r="L42" s="33"/>
      <c r="M42" s="33"/>
      <c r="N42" s="33"/>
      <c r="O42" s="33"/>
      <c r="P42" s="33"/>
      <c r="Q42" s="33"/>
      <c r="R42" s="33"/>
      <c r="S42" s="33"/>
      <c r="T42" s="33"/>
      <c r="U42" s="33"/>
    </row>
    <row r="43" spans="1:21" x14ac:dyDescent="0.25">
      <c r="A43" s="33"/>
      <c r="B43" s="33"/>
      <c r="C43" s="33"/>
      <c r="D43" s="33"/>
      <c r="E43" s="33"/>
      <c r="F43" s="33"/>
      <c r="G43" s="33"/>
      <c r="H43" s="33"/>
      <c r="I43" s="33"/>
      <c r="J43" s="33"/>
      <c r="K43" s="33"/>
      <c r="L43" s="33"/>
      <c r="M43" s="33"/>
      <c r="N43" s="33"/>
      <c r="O43" s="33"/>
      <c r="P43" s="33"/>
      <c r="Q43" s="33"/>
      <c r="R43" s="33"/>
      <c r="S43" s="33"/>
      <c r="T43" s="33"/>
      <c r="U43" s="33"/>
    </row>
    <row r="44" spans="1:21" x14ac:dyDescent="0.25">
      <c r="A44" s="33"/>
      <c r="B44" s="33"/>
      <c r="C44" s="33"/>
      <c r="D44" s="33"/>
      <c r="E44" s="33"/>
      <c r="F44" s="33"/>
      <c r="G44" s="33"/>
      <c r="H44" s="33"/>
      <c r="I44" s="33"/>
      <c r="J44" s="33"/>
      <c r="K44" s="33"/>
      <c r="L44" s="33"/>
      <c r="M44" s="33"/>
      <c r="N44" s="33"/>
      <c r="O44" s="33"/>
      <c r="P44" s="33"/>
      <c r="Q44" s="33"/>
      <c r="R44" s="33"/>
      <c r="S44" s="33"/>
      <c r="T44" s="33"/>
      <c r="U44" s="33"/>
    </row>
    <row r="45" spans="1:21" x14ac:dyDescent="0.25">
      <c r="A45" s="33"/>
      <c r="B45" s="33"/>
      <c r="C45" s="33"/>
      <c r="D45" s="33"/>
      <c r="E45" s="33"/>
      <c r="F45" s="33"/>
      <c r="G45" s="33"/>
      <c r="H45" s="33"/>
      <c r="I45" s="33"/>
      <c r="J45" s="33"/>
      <c r="K45" s="33"/>
      <c r="L45" s="33"/>
      <c r="M45" s="33"/>
      <c r="N45" s="33"/>
      <c r="O45" s="33"/>
      <c r="P45" s="33"/>
      <c r="Q45" s="33"/>
      <c r="R45" s="33"/>
      <c r="S45" s="33"/>
      <c r="T45" s="33"/>
      <c r="U45" s="33"/>
    </row>
    <row r="46" spans="1:21" x14ac:dyDescent="0.25">
      <c r="A46" s="33"/>
      <c r="B46" s="33"/>
      <c r="C46" s="33"/>
      <c r="D46" s="33"/>
      <c r="E46" s="33"/>
      <c r="F46" s="33"/>
      <c r="G46" s="33"/>
      <c r="H46" s="33"/>
      <c r="I46" s="33"/>
      <c r="J46" s="33"/>
      <c r="K46" s="33"/>
      <c r="L46" s="33"/>
      <c r="M46" s="33"/>
      <c r="N46" s="33"/>
      <c r="O46" s="33"/>
      <c r="P46" s="33"/>
      <c r="Q46" s="33"/>
      <c r="R46" s="33"/>
      <c r="S46" s="33"/>
      <c r="T46" s="33"/>
      <c r="U46" s="33"/>
    </row>
    <row r="47" spans="1:21" x14ac:dyDescent="0.25">
      <c r="A47" s="33"/>
      <c r="B47" s="33"/>
      <c r="C47" s="33"/>
      <c r="D47" s="33"/>
      <c r="E47" s="33"/>
      <c r="F47" s="33"/>
      <c r="G47" s="33"/>
      <c r="H47" s="33"/>
      <c r="I47" s="33"/>
      <c r="J47" s="33"/>
      <c r="K47" s="33"/>
      <c r="L47" s="33"/>
      <c r="M47" s="33"/>
      <c r="N47" s="33"/>
      <c r="O47" s="33"/>
      <c r="P47" s="33"/>
      <c r="Q47" s="33"/>
      <c r="R47" s="33"/>
      <c r="S47" s="33"/>
      <c r="T47" s="33"/>
      <c r="U47" s="33"/>
    </row>
    <row r="48" spans="1:21" x14ac:dyDescent="0.25">
      <c r="A48" s="33"/>
      <c r="B48" s="33"/>
      <c r="C48" s="33"/>
      <c r="D48" s="33"/>
      <c r="E48" s="33"/>
      <c r="F48" s="33"/>
      <c r="G48" s="33"/>
      <c r="H48" s="33"/>
      <c r="I48" s="33"/>
      <c r="J48" s="33"/>
      <c r="K48" s="33"/>
      <c r="L48" s="33"/>
      <c r="M48" s="33"/>
      <c r="N48" s="33"/>
      <c r="O48" s="33"/>
      <c r="P48" s="33"/>
      <c r="Q48" s="33"/>
      <c r="R48" s="33"/>
      <c r="S48" s="33"/>
      <c r="T48" s="33"/>
      <c r="U48" s="33"/>
    </row>
    <row r="49" spans="1:21" x14ac:dyDescent="0.25">
      <c r="A49" s="33"/>
      <c r="B49" s="33"/>
      <c r="C49" s="33"/>
      <c r="D49" s="33"/>
      <c r="E49" s="33"/>
      <c r="F49" s="33"/>
      <c r="G49" s="33"/>
      <c r="H49" s="33"/>
      <c r="I49" s="33"/>
      <c r="J49" s="33"/>
      <c r="K49" s="33"/>
      <c r="L49" s="33"/>
      <c r="M49" s="33"/>
      <c r="N49" s="33"/>
      <c r="O49" s="33"/>
      <c r="P49" s="33"/>
      <c r="Q49" s="33"/>
      <c r="R49" s="33"/>
      <c r="S49" s="33"/>
      <c r="T49" s="33"/>
      <c r="U49" s="33"/>
    </row>
    <row r="50" spans="1:21" x14ac:dyDescent="0.25">
      <c r="A50" s="33"/>
      <c r="B50" s="33"/>
      <c r="C50" s="33"/>
      <c r="D50" s="33"/>
      <c r="E50" s="33"/>
      <c r="F50" s="33"/>
      <c r="G50" s="33"/>
      <c r="H50" s="33"/>
      <c r="I50" s="33"/>
      <c r="J50" s="33"/>
      <c r="K50" s="33"/>
      <c r="L50" s="33"/>
      <c r="M50" s="33"/>
      <c r="N50" s="33"/>
      <c r="O50" s="33"/>
      <c r="P50" s="33"/>
      <c r="Q50" s="33"/>
      <c r="R50" s="33"/>
      <c r="S50" s="33"/>
      <c r="T50" s="33"/>
      <c r="U50" s="33"/>
    </row>
    <row r="51" spans="1:21" x14ac:dyDescent="0.25">
      <c r="A51" s="33"/>
      <c r="B51" s="33"/>
      <c r="C51" s="33"/>
      <c r="D51" s="33"/>
      <c r="E51" s="33"/>
      <c r="F51" s="33"/>
      <c r="G51" s="33"/>
      <c r="H51" s="33"/>
      <c r="I51" s="33"/>
      <c r="J51" s="33"/>
      <c r="K51" s="33"/>
      <c r="L51" s="33"/>
      <c r="M51" s="33"/>
      <c r="N51" s="33"/>
      <c r="O51" s="33"/>
      <c r="P51" s="33"/>
      <c r="Q51" s="33"/>
      <c r="R51" s="33"/>
      <c r="S51" s="33"/>
      <c r="T51" s="33"/>
      <c r="U51" s="33"/>
    </row>
    <row r="52" spans="1:21" x14ac:dyDescent="0.25">
      <c r="A52" s="33"/>
      <c r="B52" s="33"/>
      <c r="C52" s="33"/>
      <c r="D52" s="33"/>
      <c r="E52" s="33"/>
      <c r="F52" s="33"/>
      <c r="G52" s="33"/>
      <c r="H52" s="33"/>
      <c r="I52" s="33"/>
      <c r="J52" s="33"/>
      <c r="K52" s="33"/>
      <c r="L52" s="33"/>
      <c r="M52" s="33"/>
      <c r="N52" s="33"/>
      <c r="O52" s="33"/>
      <c r="P52" s="33"/>
      <c r="Q52" s="33"/>
      <c r="R52" s="33"/>
      <c r="S52" s="33"/>
      <c r="T52" s="33"/>
      <c r="U52" s="33"/>
    </row>
    <row r="53" spans="1:21" x14ac:dyDescent="0.25">
      <c r="A53" s="33"/>
      <c r="B53" s="33"/>
      <c r="C53" s="33"/>
      <c r="D53" s="33"/>
      <c r="E53" s="33"/>
      <c r="F53" s="33"/>
      <c r="G53" s="33"/>
      <c r="H53" s="33"/>
      <c r="I53" s="33"/>
      <c r="J53" s="33"/>
      <c r="K53" s="33"/>
      <c r="L53" s="33"/>
      <c r="M53" s="33"/>
      <c r="N53" s="33"/>
      <c r="O53" s="33"/>
      <c r="P53" s="33"/>
      <c r="Q53" s="33"/>
      <c r="R53" s="33"/>
      <c r="S53" s="33"/>
      <c r="T53" s="33"/>
      <c r="U53" s="33"/>
    </row>
    <row r="54" spans="1:21" x14ac:dyDescent="0.25">
      <c r="A54" s="33"/>
      <c r="B54" s="33"/>
      <c r="C54" s="33"/>
      <c r="D54" s="33"/>
      <c r="E54" s="33"/>
      <c r="F54" s="33"/>
      <c r="G54" s="33"/>
      <c r="H54" s="33"/>
      <c r="I54" s="33"/>
      <c r="J54" s="33"/>
      <c r="K54" s="33"/>
      <c r="L54" s="33"/>
      <c r="M54" s="33"/>
      <c r="N54" s="33"/>
      <c r="O54" s="33"/>
      <c r="P54" s="33"/>
      <c r="Q54" s="33"/>
      <c r="R54" s="33"/>
      <c r="S54" s="33"/>
      <c r="T54" s="33"/>
      <c r="U54" s="33"/>
    </row>
    <row r="55" spans="1:21" x14ac:dyDescent="0.25">
      <c r="A55" s="33"/>
      <c r="B55" s="33"/>
      <c r="C55" s="33"/>
      <c r="D55" s="33"/>
      <c r="E55" s="33"/>
      <c r="F55" s="33"/>
      <c r="G55" s="33"/>
      <c r="H55" s="33"/>
      <c r="I55" s="33"/>
      <c r="J55" s="33"/>
      <c r="K55" s="33"/>
      <c r="L55" s="33"/>
      <c r="M55" s="33"/>
      <c r="N55" s="33"/>
      <c r="O55" s="33"/>
      <c r="P55" s="33"/>
      <c r="Q55" s="33"/>
      <c r="R55" s="33"/>
      <c r="S55" s="33"/>
      <c r="T55" s="33"/>
      <c r="U55" s="33"/>
    </row>
    <row r="56" spans="1:21" x14ac:dyDescent="0.25">
      <c r="A56" s="33"/>
      <c r="B56" s="33"/>
      <c r="C56" s="33"/>
      <c r="D56" s="33"/>
      <c r="E56" s="33"/>
      <c r="F56" s="33"/>
      <c r="G56" s="33"/>
      <c r="H56" s="33"/>
      <c r="I56" s="33"/>
      <c r="J56" s="33"/>
      <c r="K56" s="33"/>
      <c r="L56" s="33"/>
      <c r="M56" s="33"/>
      <c r="N56" s="33"/>
      <c r="O56" s="33"/>
      <c r="P56" s="33"/>
      <c r="Q56" s="33"/>
      <c r="R56" s="33"/>
      <c r="S56" s="33"/>
      <c r="T56" s="33"/>
      <c r="U56" s="33"/>
    </row>
    <row r="57" spans="1:21" x14ac:dyDescent="0.25">
      <c r="A57" s="33"/>
      <c r="B57" s="33"/>
      <c r="C57" s="33"/>
      <c r="D57" s="33"/>
      <c r="E57" s="33"/>
      <c r="F57" s="33"/>
      <c r="G57" s="33"/>
      <c r="H57" s="33"/>
      <c r="I57" s="33"/>
      <c r="J57" s="33"/>
      <c r="K57" s="33"/>
      <c r="L57" s="33"/>
      <c r="M57" s="33"/>
      <c r="N57" s="33"/>
      <c r="O57" s="33"/>
      <c r="P57" s="33"/>
      <c r="Q57" s="33"/>
      <c r="R57" s="33"/>
      <c r="S57" s="33"/>
      <c r="T57" s="33"/>
      <c r="U57" s="33"/>
    </row>
    <row r="58" spans="1:21" x14ac:dyDescent="0.25">
      <c r="A58" s="33"/>
      <c r="B58" s="33"/>
      <c r="C58" s="33"/>
      <c r="D58" s="33"/>
      <c r="E58" s="33"/>
      <c r="F58" s="33"/>
      <c r="G58" s="33"/>
      <c r="H58" s="33"/>
      <c r="I58" s="33"/>
      <c r="J58" s="33"/>
      <c r="K58" s="33"/>
      <c r="L58" s="33"/>
      <c r="M58" s="33"/>
      <c r="N58" s="33"/>
      <c r="O58" s="33"/>
      <c r="P58" s="33"/>
      <c r="Q58" s="33"/>
      <c r="R58" s="33"/>
      <c r="S58" s="33"/>
      <c r="T58" s="33"/>
      <c r="U58" s="33"/>
    </row>
    <row r="59" spans="1:21" x14ac:dyDescent="0.25">
      <c r="A59" s="33"/>
      <c r="B59" s="33"/>
      <c r="C59" s="33"/>
      <c r="D59" s="33"/>
      <c r="E59" s="33"/>
      <c r="F59" s="33"/>
      <c r="G59" s="33"/>
      <c r="H59" s="33"/>
      <c r="I59" s="33"/>
      <c r="J59" s="33"/>
      <c r="K59" s="33"/>
      <c r="L59" s="33"/>
      <c r="M59" s="33"/>
      <c r="N59" s="33"/>
      <c r="O59" s="33"/>
      <c r="P59" s="33"/>
      <c r="Q59" s="33"/>
      <c r="R59" s="33"/>
      <c r="S59" s="33"/>
      <c r="T59" s="33"/>
      <c r="U59" s="33"/>
    </row>
    <row r="60" spans="1:21" x14ac:dyDescent="0.25">
      <c r="A60" s="33"/>
      <c r="B60" s="33"/>
      <c r="C60" s="33"/>
      <c r="D60" s="33"/>
      <c r="E60" s="33"/>
      <c r="F60" s="33"/>
      <c r="G60" s="33"/>
      <c r="H60" s="33"/>
      <c r="I60" s="33"/>
      <c r="J60" s="33"/>
      <c r="K60" s="33"/>
      <c r="L60" s="33"/>
      <c r="M60" s="33"/>
      <c r="N60" s="33"/>
      <c r="O60" s="33"/>
      <c r="P60" s="33"/>
      <c r="Q60" s="33"/>
      <c r="R60" s="33"/>
      <c r="S60" s="33"/>
      <c r="T60" s="33"/>
      <c r="U60" s="33"/>
    </row>
    <row r="61" spans="1:21" x14ac:dyDescent="0.25">
      <c r="A61" s="33"/>
      <c r="B61" s="33"/>
      <c r="C61" s="33"/>
      <c r="D61" s="33"/>
      <c r="E61" s="33"/>
      <c r="F61" s="33"/>
      <c r="G61" s="33"/>
      <c r="H61" s="33"/>
      <c r="I61" s="33"/>
      <c r="J61" s="33"/>
      <c r="K61" s="33"/>
      <c r="L61" s="33"/>
      <c r="M61" s="33"/>
      <c r="N61" s="33"/>
      <c r="O61" s="33"/>
      <c r="P61" s="33"/>
      <c r="Q61" s="33"/>
      <c r="R61" s="33"/>
      <c r="S61" s="33"/>
      <c r="T61" s="33"/>
      <c r="U61" s="33"/>
    </row>
    <row r="62" spans="1:21" x14ac:dyDescent="0.25">
      <c r="A62" s="33"/>
      <c r="B62" s="33"/>
      <c r="C62" s="33"/>
      <c r="D62" s="33"/>
      <c r="E62" s="33"/>
      <c r="F62" s="33"/>
      <c r="G62" s="33"/>
      <c r="H62" s="33"/>
      <c r="I62" s="33"/>
      <c r="J62" s="33"/>
      <c r="K62" s="33"/>
      <c r="L62" s="33"/>
      <c r="M62" s="33"/>
      <c r="N62" s="33"/>
      <c r="O62" s="33"/>
      <c r="P62" s="33"/>
      <c r="Q62" s="33"/>
      <c r="R62" s="33"/>
      <c r="S62" s="33"/>
      <c r="T62" s="33"/>
      <c r="U62" s="33"/>
    </row>
    <row r="63" spans="1:21" x14ac:dyDescent="0.25">
      <c r="A63" s="33"/>
      <c r="B63" s="33"/>
      <c r="C63" s="33"/>
      <c r="D63" s="33"/>
      <c r="E63" s="33"/>
      <c r="F63" s="33"/>
      <c r="G63" s="33"/>
      <c r="H63" s="33"/>
      <c r="I63" s="33"/>
      <c r="J63" s="33"/>
      <c r="K63" s="33"/>
      <c r="L63" s="33"/>
      <c r="M63" s="33"/>
      <c r="N63" s="33"/>
      <c r="O63" s="33"/>
      <c r="P63" s="33"/>
      <c r="Q63" s="33"/>
      <c r="R63" s="33"/>
      <c r="S63" s="33"/>
      <c r="T63" s="33"/>
      <c r="U63" s="33"/>
    </row>
    <row r="64" spans="1:21" x14ac:dyDescent="0.25">
      <c r="A64" s="33"/>
      <c r="B64" s="33"/>
      <c r="C64" s="33"/>
      <c r="D64" s="33"/>
      <c r="E64" s="33"/>
      <c r="F64" s="33"/>
      <c r="G64" s="33"/>
      <c r="H64" s="33"/>
      <c r="I64" s="33"/>
      <c r="J64" s="33"/>
      <c r="K64" s="33"/>
      <c r="L64" s="33"/>
      <c r="M64" s="33"/>
      <c r="N64" s="33"/>
      <c r="O64" s="33"/>
      <c r="P64" s="33"/>
      <c r="Q64" s="33"/>
      <c r="R64" s="33"/>
      <c r="S64" s="33"/>
      <c r="T64" s="33"/>
      <c r="U64" s="33"/>
    </row>
    <row r="65" spans="1:21" x14ac:dyDescent="0.25">
      <c r="A65" s="33"/>
      <c r="B65" s="33"/>
      <c r="C65" s="33"/>
      <c r="D65" s="33"/>
      <c r="E65" s="33"/>
      <c r="F65" s="33"/>
      <c r="G65" s="33"/>
      <c r="H65" s="33"/>
      <c r="I65" s="33"/>
      <c r="J65" s="33"/>
      <c r="K65" s="33"/>
      <c r="L65" s="33"/>
      <c r="M65" s="33"/>
      <c r="N65" s="33"/>
      <c r="O65" s="33"/>
      <c r="P65" s="33"/>
      <c r="Q65" s="33"/>
      <c r="R65" s="33"/>
      <c r="S65" s="33"/>
      <c r="T65" s="33"/>
      <c r="U65" s="33"/>
    </row>
    <row r="66" spans="1:21" x14ac:dyDescent="0.25">
      <c r="A66" s="33"/>
      <c r="B66" s="33"/>
      <c r="C66" s="33"/>
      <c r="D66" s="33"/>
      <c r="E66" s="33"/>
      <c r="F66" s="33"/>
      <c r="G66" s="33"/>
      <c r="H66" s="33"/>
      <c r="I66" s="33"/>
      <c r="J66" s="33"/>
      <c r="K66" s="33"/>
      <c r="L66" s="33"/>
      <c r="M66" s="33"/>
      <c r="N66" s="33"/>
      <c r="O66" s="33"/>
      <c r="P66" s="33"/>
      <c r="Q66" s="33"/>
      <c r="R66" s="33"/>
      <c r="S66" s="33"/>
      <c r="T66" s="33"/>
      <c r="U66" s="33"/>
    </row>
    <row r="67" spans="1:21" x14ac:dyDescent="0.25">
      <c r="A67" s="33"/>
      <c r="B67" s="33"/>
      <c r="C67" s="33"/>
      <c r="D67" s="33"/>
      <c r="E67" s="33"/>
      <c r="F67" s="33"/>
      <c r="G67" s="33"/>
      <c r="H67" s="33"/>
      <c r="I67" s="33"/>
      <c r="J67" s="33"/>
      <c r="K67" s="33"/>
      <c r="L67" s="33"/>
      <c r="M67" s="33"/>
      <c r="N67" s="33"/>
      <c r="O67" s="33"/>
      <c r="P67" s="33"/>
      <c r="Q67" s="33"/>
      <c r="R67" s="33"/>
      <c r="S67" s="33"/>
      <c r="T67" s="33"/>
      <c r="U67" s="33"/>
    </row>
    <row r="68" spans="1:21" x14ac:dyDescent="0.25">
      <c r="A68" s="33"/>
      <c r="B68" s="33"/>
      <c r="C68" s="33"/>
      <c r="D68" s="33"/>
      <c r="E68" s="33"/>
      <c r="F68" s="33"/>
      <c r="G68" s="33"/>
      <c r="H68" s="33"/>
      <c r="I68" s="33"/>
      <c r="J68" s="33"/>
      <c r="K68" s="33"/>
      <c r="L68" s="33"/>
      <c r="M68" s="33"/>
      <c r="N68" s="33"/>
      <c r="O68" s="33"/>
      <c r="P68" s="33"/>
      <c r="Q68" s="33"/>
      <c r="R68" s="33"/>
      <c r="S68" s="33"/>
      <c r="T68" s="33"/>
      <c r="U68" s="33"/>
    </row>
    <row r="69" spans="1:21" x14ac:dyDescent="0.25">
      <c r="A69" s="33"/>
      <c r="B69" s="33"/>
      <c r="C69" s="33"/>
      <c r="D69" s="33"/>
      <c r="E69" s="33"/>
      <c r="F69" s="33"/>
      <c r="G69" s="33"/>
      <c r="H69" s="33"/>
      <c r="I69" s="33"/>
      <c r="J69" s="33"/>
      <c r="K69" s="33"/>
      <c r="L69" s="33"/>
      <c r="M69" s="33"/>
      <c r="N69" s="33"/>
      <c r="O69" s="33"/>
      <c r="P69" s="33"/>
      <c r="Q69" s="33"/>
      <c r="R69" s="33"/>
      <c r="S69" s="33"/>
      <c r="T69" s="33"/>
      <c r="U69" s="33"/>
    </row>
    <row r="70" spans="1:21" x14ac:dyDescent="0.25">
      <c r="A70" s="33"/>
      <c r="B70" s="33"/>
      <c r="C70" s="33"/>
      <c r="D70" s="33"/>
      <c r="E70" s="33"/>
      <c r="F70" s="33"/>
      <c r="G70" s="33"/>
      <c r="H70" s="33"/>
      <c r="I70" s="33"/>
      <c r="J70" s="33"/>
      <c r="K70" s="33"/>
      <c r="L70" s="33"/>
      <c r="M70" s="33"/>
      <c r="N70" s="33"/>
      <c r="O70" s="33"/>
      <c r="P70" s="33"/>
      <c r="Q70" s="33"/>
      <c r="R70" s="33"/>
      <c r="S70" s="33"/>
      <c r="T70" s="33"/>
      <c r="U70" s="33"/>
    </row>
    <row r="71" spans="1:21" x14ac:dyDescent="0.25">
      <c r="A71" s="33"/>
      <c r="B71" s="33"/>
      <c r="C71" s="33"/>
      <c r="D71" s="33"/>
      <c r="E71" s="33"/>
      <c r="F71" s="33"/>
      <c r="G71" s="33"/>
      <c r="H71" s="33"/>
      <c r="I71" s="33"/>
      <c r="J71" s="33"/>
      <c r="K71" s="33"/>
      <c r="L71" s="33"/>
      <c r="M71" s="33"/>
      <c r="N71" s="33"/>
      <c r="O71" s="33"/>
      <c r="P71" s="33"/>
      <c r="Q71" s="33"/>
      <c r="R71" s="33"/>
      <c r="S71" s="33"/>
      <c r="T71" s="33"/>
      <c r="U71" s="33"/>
    </row>
    <row r="72" spans="1:21" x14ac:dyDescent="0.25">
      <c r="A72" s="33"/>
      <c r="B72" s="33"/>
      <c r="C72" s="33"/>
      <c r="D72" s="33"/>
      <c r="E72" s="33"/>
      <c r="F72" s="33"/>
      <c r="G72" s="33"/>
      <c r="H72" s="33"/>
      <c r="I72" s="33"/>
      <c r="J72" s="33"/>
      <c r="K72" s="33"/>
      <c r="L72" s="33"/>
      <c r="M72" s="33"/>
      <c r="N72" s="33"/>
      <c r="O72" s="33"/>
      <c r="P72" s="33"/>
      <c r="Q72" s="33"/>
      <c r="R72" s="33"/>
      <c r="S72" s="33"/>
      <c r="T72" s="33"/>
      <c r="U72" s="33"/>
    </row>
    <row r="73" spans="1:21" x14ac:dyDescent="0.25">
      <c r="A73" s="33"/>
      <c r="B73" s="33"/>
      <c r="C73" s="33"/>
      <c r="D73" s="33"/>
      <c r="E73" s="33"/>
      <c r="F73" s="33"/>
      <c r="G73" s="33"/>
      <c r="H73" s="33"/>
      <c r="I73" s="33"/>
      <c r="J73" s="33"/>
      <c r="K73" s="33"/>
      <c r="L73" s="33"/>
      <c r="M73" s="33"/>
      <c r="N73" s="33"/>
      <c r="O73" s="33"/>
      <c r="P73" s="33"/>
      <c r="Q73" s="33"/>
      <c r="R73" s="33"/>
      <c r="S73" s="33"/>
      <c r="T73" s="33"/>
      <c r="U73" s="33"/>
    </row>
    <row r="74" spans="1:21" x14ac:dyDescent="0.25">
      <c r="A74" s="33"/>
      <c r="B74" s="33"/>
      <c r="C74" s="33"/>
      <c r="D74" s="33"/>
      <c r="E74" s="33"/>
      <c r="F74" s="33"/>
      <c r="G74" s="33"/>
      <c r="H74" s="33"/>
      <c r="I74" s="33"/>
      <c r="J74" s="33"/>
      <c r="K74" s="33"/>
      <c r="L74" s="33"/>
      <c r="M74" s="33"/>
      <c r="N74" s="33"/>
      <c r="O74" s="33"/>
      <c r="P74" s="33"/>
      <c r="Q74" s="33"/>
      <c r="R74" s="33"/>
      <c r="S74" s="33"/>
      <c r="T74" s="33"/>
      <c r="U74" s="33"/>
    </row>
    <row r="75" spans="1:21" x14ac:dyDescent="0.25">
      <c r="A75" s="33"/>
      <c r="B75" s="33"/>
      <c r="C75" s="33"/>
      <c r="D75" s="33"/>
      <c r="E75" s="33"/>
      <c r="F75" s="33"/>
      <c r="G75" s="33"/>
      <c r="H75" s="33"/>
      <c r="I75" s="33"/>
      <c r="J75" s="33"/>
      <c r="K75" s="33"/>
      <c r="L75" s="33"/>
      <c r="M75" s="33"/>
      <c r="N75" s="33"/>
      <c r="O75" s="33"/>
      <c r="P75" s="33"/>
      <c r="Q75" s="33"/>
      <c r="R75" s="33"/>
      <c r="S75" s="33"/>
      <c r="T75" s="33"/>
      <c r="U75" s="33"/>
    </row>
    <row r="76" spans="1:21" x14ac:dyDescent="0.25">
      <c r="A76" s="33"/>
      <c r="B76" s="33"/>
      <c r="C76" s="33"/>
      <c r="D76" s="33"/>
      <c r="E76" s="33"/>
      <c r="F76" s="33"/>
      <c r="G76" s="33"/>
      <c r="H76" s="33"/>
      <c r="I76" s="33"/>
      <c r="J76" s="33"/>
      <c r="K76" s="33"/>
      <c r="L76" s="33"/>
      <c r="M76" s="33"/>
      <c r="N76" s="33"/>
      <c r="O76" s="33"/>
      <c r="P76" s="33"/>
      <c r="Q76" s="33"/>
      <c r="R76" s="33"/>
      <c r="S76" s="33"/>
      <c r="T76" s="33"/>
      <c r="U76" s="33"/>
    </row>
    <row r="77" spans="1:21" x14ac:dyDescent="0.25">
      <c r="A77" s="33"/>
      <c r="B77" s="33"/>
      <c r="C77" s="33"/>
      <c r="D77" s="33"/>
      <c r="E77" s="33"/>
      <c r="F77" s="33"/>
      <c r="G77" s="33"/>
      <c r="H77" s="33"/>
      <c r="I77" s="33"/>
      <c r="J77" s="33"/>
      <c r="K77" s="33"/>
      <c r="L77" s="33"/>
      <c r="M77" s="33"/>
      <c r="N77" s="33"/>
      <c r="O77" s="33"/>
      <c r="P77" s="33"/>
      <c r="Q77" s="33"/>
      <c r="R77" s="33"/>
      <c r="S77" s="33"/>
      <c r="T77" s="33"/>
      <c r="U77" s="33"/>
    </row>
    <row r="78" spans="1:21" x14ac:dyDescent="0.25">
      <c r="A78" s="33"/>
      <c r="B78" s="33"/>
      <c r="C78" s="33"/>
      <c r="D78" s="33"/>
      <c r="E78" s="33"/>
      <c r="F78" s="33"/>
      <c r="G78" s="33"/>
      <c r="H78" s="33"/>
      <c r="I78" s="33"/>
      <c r="J78" s="33"/>
      <c r="K78" s="33"/>
      <c r="L78" s="33"/>
      <c r="M78" s="33"/>
      <c r="N78" s="33"/>
      <c r="O78" s="33"/>
      <c r="P78" s="33"/>
      <c r="Q78" s="33"/>
      <c r="R78" s="33"/>
      <c r="S78" s="33"/>
      <c r="T78" s="33"/>
      <c r="U78" s="33"/>
    </row>
    <row r="79" spans="1:21" x14ac:dyDescent="0.25">
      <c r="A79" s="33"/>
      <c r="B79" s="33"/>
      <c r="C79" s="33"/>
      <c r="D79" s="33"/>
      <c r="E79" s="33"/>
      <c r="F79" s="33"/>
      <c r="G79" s="33"/>
      <c r="H79" s="33"/>
      <c r="I79" s="33"/>
      <c r="J79" s="33"/>
      <c r="K79" s="33"/>
      <c r="L79" s="33"/>
      <c r="M79" s="33"/>
      <c r="N79" s="33"/>
      <c r="O79" s="33"/>
      <c r="P79" s="33"/>
      <c r="Q79" s="33"/>
      <c r="R79" s="33"/>
      <c r="S79" s="33"/>
      <c r="T79" s="33"/>
      <c r="U79" s="33"/>
    </row>
    <row r="80" spans="1:21" x14ac:dyDescent="0.25">
      <c r="A80" s="33"/>
      <c r="B80" s="33"/>
      <c r="C80" s="33"/>
      <c r="D80" s="33"/>
      <c r="E80" s="33"/>
      <c r="F80" s="33"/>
      <c r="G80" s="33"/>
      <c r="H80" s="33"/>
      <c r="I80" s="33"/>
      <c r="J80" s="33"/>
      <c r="K80" s="33"/>
      <c r="L80" s="33"/>
      <c r="M80" s="33"/>
      <c r="N80" s="33"/>
      <c r="O80" s="33"/>
      <c r="P80" s="33"/>
      <c r="Q80" s="33"/>
      <c r="R80" s="33"/>
      <c r="S80" s="33"/>
      <c r="T80" s="33"/>
      <c r="U80" s="33"/>
    </row>
    <row r="81" spans="1:21" x14ac:dyDescent="0.25">
      <c r="A81" s="33"/>
      <c r="B81" s="33"/>
      <c r="C81" s="33"/>
      <c r="D81" s="33"/>
      <c r="E81" s="33"/>
      <c r="F81" s="33"/>
      <c r="G81" s="33"/>
      <c r="H81" s="33"/>
      <c r="I81" s="33"/>
      <c r="J81" s="33"/>
      <c r="K81" s="33"/>
      <c r="L81" s="33"/>
      <c r="M81" s="33"/>
      <c r="N81" s="33"/>
      <c r="O81" s="33"/>
      <c r="P81" s="33"/>
      <c r="Q81" s="33"/>
      <c r="R81" s="33"/>
      <c r="S81" s="33"/>
      <c r="T81" s="33"/>
      <c r="U81" s="33"/>
    </row>
    <row r="82" spans="1:21" x14ac:dyDescent="0.25">
      <c r="A82" s="33"/>
      <c r="B82" s="33"/>
      <c r="C82" s="33"/>
      <c r="D82" s="33"/>
      <c r="E82" s="33"/>
      <c r="F82" s="33"/>
      <c r="G82" s="33"/>
      <c r="H82" s="33"/>
      <c r="I82" s="33"/>
      <c r="J82" s="33"/>
      <c r="K82" s="33"/>
      <c r="L82" s="33"/>
      <c r="M82" s="33"/>
      <c r="N82" s="33"/>
      <c r="O82" s="33"/>
      <c r="P82" s="33"/>
      <c r="Q82" s="33"/>
      <c r="R82" s="33"/>
      <c r="S82" s="33"/>
      <c r="T82" s="33"/>
      <c r="U82" s="33"/>
    </row>
  </sheetData>
  <mergeCells count="1">
    <mergeCell ref="A1:S3"/>
  </mergeCells>
  <pageMargins left="0.7" right="0.7" top="0.75" bottom="0.75" header="0.3" footer="0.3"/>
  <pageSetup paperSize="9" fitToWidth="0" fitToHeight="0" orientation="landscape" horizontalDpi="4294967295" verticalDpi="4294967295"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Orders</vt:lpstr>
      <vt:lpstr>Details</vt:lpstr>
      <vt:lpstr>Clean_Data</vt:lpstr>
      <vt:lpstr>KPI_Calculations</vt:lpstr>
      <vt:lpstr>Pivot_Tables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cp:lastPrinted>2026-07-18T22:14:47Z</cp:lastPrinted>
  <dcterms:created xsi:type="dcterms:W3CDTF">2026-07-15T11:36:06Z</dcterms:created>
  <dcterms:modified xsi:type="dcterms:W3CDTF">2026-07-24T13:40:58Z</dcterms:modified>
</cp:coreProperties>
</file>